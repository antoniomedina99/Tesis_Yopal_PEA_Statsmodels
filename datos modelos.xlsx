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onio\Scripts\-Tesis_en_python_nivel_de_ingresos_PEA\"/>
    </mc:Choice>
  </mc:AlternateContent>
  <xr:revisionPtr revIDLastSave="0" documentId="13_ncr:1_{0001E5C8-E428-4FA8-8738-0C1553752F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riables" sheetId="1" r:id="rId1"/>
    <sheet name="Nombres " sheetId="3" r:id="rId2"/>
    <sheet name="Sheet2" sheetId="2" r:id="rId3"/>
    <sheet name="Datos" sheetId="4" r:id="rId4"/>
    <sheet name="estadistica descriptiva" sheetId="5" r:id="rId5"/>
    <sheet name="estimaciones " sheetId="6" r:id="rId6"/>
  </sheets>
  <definedNames>
    <definedName name="_xlnm._FilterDatabase" localSheetId="3" hidden="1">Datos!$A$1:$R$407</definedName>
    <definedName name="_xlnm._FilterDatabase" localSheetId="0" hidden="1">Variables!$A$1:$R$392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hJVHViwbzhjT4sXuS7/7Cg49i1fQ=="/>
    </ext>
  </extLst>
</workbook>
</file>

<file path=xl/calcChain.xml><?xml version="1.0" encoding="utf-8"?>
<calcChain xmlns="http://schemas.openxmlformats.org/spreadsheetml/2006/main">
  <c r="N13" i="6" l="1"/>
  <c r="M13" i="6"/>
  <c r="L13" i="6"/>
  <c r="O12" i="6"/>
  <c r="N12" i="6"/>
  <c r="M12" i="6"/>
  <c r="J12" i="6"/>
  <c r="J13" i="6" s="1"/>
  <c r="O13" i="6" s="1"/>
  <c r="G12" i="6"/>
  <c r="N11" i="6"/>
  <c r="K11" i="6"/>
  <c r="O11" i="6" s="1"/>
  <c r="O10" i="6"/>
  <c r="N10" i="6"/>
  <c r="N9" i="6"/>
  <c r="M9" i="6"/>
  <c r="J9" i="6"/>
  <c r="G9" i="6"/>
  <c r="O8" i="6"/>
  <c r="N8" i="6"/>
  <c r="N7" i="6"/>
  <c r="L7" i="6"/>
  <c r="G7" i="6"/>
  <c r="G4" i="6" s="1"/>
  <c r="O4" i="6" s="1"/>
  <c r="N6" i="6"/>
  <c r="M6" i="6"/>
  <c r="K6" i="6"/>
  <c r="K9" i="6" s="1"/>
  <c r="O9" i="6" s="1"/>
  <c r="J6" i="6"/>
  <c r="O6" i="6" s="1"/>
  <c r="G6" i="6"/>
  <c r="O5" i="6"/>
  <c r="N5" i="6"/>
  <c r="K5" i="6"/>
  <c r="N4" i="6"/>
  <c r="M4" i="6"/>
  <c r="J4" i="6"/>
  <c r="F407" i="4"/>
  <c r="C407" i="4"/>
  <c r="F406" i="4"/>
  <c r="C406" i="4"/>
  <c r="F405" i="4"/>
  <c r="C405" i="4"/>
  <c r="F404" i="4"/>
  <c r="C404" i="4"/>
  <c r="F403" i="4"/>
  <c r="C403" i="4"/>
  <c r="F402" i="4"/>
  <c r="C402" i="4"/>
  <c r="F401" i="4"/>
  <c r="C401" i="4"/>
  <c r="F400" i="4"/>
  <c r="C400" i="4"/>
  <c r="F399" i="4"/>
  <c r="C399" i="4"/>
  <c r="F398" i="4"/>
  <c r="C398" i="4"/>
  <c r="F397" i="4"/>
  <c r="C397" i="4"/>
  <c r="F396" i="4"/>
  <c r="C396" i="4"/>
  <c r="F395" i="4"/>
  <c r="C395" i="4"/>
  <c r="F394" i="4"/>
  <c r="C394" i="4"/>
  <c r="F393" i="4"/>
  <c r="C393" i="4"/>
  <c r="F392" i="4"/>
  <c r="C392" i="4"/>
  <c r="F391" i="4"/>
  <c r="C391" i="4"/>
  <c r="F390" i="4"/>
  <c r="C390" i="4"/>
  <c r="F389" i="4"/>
  <c r="C389" i="4"/>
  <c r="F388" i="4"/>
  <c r="C388" i="4"/>
  <c r="F387" i="4"/>
  <c r="C387" i="4"/>
  <c r="F386" i="4"/>
  <c r="C386" i="4"/>
  <c r="F385" i="4"/>
  <c r="C385" i="4"/>
  <c r="F384" i="4"/>
  <c r="C384" i="4"/>
  <c r="F383" i="4"/>
  <c r="C383" i="4"/>
  <c r="F382" i="4"/>
  <c r="C382" i="4"/>
  <c r="F381" i="4"/>
  <c r="C381" i="4"/>
  <c r="F380" i="4"/>
  <c r="C380" i="4"/>
  <c r="F379" i="4"/>
  <c r="C379" i="4"/>
  <c r="F378" i="4"/>
  <c r="C378" i="4"/>
  <c r="F377" i="4"/>
  <c r="C377" i="4"/>
  <c r="F376" i="4"/>
  <c r="C376" i="4"/>
  <c r="F375" i="4"/>
  <c r="C375" i="4"/>
  <c r="F374" i="4"/>
  <c r="C374" i="4"/>
  <c r="F373" i="4"/>
  <c r="C373" i="4"/>
  <c r="F372" i="4"/>
  <c r="C372" i="4"/>
  <c r="F371" i="4"/>
  <c r="C371" i="4"/>
  <c r="F370" i="4"/>
  <c r="C370" i="4"/>
  <c r="F369" i="4"/>
  <c r="C369" i="4"/>
  <c r="F368" i="4"/>
  <c r="C368" i="4"/>
  <c r="F367" i="4"/>
  <c r="C367" i="4"/>
  <c r="F366" i="4"/>
  <c r="C366" i="4"/>
  <c r="F365" i="4"/>
  <c r="C365" i="4"/>
  <c r="F364" i="4"/>
  <c r="C364" i="4"/>
  <c r="F363" i="4"/>
  <c r="C363" i="4"/>
  <c r="F362" i="4"/>
  <c r="C362" i="4"/>
  <c r="F361" i="4"/>
  <c r="C361" i="4"/>
  <c r="F360" i="4"/>
  <c r="C360" i="4"/>
  <c r="F359" i="4"/>
  <c r="C359" i="4"/>
  <c r="F358" i="4"/>
  <c r="C358" i="4"/>
  <c r="F357" i="4"/>
  <c r="C357" i="4"/>
  <c r="F356" i="4"/>
  <c r="C356" i="4"/>
  <c r="F355" i="4"/>
  <c r="C355" i="4"/>
  <c r="F354" i="4"/>
  <c r="C354" i="4"/>
  <c r="F353" i="4"/>
  <c r="C353" i="4"/>
  <c r="F352" i="4"/>
  <c r="C352" i="4"/>
  <c r="F351" i="4"/>
  <c r="C351" i="4"/>
  <c r="F350" i="4"/>
  <c r="C350" i="4"/>
  <c r="F349" i="4"/>
  <c r="C349" i="4"/>
  <c r="F348" i="4"/>
  <c r="C348" i="4"/>
  <c r="F347" i="4"/>
  <c r="C347" i="4"/>
  <c r="F346" i="4"/>
  <c r="C346" i="4"/>
  <c r="F345" i="4"/>
  <c r="C345" i="4"/>
  <c r="F344" i="4"/>
  <c r="C344" i="4"/>
  <c r="F343" i="4"/>
  <c r="C343" i="4"/>
  <c r="F342" i="4"/>
  <c r="C342" i="4"/>
  <c r="F341" i="4"/>
  <c r="C341" i="4"/>
  <c r="F340" i="4"/>
  <c r="C340" i="4"/>
  <c r="F339" i="4"/>
  <c r="C339" i="4"/>
  <c r="F338" i="4"/>
  <c r="C338" i="4"/>
  <c r="F337" i="4"/>
  <c r="C337" i="4"/>
  <c r="F336" i="4"/>
  <c r="C336" i="4"/>
  <c r="F335" i="4"/>
  <c r="C335" i="4"/>
  <c r="F334" i="4"/>
  <c r="C334" i="4"/>
  <c r="F333" i="4"/>
  <c r="C333" i="4"/>
  <c r="F332" i="4"/>
  <c r="C332" i="4"/>
  <c r="F331" i="4"/>
  <c r="C331" i="4"/>
  <c r="F330" i="4"/>
  <c r="C330" i="4"/>
  <c r="F329" i="4"/>
  <c r="C329" i="4"/>
  <c r="F328" i="4"/>
  <c r="C328" i="4"/>
  <c r="F327" i="4"/>
  <c r="C327" i="4"/>
  <c r="F326" i="4"/>
  <c r="C326" i="4"/>
  <c r="F325" i="4"/>
  <c r="C325" i="4"/>
  <c r="F324" i="4"/>
  <c r="C324" i="4"/>
  <c r="F323" i="4"/>
  <c r="C323" i="4"/>
  <c r="F322" i="4"/>
  <c r="C322" i="4"/>
  <c r="F321" i="4"/>
  <c r="C321" i="4"/>
  <c r="F320" i="4"/>
  <c r="C320" i="4"/>
  <c r="F319" i="4"/>
  <c r="C319" i="4"/>
  <c r="F318" i="4"/>
  <c r="C318" i="4"/>
  <c r="F317" i="4"/>
  <c r="C317" i="4"/>
  <c r="F316" i="4"/>
  <c r="C316" i="4"/>
  <c r="F315" i="4"/>
  <c r="C315" i="4"/>
  <c r="F314" i="4"/>
  <c r="C314" i="4"/>
  <c r="F313" i="4"/>
  <c r="C313" i="4"/>
  <c r="F312" i="4"/>
  <c r="C312" i="4"/>
  <c r="F311" i="4"/>
  <c r="C311" i="4"/>
  <c r="F310" i="4"/>
  <c r="C310" i="4"/>
  <c r="F309" i="4"/>
  <c r="C309" i="4"/>
  <c r="F308" i="4"/>
  <c r="C308" i="4"/>
  <c r="F307" i="4"/>
  <c r="C307" i="4"/>
  <c r="F306" i="4"/>
  <c r="C306" i="4"/>
  <c r="F305" i="4"/>
  <c r="C305" i="4"/>
  <c r="F304" i="4"/>
  <c r="C304" i="4"/>
  <c r="F303" i="4"/>
  <c r="C303" i="4"/>
  <c r="F302" i="4"/>
  <c r="C302" i="4"/>
  <c r="F301" i="4"/>
  <c r="C301" i="4"/>
  <c r="F300" i="4"/>
  <c r="C300" i="4"/>
  <c r="F299" i="4"/>
  <c r="C299" i="4"/>
  <c r="F298" i="4"/>
  <c r="C298" i="4"/>
  <c r="F297" i="4"/>
  <c r="C297" i="4"/>
  <c r="F296" i="4"/>
  <c r="C296" i="4"/>
  <c r="F295" i="4"/>
  <c r="C295" i="4"/>
  <c r="F294" i="4"/>
  <c r="C294" i="4"/>
  <c r="F293" i="4"/>
  <c r="C293" i="4"/>
  <c r="F292" i="4"/>
  <c r="C292" i="4"/>
  <c r="F291" i="4"/>
  <c r="C291" i="4"/>
  <c r="F290" i="4"/>
  <c r="C290" i="4"/>
  <c r="F289" i="4"/>
  <c r="C289" i="4"/>
  <c r="F288" i="4"/>
  <c r="C288" i="4"/>
  <c r="F287" i="4"/>
  <c r="C287" i="4"/>
  <c r="F286" i="4"/>
  <c r="C286" i="4"/>
  <c r="F285" i="4"/>
  <c r="C285" i="4"/>
  <c r="F284" i="4"/>
  <c r="C284" i="4"/>
  <c r="F283" i="4"/>
  <c r="C283" i="4"/>
  <c r="F282" i="4"/>
  <c r="C282" i="4"/>
  <c r="F281" i="4"/>
  <c r="C281" i="4"/>
  <c r="F280" i="4"/>
  <c r="C280" i="4"/>
  <c r="F279" i="4"/>
  <c r="C279" i="4"/>
  <c r="F278" i="4"/>
  <c r="C278" i="4"/>
  <c r="F277" i="4"/>
  <c r="C277" i="4"/>
  <c r="F276" i="4"/>
  <c r="C276" i="4"/>
  <c r="F275" i="4"/>
  <c r="C275" i="4"/>
  <c r="F274" i="4"/>
  <c r="C274" i="4"/>
  <c r="F273" i="4"/>
  <c r="C273" i="4"/>
  <c r="F272" i="4"/>
  <c r="C272" i="4"/>
  <c r="F271" i="4"/>
  <c r="C271" i="4"/>
  <c r="F270" i="4"/>
  <c r="C270" i="4"/>
  <c r="F269" i="4"/>
  <c r="C269" i="4"/>
  <c r="F268" i="4"/>
  <c r="C268" i="4"/>
  <c r="F267" i="4"/>
  <c r="C267" i="4"/>
  <c r="F266" i="4"/>
  <c r="C266" i="4"/>
  <c r="F265" i="4"/>
  <c r="C265" i="4"/>
  <c r="F264" i="4"/>
  <c r="C264" i="4"/>
  <c r="F263" i="4"/>
  <c r="C263" i="4"/>
  <c r="F262" i="4"/>
  <c r="C262" i="4"/>
  <c r="F261" i="4"/>
  <c r="C261" i="4"/>
  <c r="F260" i="4"/>
  <c r="C260" i="4"/>
  <c r="F259" i="4"/>
  <c r="C259" i="4"/>
  <c r="F258" i="4"/>
  <c r="C258" i="4"/>
  <c r="F257" i="4"/>
  <c r="C257" i="4"/>
  <c r="F256" i="4"/>
  <c r="C256" i="4"/>
  <c r="F255" i="4"/>
  <c r="C255" i="4"/>
  <c r="F254" i="4"/>
  <c r="C254" i="4"/>
  <c r="F253" i="4"/>
  <c r="C253" i="4"/>
  <c r="F252" i="4"/>
  <c r="C252" i="4"/>
  <c r="F251" i="4"/>
  <c r="C251" i="4"/>
  <c r="F250" i="4"/>
  <c r="C250" i="4"/>
  <c r="F249" i="4"/>
  <c r="C249" i="4"/>
  <c r="F248" i="4"/>
  <c r="C248" i="4"/>
  <c r="F247" i="4"/>
  <c r="C247" i="4"/>
  <c r="F246" i="4"/>
  <c r="C246" i="4"/>
  <c r="F245" i="4"/>
  <c r="C245" i="4"/>
  <c r="F244" i="4"/>
  <c r="C244" i="4"/>
  <c r="F243" i="4"/>
  <c r="C243" i="4"/>
  <c r="F242" i="4"/>
  <c r="C242" i="4"/>
  <c r="F241" i="4"/>
  <c r="C241" i="4"/>
  <c r="F240" i="4"/>
  <c r="C240" i="4"/>
  <c r="F239" i="4"/>
  <c r="C239" i="4"/>
  <c r="F238" i="4"/>
  <c r="C238" i="4"/>
  <c r="F237" i="4"/>
  <c r="C237" i="4"/>
  <c r="F236" i="4"/>
  <c r="C236" i="4"/>
  <c r="F235" i="4"/>
  <c r="C235" i="4"/>
  <c r="F234" i="4"/>
  <c r="C234" i="4"/>
  <c r="F233" i="4"/>
  <c r="C233" i="4"/>
  <c r="F232" i="4"/>
  <c r="C232" i="4"/>
  <c r="F231" i="4"/>
  <c r="C231" i="4"/>
  <c r="F230" i="4"/>
  <c r="C230" i="4"/>
  <c r="F229" i="4"/>
  <c r="C229" i="4"/>
  <c r="F228" i="4"/>
  <c r="C228" i="4"/>
  <c r="F227" i="4"/>
  <c r="C227" i="4"/>
  <c r="F226" i="4"/>
  <c r="C226" i="4"/>
  <c r="F225" i="4"/>
  <c r="C225" i="4"/>
  <c r="F224" i="4"/>
  <c r="C224" i="4"/>
  <c r="F223" i="4"/>
  <c r="C223" i="4"/>
  <c r="F222" i="4"/>
  <c r="C222" i="4"/>
  <c r="F221" i="4"/>
  <c r="C221" i="4"/>
  <c r="F220" i="4"/>
  <c r="C220" i="4"/>
  <c r="F219" i="4"/>
  <c r="C219" i="4"/>
  <c r="F218" i="4"/>
  <c r="C218" i="4"/>
  <c r="F217" i="4"/>
  <c r="C217" i="4"/>
  <c r="F216" i="4"/>
  <c r="C216" i="4"/>
  <c r="F215" i="4"/>
  <c r="C215" i="4"/>
  <c r="F214" i="4"/>
  <c r="C214" i="4"/>
  <c r="F213" i="4"/>
  <c r="C213" i="4"/>
  <c r="F212" i="4"/>
  <c r="C212" i="4"/>
  <c r="F211" i="4"/>
  <c r="C211" i="4"/>
  <c r="F210" i="4"/>
  <c r="C210" i="4"/>
  <c r="F209" i="4"/>
  <c r="C209" i="4"/>
  <c r="F208" i="4"/>
  <c r="C208" i="4"/>
  <c r="F207" i="4"/>
  <c r="C207" i="4"/>
  <c r="F206" i="4"/>
  <c r="C206" i="4"/>
  <c r="F205" i="4"/>
  <c r="C205" i="4"/>
  <c r="F204" i="4"/>
  <c r="C204" i="4"/>
  <c r="F203" i="4"/>
  <c r="C203" i="4"/>
  <c r="F202" i="4"/>
  <c r="C202" i="4"/>
  <c r="F201" i="4"/>
  <c r="C201" i="4"/>
  <c r="F200" i="4"/>
  <c r="C200" i="4"/>
  <c r="F199" i="4"/>
  <c r="C199" i="4"/>
  <c r="F198" i="4"/>
  <c r="C198" i="4"/>
  <c r="F197" i="4"/>
  <c r="C197" i="4"/>
  <c r="F196" i="4"/>
  <c r="C196" i="4"/>
  <c r="F195" i="4"/>
  <c r="C195" i="4"/>
  <c r="F194" i="4"/>
  <c r="C194" i="4"/>
  <c r="F193" i="4"/>
  <c r="C193" i="4"/>
  <c r="F192" i="4"/>
  <c r="C192" i="4"/>
  <c r="F191" i="4"/>
  <c r="C191" i="4"/>
  <c r="F190" i="4"/>
  <c r="C190" i="4"/>
  <c r="F189" i="4"/>
  <c r="C189" i="4"/>
  <c r="F188" i="4"/>
  <c r="C188" i="4"/>
  <c r="F187" i="4"/>
  <c r="C187" i="4"/>
  <c r="F186" i="4"/>
  <c r="C186" i="4"/>
  <c r="F185" i="4"/>
  <c r="C185" i="4"/>
  <c r="F184" i="4"/>
  <c r="C184" i="4"/>
  <c r="F183" i="4"/>
  <c r="C183" i="4"/>
  <c r="F182" i="4"/>
  <c r="C182" i="4"/>
  <c r="F181" i="4"/>
  <c r="C181" i="4"/>
  <c r="F180" i="4"/>
  <c r="C180" i="4"/>
  <c r="F179" i="4"/>
  <c r="C179" i="4"/>
  <c r="F178" i="4"/>
  <c r="C178" i="4"/>
  <c r="F177" i="4"/>
  <c r="C177" i="4"/>
  <c r="F176" i="4"/>
  <c r="C176" i="4"/>
  <c r="F175" i="4"/>
  <c r="C175" i="4"/>
  <c r="F174" i="4"/>
  <c r="C174" i="4"/>
  <c r="F173" i="4"/>
  <c r="C173" i="4"/>
  <c r="F172" i="4"/>
  <c r="C172" i="4"/>
  <c r="F171" i="4"/>
  <c r="C171" i="4"/>
  <c r="F170" i="4"/>
  <c r="C170" i="4"/>
  <c r="F169" i="4"/>
  <c r="C169" i="4"/>
  <c r="F168" i="4"/>
  <c r="C168" i="4"/>
  <c r="F167" i="4"/>
  <c r="C167" i="4"/>
  <c r="F166" i="4"/>
  <c r="C166" i="4"/>
  <c r="F165" i="4"/>
  <c r="C165" i="4"/>
  <c r="F164" i="4"/>
  <c r="C164" i="4"/>
  <c r="F163" i="4"/>
  <c r="C163" i="4"/>
  <c r="F162" i="4"/>
  <c r="C162" i="4"/>
  <c r="F161" i="4"/>
  <c r="C161" i="4"/>
  <c r="F160" i="4"/>
  <c r="C160" i="4"/>
  <c r="F159" i="4"/>
  <c r="C159" i="4"/>
  <c r="F158" i="4"/>
  <c r="C158" i="4"/>
  <c r="F157" i="4"/>
  <c r="C157" i="4"/>
  <c r="F156" i="4"/>
  <c r="C156" i="4"/>
  <c r="F155" i="4"/>
  <c r="C155" i="4"/>
  <c r="F154" i="4"/>
  <c r="C154" i="4"/>
  <c r="F153" i="4"/>
  <c r="C153" i="4"/>
  <c r="F152" i="4"/>
  <c r="C152" i="4"/>
  <c r="F151" i="4"/>
  <c r="C151" i="4"/>
  <c r="F150" i="4"/>
  <c r="C150" i="4"/>
  <c r="F149" i="4"/>
  <c r="C149" i="4"/>
  <c r="F148" i="4"/>
  <c r="C148" i="4"/>
  <c r="F147" i="4"/>
  <c r="C147" i="4"/>
  <c r="F146" i="4"/>
  <c r="C146" i="4"/>
  <c r="F145" i="4"/>
  <c r="C145" i="4"/>
  <c r="F144" i="4"/>
  <c r="C144" i="4"/>
  <c r="E143" i="4"/>
  <c r="C143" i="4"/>
  <c r="F142" i="4"/>
  <c r="C142" i="4"/>
  <c r="F141" i="4"/>
  <c r="C141" i="4"/>
  <c r="F140" i="4"/>
  <c r="C140" i="4"/>
  <c r="F139" i="4"/>
  <c r="C139" i="4"/>
  <c r="F138" i="4"/>
  <c r="C138" i="4"/>
  <c r="F137" i="4"/>
  <c r="C137" i="4"/>
  <c r="F136" i="4"/>
  <c r="C136" i="4"/>
  <c r="F135" i="4"/>
  <c r="C135" i="4"/>
  <c r="F134" i="4"/>
  <c r="C134" i="4"/>
  <c r="F133" i="4"/>
  <c r="C133" i="4"/>
  <c r="F132" i="4"/>
  <c r="C132" i="4"/>
  <c r="E131" i="4"/>
  <c r="C131" i="4"/>
  <c r="J130" i="4"/>
  <c r="E130" i="4"/>
  <c r="F129" i="4"/>
  <c r="C129" i="4"/>
  <c r="E128" i="4"/>
  <c r="C128" i="4"/>
  <c r="C127" i="4"/>
  <c r="F126" i="4"/>
  <c r="C126" i="4"/>
  <c r="F125" i="4"/>
  <c r="C125" i="4"/>
  <c r="F124" i="4"/>
  <c r="C124" i="4"/>
  <c r="F123" i="4"/>
  <c r="C123" i="4"/>
  <c r="F122" i="4"/>
  <c r="C122" i="4"/>
  <c r="F121" i="4"/>
  <c r="C121" i="4"/>
  <c r="E120" i="4"/>
  <c r="C120" i="4"/>
  <c r="F119" i="4"/>
  <c r="C119" i="4"/>
  <c r="E118" i="4"/>
  <c r="C118" i="4"/>
  <c r="F117" i="4"/>
  <c r="C117" i="4"/>
  <c r="F116" i="4"/>
  <c r="C116" i="4"/>
  <c r="F115" i="4"/>
  <c r="C115" i="4"/>
  <c r="F114" i="4"/>
  <c r="C114" i="4"/>
  <c r="F113" i="4"/>
  <c r="C113" i="4"/>
  <c r="F112" i="4"/>
  <c r="C112" i="4"/>
  <c r="F111" i="4"/>
  <c r="C111" i="4"/>
  <c r="F110" i="4"/>
  <c r="C110" i="4"/>
  <c r="F109" i="4"/>
  <c r="C109" i="4"/>
  <c r="F108" i="4"/>
  <c r="C108" i="4"/>
  <c r="F107" i="4"/>
  <c r="C107" i="4"/>
  <c r="F106" i="4"/>
  <c r="C106" i="4"/>
  <c r="F105" i="4"/>
  <c r="C105" i="4"/>
  <c r="F104" i="4"/>
  <c r="C104" i="4"/>
  <c r="F103" i="4"/>
  <c r="C103" i="4"/>
  <c r="F102" i="4"/>
  <c r="C102" i="4"/>
  <c r="E101" i="4"/>
  <c r="C101" i="4"/>
  <c r="F100" i="4"/>
  <c r="C100" i="4"/>
  <c r="E99" i="4"/>
  <c r="C99" i="4"/>
  <c r="E98" i="4"/>
  <c r="C98" i="4"/>
  <c r="F97" i="4"/>
  <c r="C97" i="4"/>
  <c r="F96" i="4"/>
  <c r="C96" i="4"/>
  <c r="F95" i="4"/>
  <c r="C95" i="4"/>
  <c r="F94" i="4"/>
  <c r="C94" i="4"/>
  <c r="F93" i="4"/>
  <c r="C93" i="4"/>
  <c r="E92" i="4"/>
  <c r="C92" i="4"/>
  <c r="F91" i="4"/>
  <c r="C91" i="4"/>
  <c r="F90" i="4"/>
  <c r="C90" i="4"/>
  <c r="F89" i="4"/>
  <c r="C89" i="4"/>
  <c r="F88" i="4"/>
  <c r="C88" i="4"/>
  <c r="F87" i="4"/>
  <c r="C87" i="4"/>
  <c r="F86" i="4"/>
  <c r="C86" i="4"/>
  <c r="F85" i="4"/>
  <c r="C85" i="4"/>
  <c r="E84" i="4"/>
  <c r="C84" i="4"/>
  <c r="F83" i="4"/>
  <c r="C83" i="4"/>
  <c r="F82" i="4"/>
  <c r="C82" i="4"/>
  <c r="F81" i="4"/>
  <c r="C81" i="4"/>
  <c r="E80" i="4"/>
  <c r="F79" i="4"/>
  <c r="C79" i="4"/>
  <c r="F78" i="4"/>
  <c r="C78" i="4"/>
  <c r="F77" i="4"/>
  <c r="C77" i="4"/>
  <c r="F76" i="4"/>
  <c r="C76" i="4"/>
  <c r="F75" i="4"/>
  <c r="C75" i="4"/>
  <c r="E74" i="4"/>
  <c r="C74" i="4"/>
  <c r="F73" i="4"/>
  <c r="C73" i="4"/>
  <c r="F72" i="4"/>
  <c r="C72" i="4"/>
  <c r="F71" i="4"/>
  <c r="C71" i="4"/>
  <c r="F70" i="4"/>
  <c r="C70" i="4"/>
  <c r="F69" i="4"/>
  <c r="C69" i="4"/>
  <c r="F68" i="4"/>
  <c r="C68" i="4"/>
  <c r="F67" i="4"/>
  <c r="C67" i="4"/>
  <c r="F66" i="4"/>
  <c r="C66" i="4"/>
  <c r="F65" i="4"/>
  <c r="C65" i="4"/>
  <c r="E64" i="4"/>
  <c r="C64" i="4"/>
  <c r="E63" i="4"/>
  <c r="C63" i="4"/>
  <c r="F62" i="4"/>
  <c r="C62" i="4"/>
  <c r="F61" i="4"/>
  <c r="C61" i="4"/>
  <c r="F60" i="4"/>
  <c r="C60" i="4"/>
  <c r="F59" i="4"/>
  <c r="C59" i="4"/>
  <c r="F58" i="4"/>
  <c r="C58" i="4"/>
  <c r="F57" i="4"/>
  <c r="C57" i="4"/>
  <c r="F56" i="4"/>
  <c r="C56" i="4"/>
  <c r="F55" i="4"/>
  <c r="C55" i="4"/>
  <c r="E54" i="4"/>
  <c r="C54" i="4"/>
  <c r="E53" i="4"/>
  <c r="C53" i="4"/>
  <c r="F52" i="4"/>
  <c r="C52" i="4"/>
  <c r="F51" i="4"/>
  <c r="C51" i="4"/>
  <c r="F50" i="4"/>
  <c r="C50" i="4"/>
  <c r="F49" i="4"/>
  <c r="C49" i="4"/>
  <c r="F48" i="4"/>
  <c r="C48" i="4"/>
  <c r="F47" i="4"/>
  <c r="C47" i="4"/>
  <c r="F46" i="4"/>
  <c r="C46" i="4"/>
  <c r="F45" i="4"/>
  <c r="C45" i="4"/>
  <c r="F44" i="4"/>
  <c r="C44" i="4"/>
  <c r="F43" i="4"/>
  <c r="C43" i="4"/>
  <c r="F42" i="4"/>
  <c r="C42" i="4"/>
  <c r="J41" i="4"/>
  <c r="F41" i="4"/>
  <c r="C41" i="4"/>
  <c r="F40" i="4"/>
  <c r="C40" i="4"/>
  <c r="E39" i="4"/>
  <c r="C39" i="4"/>
  <c r="F38" i="4"/>
  <c r="C38" i="4"/>
  <c r="C37" i="4"/>
  <c r="F36" i="4"/>
  <c r="C36" i="4"/>
  <c r="F35" i="4"/>
  <c r="C35" i="4"/>
  <c r="F34" i="4"/>
  <c r="C34" i="4"/>
  <c r="F33" i="4"/>
  <c r="C33" i="4"/>
  <c r="E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E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10" i="4"/>
  <c r="C10" i="4"/>
  <c r="F9" i="4"/>
  <c r="C9" i="4"/>
  <c r="F8" i="4"/>
  <c r="C8" i="4"/>
  <c r="F7" i="4"/>
  <c r="C7" i="4"/>
  <c r="F6" i="4"/>
  <c r="C6" i="4"/>
  <c r="F5" i="4"/>
  <c r="C5" i="4"/>
  <c r="F4" i="4"/>
  <c r="C4" i="4"/>
  <c r="F3" i="4"/>
  <c r="C3" i="4"/>
  <c r="F2" i="4"/>
  <c r="C2" i="4"/>
  <c r="N280" i="2"/>
  <c r="O3" i="2" s="1"/>
  <c r="B241" i="2"/>
  <c r="B239" i="2"/>
  <c r="F173" i="2"/>
  <c r="F170" i="2"/>
  <c r="E170" i="2"/>
  <c r="J129" i="2"/>
  <c r="K2" i="2"/>
  <c r="R392" i="1"/>
  <c r="Q392" i="1"/>
  <c r="L392" i="1"/>
  <c r="D392" i="1"/>
  <c r="C392" i="1"/>
  <c r="B392" i="1"/>
  <c r="R391" i="1"/>
  <c r="Q391" i="1"/>
  <c r="L391" i="1"/>
  <c r="D391" i="1"/>
  <c r="C391" i="1"/>
  <c r="B391" i="1"/>
  <c r="R390" i="1"/>
  <c r="Q390" i="1"/>
  <c r="L390" i="1"/>
  <c r="D390" i="1"/>
  <c r="C390" i="1"/>
  <c r="B390" i="1"/>
  <c r="R389" i="1"/>
  <c r="Q389" i="1"/>
  <c r="L389" i="1"/>
  <c r="D389" i="1"/>
  <c r="C389" i="1"/>
  <c r="B389" i="1"/>
  <c r="R388" i="1"/>
  <c r="Q388" i="1"/>
  <c r="L388" i="1"/>
  <c r="D388" i="1"/>
  <c r="C388" i="1"/>
  <c r="B388" i="1"/>
  <c r="R387" i="1"/>
  <c r="Q387" i="1"/>
  <c r="L387" i="1"/>
  <c r="D387" i="1"/>
  <c r="C387" i="1"/>
  <c r="B387" i="1"/>
  <c r="R386" i="1"/>
  <c r="Q386" i="1"/>
  <c r="L386" i="1"/>
  <c r="D386" i="1"/>
  <c r="C386" i="1"/>
  <c r="B386" i="1"/>
  <c r="R385" i="1"/>
  <c r="Q385" i="1"/>
  <c r="L385" i="1"/>
  <c r="D385" i="1"/>
  <c r="C385" i="1"/>
  <c r="B385" i="1"/>
  <c r="R384" i="1"/>
  <c r="Q384" i="1"/>
  <c r="L384" i="1"/>
  <c r="D384" i="1"/>
  <c r="C384" i="1"/>
  <c r="B384" i="1"/>
  <c r="R383" i="1"/>
  <c r="Q383" i="1"/>
  <c r="L383" i="1"/>
  <c r="D383" i="1"/>
  <c r="C383" i="1"/>
  <c r="B383" i="1"/>
  <c r="R382" i="1"/>
  <c r="Q382" i="1"/>
  <c r="L382" i="1"/>
  <c r="D382" i="1"/>
  <c r="C382" i="1"/>
  <c r="B382" i="1"/>
  <c r="R381" i="1"/>
  <c r="Q381" i="1"/>
  <c r="L381" i="1"/>
  <c r="D381" i="1"/>
  <c r="C381" i="1"/>
  <c r="B381" i="1"/>
  <c r="R380" i="1"/>
  <c r="Q380" i="1"/>
  <c r="L380" i="1"/>
  <c r="D380" i="1"/>
  <c r="C380" i="1"/>
  <c r="B380" i="1"/>
  <c r="R379" i="1"/>
  <c r="Q379" i="1"/>
  <c r="L379" i="1"/>
  <c r="D379" i="1"/>
  <c r="C379" i="1"/>
  <c r="B379" i="1"/>
  <c r="R378" i="1"/>
  <c r="Q378" i="1"/>
  <c r="L378" i="1"/>
  <c r="D378" i="1"/>
  <c r="C378" i="1"/>
  <c r="B378" i="1"/>
  <c r="R377" i="1"/>
  <c r="Q377" i="1"/>
  <c r="L377" i="1"/>
  <c r="D377" i="1"/>
  <c r="C377" i="1"/>
  <c r="B377" i="1"/>
  <c r="R376" i="1"/>
  <c r="Q376" i="1"/>
  <c r="L376" i="1"/>
  <c r="D376" i="1"/>
  <c r="C376" i="1"/>
  <c r="B376" i="1"/>
  <c r="R375" i="1"/>
  <c r="Q375" i="1"/>
  <c r="L375" i="1"/>
  <c r="D375" i="1"/>
  <c r="C375" i="1"/>
  <c r="B375" i="1"/>
  <c r="R374" i="1"/>
  <c r="Q374" i="1"/>
  <c r="L374" i="1"/>
  <c r="D374" i="1"/>
  <c r="C374" i="1"/>
  <c r="B374" i="1"/>
  <c r="R373" i="1"/>
  <c r="Q373" i="1"/>
  <c r="L373" i="1"/>
  <c r="D373" i="1"/>
  <c r="C373" i="1"/>
  <c r="B373" i="1"/>
  <c r="R372" i="1"/>
  <c r="Q372" i="1"/>
  <c r="L372" i="1"/>
  <c r="D372" i="1"/>
  <c r="C372" i="1"/>
  <c r="B372" i="1"/>
  <c r="R371" i="1"/>
  <c r="Q371" i="1"/>
  <c r="L371" i="1"/>
  <c r="D371" i="1"/>
  <c r="C371" i="1"/>
  <c r="B371" i="1"/>
  <c r="R370" i="1"/>
  <c r="Q370" i="1"/>
  <c r="L370" i="1"/>
  <c r="D370" i="1"/>
  <c r="C370" i="1"/>
  <c r="B370" i="1"/>
  <c r="R369" i="1"/>
  <c r="Q369" i="1"/>
  <c r="L369" i="1"/>
  <c r="D369" i="1"/>
  <c r="C369" i="1"/>
  <c r="B369" i="1"/>
  <c r="R368" i="1"/>
  <c r="Q368" i="1"/>
  <c r="L368" i="1"/>
  <c r="D368" i="1"/>
  <c r="C368" i="1"/>
  <c r="B368" i="1"/>
  <c r="R367" i="1"/>
  <c r="Q367" i="1"/>
  <c r="L367" i="1"/>
  <c r="D367" i="1"/>
  <c r="C367" i="1"/>
  <c r="B367" i="1"/>
  <c r="R366" i="1"/>
  <c r="Q366" i="1"/>
  <c r="L366" i="1"/>
  <c r="D366" i="1"/>
  <c r="C366" i="1"/>
  <c r="B366" i="1"/>
  <c r="R365" i="1"/>
  <c r="Q365" i="1"/>
  <c r="L365" i="1"/>
  <c r="D365" i="1"/>
  <c r="C365" i="1"/>
  <c r="B365" i="1"/>
  <c r="R364" i="1"/>
  <c r="Q364" i="1"/>
  <c r="L364" i="1"/>
  <c r="D364" i="1"/>
  <c r="C364" i="1"/>
  <c r="B364" i="1"/>
  <c r="R363" i="1"/>
  <c r="Q363" i="1"/>
  <c r="L363" i="1"/>
  <c r="D363" i="1"/>
  <c r="C363" i="1"/>
  <c r="B363" i="1"/>
  <c r="R362" i="1"/>
  <c r="Q362" i="1"/>
  <c r="L362" i="1"/>
  <c r="D362" i="1"/>
  <c r="C362" i="1"/>
  <c r="B362" i="1"/>
  <c r="R361" i="1"/>
  <c r="Q361" i="1"/>
  <c r="L361" i="1"/>
  <c r="D361" i="1"/>
  <c r="C361" i="1"/>
  <c r="B361" i="1"/>
  <c r="R360" i="1"/>
  <c r="Q360" i="1"/>
  <c r="L360" i="1"/>
  <c r="D360" i="1"/>
  <c r="C360" i="1"/>
  <c r="B360" i="1"/>
  <c r="R359" i="1"/>
  <c r="Q359" i="1"/>
  <c r="L359" i="1"/>
  <c r="D359" i="1"/>
  <c r="C359" i="1"/>
  <c r="B359" i="1"/>
  <c r="R358" i="1"/>
  <c r="Q358" i="1"/>
  <c r="L358" i="1"/>
  <c r="D358" i="1"/>
  <c r="C358" i="1"/>
  <c r="B358" i="1"/>
  <c r="R357" i="1"/>
  <c r="Q357" i="1"/>
  <c r="L357" i="1"/>
  <c r="D357" i="1"/>
  <c r="C357" i="1"/>
  <c r="B357" i="1"/>
  <c r="R356" i="1"/>
  <c r="Q356" i="1"/>
  <c r="L356" i="1"/>
  <c r="D356" i="1"/>
  <c r="C356" i="1"/>
  <c r="B356" i="1"/>
  <c r="R355" i="1"/>
  <c r="Q355" i="1"/>
  <c r="L355" i="1"/>
  <c r="D355" i="1"/>
  <c r="C355" i="1"/>
  <c r="B355" i="1"/>
  <c r="R354" i="1"/>
  <c r="Q354" i="1"/>
  <c r="L354" i="1"/>
  <c r="D354" i="1"/>
  <c r="C354" i="1"/>
  <c r="B354" i="1"/>
  <c r="R353" i="1"/>
  <c r="Q353" i="1"/>
  <c r="L353" i="1"/>
  <c r="D353" i="1"/>
  <c r="C353" i="1"/>
  <c r="B353" i="1"/>
  <c r="R352" i="1"/>
  <c r="Q352" i="1"/>
  <c r="L352" i="1"/>
  <c r="D352" i="1"/>
  <c r="C352" i="1"/>
  <c r="B352" i="1"/>
  <c r="R351" i="1"/>
  <c r="Q351" i="1"/>
  <c r="L351" i="1"/>
  <c r="D351" i="1"/>
  <c r="C351" i="1"/>
  <c r="B351" i="1"/>
  <c r="R350" i="1"/>
  <c r="Q350" i="1"/>
  <c r="L350" i="1"/>
  <c r="D350" i="1"/>
  <c r="C350" i="1"/>
  <c r="B350" i="1"/>
  <c r="R349" i="1"/>
  <c r="Q349" i="1"/>
  <c r="L349" i="1"/>
  <c r="D349" i="1"/>
  <c r="C349" i="1"/>
  <c r="B349" i="1"/>
  <c r="R348" i="1"/>
  <c r="Q348" i="1"/>
  <c r="L348" i="1"/>
  <c r="D348" i="1"/>
  <c r="C348" i="1"/>
  <c r="B348" i="1"/>
  <c r="R347" i="1"/>
  <c r="Q347" i="1"/>
  <c r="L347" i="1"/>
  <c r="D347" i="1"/>
  <c r="C347" i="1"/>
  <c r="B347" i="1"/>
  <c r="R346" i="1"/>
  <c r="Q346" i="1"/>
  <c r="L346" i="1"/>
  <c r="D346" i="1"/>
  <c r="C346" i="1"/>
  <c r="B346" i="1"/>
  <c r="R345" i="1"/>
  <c r="Q345" i="1"/>
  <c r="L345" i="1"/>
  <c r="D345" i="1"/>
  <c r="C345" i="1"/>
  <c r="B345" i="1"/>
  <c r="R344" i="1"/>
  <c r="Q344" i="1"/>
  <c r="L344" i="1"/>
  <c r="D344" i="1"/>
  <c r="C344" i="1"/>
  <c r="B344" i="1"/>
  <c r="R343" i="1"/>
  <c r="Q343" i="1"/>
  <c r="L343" i="1"/>
  <c r="D343" i="1"/>
  <c r="C343" i="1"/>
  <c r="B343" i="1"/>
  <c r="R342" i="1"/>
  <c r="Q342" i="1"/>
  <c r="L342" i="1"/>
  <c r="D342" i="1"/>
  <c r="C342" i="1"/>
  <c r="B342" i="1"/>
  <c r="R341" i="1"/>
  <c r="Q341" i="1"/>
  <c r="L341" i="1"/>
  <c r="D341" i="1"/>
  <c r="C341" i="1"/>
  <c r="B341" i="1"/>
  <c r="R340" i="1"/>
  <c r="Q340" i="1"/>
  <c r="L340" i="1"/>
  <c r="D340" i="1"/>
  <c r="C340" i="1"/>
  <c r="B340" i="1"/>
  <c r="R339" i="1"/>
  <c r="Q339" i="1"/>
  <c r="L339" i="1"/>
  <c r="D339" i="1"/>
  <c r="C339" i="1"/>
  <c r="B339" i="1"/>
  <c r="R338" i="1"/>
  <c r="Q338" i="1"/>
  <c r="L338" i="1"/>
  <c r="D338" i="1"/>
  <c r="C338" i="1"/>
  <c r="B338" i="1"/>
  <c r="R337" i="1"/>
  <c r="Q337" i="1"/>
  <c r="L337" i="1"/>
  <c r="D337" i="1"/>
  <c r="C337" i="1"/>
  <c r="B337" i="1"/>
  <c r="R336" i="1"/>
  <c r="Q336" i="1"/>
  <c r="L336" i="1"/>
  <c r="D336" i="1"/>
  <c r="C336" i="1"/>
  <c r="B336" i="1"/>
  <c r="R335" i="1"/>
  <c r="Q335" i="1"/>
  <c r="L335" i="1"/>
  <c r="D335" i="1"/>
  <c r="C335" i="1"/>
  <c r="B335" i="1"/>
  <c r="R334" i="1"/>
  <c r="Q334" i="1"/>
  <c r="L334" i="1"/>
  <c r="D334" i="1"/>
  <c r="C334" i="1"/>
  <c r="B334" i="1"/>
  <c r="R333" i="1"/>
  <c r="Q333" i="1"/>
  <c r="L333" i="1"/>
  <c r="D333" i="1"/>
  <c r="C333" i="1"/>
  <c r="B333" i="1"/>
  <c r="R332" i="1"/>
  <c r="Q332" i="1"/>
  <c r="L332" i="1"/>
  <c r="D332" i="1"/>
  <c r="C332" i="1"/>
  <c r="B332" i="1"/>
  <c r="R331" i="1"/>
  <c r="Q331" i="1"/>
  <c r="L331" i="1"/>
  <c r="D331" i="1"/>
  <c r="C331" i="1"/>
  <c r="B331" i="1"/>
  <c r="R330" i="1"/>
  <c r="Q330" i="1"/>
  <c r="L330" i="1"/>
  <c r="D330" i="1"/>
  <c r="C330" i="1"/>
  <c r="B330" i="1"/>
  <c r="R329" i="1"/>
  <c r="Q329" i="1"/>
  <c r="L329" i="1"/>
  <c r="D329" i="1"/>
  <c r="C329" i="1"/>
  <c r="B329" i="1"/>
  <c r="R328" i="1"/>
  <c r="Q328" i="1"/>
  <c r="L328" i="1"/>
  <c r="D328" i="1"/>
  <c r="C328" i="1"/>
  <c r="B328" i="1"/>
  <c r="R327" i="1"/>
  <c r="Q327" i="1"/>
  <c r="L327" i="1"/>
  <c r="D327" i="1"/>
  <c r="C327" i="1"/>
  <c r="B327" i="1"/>
  <c r="R326" i="1"/>
  <c r="Q326" i="1"/>
  <c r="L326" i="1"/>
  <c r="D326" i="1"/>
  <c r="C326" i="1"/>
  <c r="B326" i="1"/>
  <c r="R325" i="1"/>
  <c r="Q325" i="1"/>
  <c r="L325" i="1"/>
  <c r="D325" i="1"/>
  <c r="C325" i="1"/>
  <c r="B325" i="1"/>
  <c r="R324" i="1"/>
  <c r="Q324" i="1"/>
  <c r="L324" i="1"/>
  <c r="D324" i="1"/>
  <c r="C324" i="1"/>
  <c r="B324" i="1"/>
  <c r="R323" i="1"/>
  <c r="Q323" i="1"/>
  <c r="L323" i="1"/>
  <c r="D323" i="1"/>
  <c r="C323" i="1"/>
  <c r="B323" i="1"/>
  <c r="R322" i="1"/>
  <c r="Q322" i="1"/>
  <c r="L322" i="1"/>
  <c r="D322" i="1"/>
  <c r="C322" i="1"/>
  <c r="B322" i="1"/>
  <c r="R321" i="1"/>
  <c r="Q321" i="1"/>
  <c r="L321" i="1"/>
  <c r="D321" i="1"/>
  <c r="C321" i="1"/>
  <c r="B321" i="1"/>
  <c r="R320" i="1"/>
  <c r="Q320" i="1"/>
  <c r="L320" i="1"/>
  <c r="D320" i="1"/>
  <c r="C320" i="1"/>
  <c r="B320" i="1"/>
  <c r="R319" i="1"/>
  <c r="Q319" i="1"/>
  <c r="L319" i="1"/>
  <c r="D319" i="1"/>
  <c r="C319" i="1"/>
  <c r="B319" i="1"/>
  <c r="R318" i="1"/>
  <c r="Q318" i="1"/>
  <c r="L318" i="1"/>
  <c r="D318" i="1"/>
  <c r="C318" i="1"/>
  <c r="B318" i="1"/>
  <c r="R317" i="1"/>
  <c r="Q317" i="1"/>
  <c r="L317" i="1"/>
  <c r="D317" i="1"/>
  <c r="C317" i="1"/>
  <c r="B317" i="1"/>
  <c r="R316" i="1"/>
  <c r="Q316" i="1"/>
  <c r="L316" i="1"/>
  <c r="D316" i="1"/>
  <c r="C316" i="1"/>
  <c r="B316" i="1"/>
  <c r="R315" i="1"/>
  <c r="Q315" i="1"/>
  <c r="L315" i="1"/>
  <c r="D315" i="1"/>
  <c r="C315" i="1"/>
  <c r="B315" i="1"/>
  <c r="R314" i="1"/>
  <c r="Q314" i="1"/>
  <c r="L314" i="1"/>
  <c r="D314" i="1"/>
  <c r="C314" i="1"/>
  <c r="B314" i="1"/>
  <c r="R313" i="1"/>
  <c r="Q313" i="1"/>
  <c r="L313" i="1"/>
  <c r="D313" i="1"/>
  <c r="C313" i="1"/>
  <c r="B313" i="1"/>
  <c r="R312" i="1"/>
  <c r="Q312" i="1"/>
  <c r="L312" i="1"/>
  <c r="D312" i="1"/>
  <c r="C312" i="1"/>
  <c r="B312" i="1"/>
  <c r="R311" i="1"/>
  <c r="Q311" i="1"/>
  <c r="L311" i="1"/>
  <c r="D311" i="1"/>
  <c r="C311" i="1"/>
  <c r="B311" i="1"/>
  <c r="R310" i="1"/>
  <c r="Q310" i="1"/>
  <c r="L310" i="1"/>
  <c r="D310" i="1"/>
  <c r="C310" i="1"/>
  <c r="B310" i="1"/>
  <c r="R309" i="1"/>
  <c r="Q309" i="1"/>
  <c r="L309" i="1"/>
  <c r="D309" i="1"/>
  <c r="C309" i="1"/>
  <c r="B309" i="1"/>
  <c r="R308" i="1"/>
  <c r="Q308" i="1"/>
  <c r="L308" i="1"/>
  <c r="D308" i="1"/>
  <c r="C308" i="1"/>
  <c r="B308" i="1"/>
  <c r="R307" i="1"/>
  <c r="Q307" i="1"/>
  <c r="L307" i="1"/>
  <c r="D307" i="1"/>
  <c r="C307" i="1"/>
  <c r="B307" i="1"/>
  <c r="R306" i="1"/>
  <c r="Q306" i="1"/>
  <c r="L306" i="1"/>
  <c r="D306" i="1"/>
  <c r="C306" i="1"/>
  <c r="B306" i="1"/>
  <c r="R305" i="1"/>
  <c r="Q305" i="1"/>
  <c r="L305" i="1"/>
  <c r="D305" i="1"/>
  <c r="C305" i="1"/>
  <c r="B305" i="1"/>
  <c r="R304" i="1"/>
  <c r="Q304" i="1"/>
  <c r="L304" i="1"/>
  <c r="D304" i="1"/>
  <c r="C304" i="1"/>
  <c r="B304" i="1"/>
  <c r="R303" i="1"/>
  <c r="Q303" i="1"/>
  <c r="L303" i="1"/>
  <c r="D303" i="1"/>
  <c r="C303" i="1"/>
  <c r="B303" i="1"/>
  <c r="R302" i="1"/>
  <c r="Q302" i="1"/>
  <c r="L302" i="1"/>
  <c r="D302" i="1"/>
  <c r="C302" i="1"/>
  <c r="B302" i="1"/>
  <c r="R301" i="1"/>
  <c r="Q301" i="1"/>
  <c r="L301" i="1"/>
  <c r="D301" i="1"/>
  <c r="C301" i="1"/>
  <c r="B301" i="1"/>
  <c r="R300" i="1"/>
  <c r="Q300" i="1"/>
  <c r="L300" i="1"/>
  <c r="D300" i="1"/>
  <c r="C300" i="1"/>
  <c r="B300" i="1"/>
  <c r="R299" i="1"/>
  <c r="Q299" i="1"/>
  <c r="L299" i="1"/>
  <c r="D299" i="1"/>
  <c r="C299" i="1"/>
  <c r="B299" i="1"/>
  <c r="R298" i="1"/>
  <c r="Q298" i="1"/>
  <c r="L298" i="1"/>
  <c r="D298" i="1"/>
  <c r="C298" i="1"/>
  <c r="B298" i="1"/>
  <c r="R297" i="1"/>
  <c r="Q297" i="1"/>
  <c r="L297" i="1"/>
  <c r="D297" i="1"/>
  <c r="C297" i="1"/>
  <c r="B297" i="1"/>
  <c r="R296" i="1"/>
  <c r="Q296" i="1"/>
  <c r="L296" i="1"/>
  <c r="D296" i="1"/>
  <c r="C296" i="1"/>
  <c r="B296" i="1"/>
  <c r="R295" i="1"/>
  <c r="Q295" i="1"/>
  <c r="L295" i="1"/>
  <c r="D295" i="1"/>
  <c r="C295" i="1"/>
  <c r="B295" i="1"/>
  <c r="R294" i="1"/>
  <c r="Q294" i="1"/>
  <c r="L294" i="1"/>
  <c r="D294" i="1"/>
  <c r="C294" i="1"/>
  <c r="B294" i="1"/>
  <c r="R293" i="1"/>
  <c r="Q293" i="1"/>
  <c r="L293" i="1"/>
  <c r="D293" i="1"/>
  <c r="C293" i="1"/>
  <c r="B293" i="1"/>
  <c r="R292" i="1"/>
  <c r="Q292" i="1"/>
  <c r="L292" i="1"/>
  <c r="D292" i="1"/>
  <c r="C292" i="1"/>
  <c r="B292" i="1"/>
  <c r="R291" i="1"/>
  <c r="Q291" i="1"/>
  <c r="L291" i="1"/>
  <c r="D291" i="1"/>
  <c r="C291" i="1"/>
  <c r="B291" i="1"/>
  <c r="R290" i="1"/>
  <c r="Q290" i="1"/>
  <c r="L290" i="1"/>
  <c r="D290" i="1"/>
  <c r="C290" i="1"/>
  <c r="B290" i="1"/>
  <c r="R289" i="1"/>
  <c r="Q289" i="1"/>
  <c r="L289" i="1"/>
  <c r="D289" i="1"/>
  <c r="C289" i="1"/>
  <c r="B289" i="1"/>
  <c r="R288" i="1"/>
  <c r="Q288" i="1"/>
  <c r="L288" i="1"/>
  <c r="D288" i="1"/>
  <c r="C288" i="1"/>
  <c r="B288" i="1"/>
  <c r="R287" i="1"/>
  <c r="Q287" i="1"/>
  <c r="L287" i="1"/>
  <c r="D287" i="1"/>
  <c r="C287" i="1"/>
  <c r="B287" i="1"/>
  <c r="R286" i="1"/>
  <c r="Q286" i="1"/>
  <c r="L286" i="1"/>
  <c r="D286" i="1"/>
  <c r="C286" i="1"/>
  <c r="B286" i="1"/>
  <c r="R285" i="1"/>
  <c r="Q285" i="1"/>
  <c r="L285" i="1"/>
  <c r="D285" i="1"/>
  <c r="C285" i="1"/>
  <c r="B285" i="1"/>
  <c r="R284" i="1"/>
  <c r="Q284" i="1"/>
  <c r="L284" i="1"/>
  <c r="D284" i="1"/>
  <c r="C284" i="1"/>
  <c r="B284" i="1"/>
  <c r="R283" i="1"/>
  <c r="Q283" i="1"/>
  <c r="L283" i="1"/>
  <c r="D283" i="1"/>
  <c r="C283" i="1"/>
  <c r="B283" i="1"/>
  <c r="R282" i="1"/>
  <c r="Q282" i="1"/>
  <c r="L282" i="1"/>
  <c r="D282" i="1"/>
  <c r="C282" i="1"/>
  <c r="B282" i="1"/>
  <c r="R281" i="1"/>
  <c r="Q281" i="1"/>
  <c r="L281" i="1"/>
  <c r="D281" i="1"/>
  <c r="C281" i="1"/>
  <c r="B281" i="1"/>
  <c r="R280" i="1"/>
  <c r="Q280" i="1"/>
  <c r="L280" i="1"/>
  <c r="D280" i="1"/>
  <c r="C280" i="1"/>
  <c r="B280" i="1"/>
  <c r="R279" i="1"/>
  <c r="Q279" i="1"/>
  <c r="L279" i="1"/>
  <c r="D279" i="1"/>
  <c r="C279" i="1"/>
  <c r="B279" i="1"/>
  <c r="R278" i="1"/>
  <c r="Q278" i="1"/>
  <c r="L278" i="1"/>
  <c r="D278" i="1"/>
  <c r="C278" i="1"/>
  <c r="B278" i="1"/>
  <c r="R277" i="1"/>
  <c r="Q277" i="1"/>
  <c r="L277" i="1"/>
  <c r="D277" i="1"/>
  <c r="C277" i="1"/>
  <c r="B277" i="1"/>
  <c r="R276" i="1"/>
  <c r="Q276" i="1"/>
  <c r="L276" i="1"/>
  <c r="D276" i="1"/>
  <c r="C276" i="1"/>
  <c r="B276" i="1"/>
  <c r="R275" i="1"/>
  <c r="Q275" i="1"/>
  <c r="L275" i="1"/>
  <c r="D275" i="1"/>
  <c r="C275" i="1"/>
  <c r="B275" i="1"/>
  <c r="R274" i="1"/>
  <c r="Q274" i="1"/>
  <c r="L274" i="1"/>
  <c r="D274" i="1"/>
  <c r="C274" i="1"/>
  <c r="B274" i="1"/>
  <c r="R273" i="1"/>
  <c r="Q273" i="1"/>
  <c r="L273" i="1"/>
  <c r="D273" i="1"/>
  <c r="C273" i="1"/>
  <c r="B273" i="1"/>
  <c r="R272" i="1"/>
  <c r="Q272" i="1"/>
  <c r="L272" i="1"/>
  <c r="D272" i="1"/>
  <c r="C272" i="1"/>
  <c r="B272" i="1"/>
  <c r="R271" i="1"/>
  <c r="Q271" i="1"/>
  <c r="L271" i="1"/>
  <c r="D271" i="1"/>
  <c r="C271" i="1"/>
  <c r="B271" i="1"/>
  <c r="R270" i="1"/>
  <c r="Q270" i="1"/>
  <c r="L270" i="1"/>
  <c r="D270" i="1"/>
  <c r="C270" i="1"/>
  <c r="B270" i="1"/>
  <c r="R269" i="1"/>
  <c r="Q269" i="1"/>
  <c r="L269" i="1"/>
  <c r="D269" i="1"/>
  <c r="C269" i="1"/>
  <c r="B269" i="1"/>
  <c r="R268" i="1"/>
  <c r="Q268" i="1"/>
  <c r="L268" i="1"/>
  <c r="D268" i="1"/>
  <c r="C268" i="1"/>
  <c r="B268" i="1"/>
  <c r="R267" i="1"/>
  <c r="Q267" i="1"/>
  <c r="L267" i="1"/>
  <c r="D267" i="1"/>
  <c r="C267" i="1"/>
  <c r="B267" i="1"/>
  <c r="R266" i="1"/>
  <c r="Q266" i="1"/>
  <c r="L266" i="1"/>
  <c r="D266" i="1"/>
  <c r="C266" i="1"/>
  <c r="B266" i="1"/>
  <c r="R265" i="1"/>
  <c r="Q265" i="1"/>
  <c r="L265" i="1"/>
  <c r="D265" i="1"/>
  <c r="C265" i="1"/>
  <c r="B265" i="1"/>
  <c r="R264" i="1"/>
  <c r="Q264" i="1"/>
  <c r="L264" i="1"/>
  <c r="D264" i="1"/>
  <c r="C264" i="1"/>
  <c r="B264" i="1"/>
  <c r="R263" i="1"/>
  <c r="Q263" i="1"/>
  <c r="L263" i="1"/>
  <c r="D263" i="1"/>
  <c r="C263" i="1"/>
  <c r="B263" i="1"/>
  <c r="R262" i="1"/>
  <c r="Q262" i="1"/>
  <c r="L262" i="1"/>
  <c r="D262" i="1"/>
  <c r="C262" i="1"/>
  <c r="B262" i="1"/>
  <c r="R261" i="1"/>
  <c r="Q261" i="1"/>
  <c r="L261" i="1"/>
  <c r="D261" i="1"/>
  <c r="C261" i="1"/>
  <c r="B261" i="1"/>
  <c r="R260" i="1"/>
  <c r="Q260" i="1"/>
  <c r="L260" i="1"/>
  <c r="D260" i="1"/>
  <c r="C260" i="1"/>
  <c r="B260" i="1"/>
  <c r="R259" i="1"/>
  <c r="Q259" i="1"/>
  <c r="L259" i="1"/>
  <c r="D259" i="1"/>
  <c r="C259" i="1"/>
  <c r="B259" i="1"/>
  <c r="R258" i="1"/>
  <c r="Q258" i="1"/>
  <c r="L258" i="1"/>
  <c r="D258" i="1"/>
  <c r="C258" i="1"/>
  <c r="B258" i="1"/>
  <c r="R257" i="1"/>
  <c r="Q257" i="1"/>
  <c r="L257" i="1"/>
  <c r="D257" i="1"/>
  <c r="C257" i="1"/>
  <c r="B257" i="1"/>
  <c r="R256" i="1"/>
  <c r="Q256" i="1"/>
  <c r="L256" i="1"/>
  <c r="D256" i="1"/>
  <c r="C256" i="1"/>
  <c r="B256" i="1"/>
  <c r="R255" i="1"/>
  <c r="Q255" i="1"/>
  <c r="L255" i="1"/>
  <c r="D255" i="1"/>
  <c r="C255" i="1"/>
  <c r="B255" i="1"/>
  <c r="R254" i="1"/>
  <c r="Q254" i="1"/>
  <c r="L254" i="1"/>
  <c r="D254" i="1"/>
  <c r="C254" i="1"/>
  <c r="B254" i="1"/>
  <c r="R253" i="1"/>
  <c r="Q253" i="1"/>
  <c r="L253" i="1"/>
  <c r="D253" i="1"/>
  <c r="C253" i="1"/>
  <c r="B253" i="1"/>
  <c r="R252" i="1"/>
  <c r="Q252" i="1"/>
  <c r="L252" i="1"/>
  <c r="D252" i="1"/>
  <c r="C252" i="1"/>
  <c r="B252" i="1"/>
  <c r="R251" i="1"/>
  <c r="Q251" i="1"/>
  <c r="L251" i="1"/>
  <c r="D251" i="1"/>
  <c r="C251" i="1"/>
  <c r="B251" i="1"/>
  <c r="R250" i="1"/>
  <c r="Q250" i="1"/>
  <c r="L250" i="1"/>
  <c r="D250" i="1"/>
  <c r="C250" i="1"/>
  <c r="B250" i="1"/>
  <c r="R249" i="1"/>
  <c r="Q249" i="1"/>
  <c r="L249" i="1"/>
  <c r="D249" i="1"/>
  <c r="C249" i="1"/>
  <c r="B249" i="1"/>
  <c r="R248" i="1"/>
  <c r="Q248" i="1"/>
  <c r="L248" i="1"/>
  <c r="D248" i="1"/>
  <c r="C248" i="1"/>
  <c r="B248" i="1"/>
  <c r="R247" i="1"/>
  <c r="Q247" i="1"/>
  <c r="L247" i="1"/>
  <c r="D247" i="1"/>
  <c r="C247" i="1"/>
  <c r="B247" i="1"/>
  <c r="R246" i="1"/>
  <c r="Q246" i="1"/>
  <c r="L246" i="1"/>
  <c r="D246" i="1"/>
  <c r="C246" i="1"/>
  <c r="B246" i="1"/>
  <c r="R245" i="1"/>
  <c r="Q245" i="1"/>
  <c r="L245" i="1"/>
  <c r="D245" i="1"/>
  <c r="C245" i="1"/>
  <c r="B245" i="1"/>
  <c r="R244" i="1"/>
  <c r="Q244" i="1"/>
  <c r="L244" i="1"/>
  <c r="D244" i="1"/>
  <c r="C244" i="1"/>
  <c r="B244" i="1"/>
  <c r="R243" i="1"/>
  <c r="Q243" i="1"/>
  <c r="L243" i="1"/>
  <c r="D243" i="1"/>
  <c r="C243" i="1"/>
  <c r="B243" i="1"/>
  <c r="R242" i="1"/>
  <c r="Q242" i="1"/>
  <c r="L242" i="1"/>
  <c r="D242" i="1"/>
  <c r="C242" i="1"/>
  <c r="B242" i="1"/>
  <c r="R241" i="1"/>
  <c r="Q241" i="1"/>
  <c r="L241" i="1"/>
  <c r="D241" i="1"/>
  <c r="C241" i="1"/>
  <c r="B241" i="1"/>
  <c r="R240" i="1"/>
  <c r="Q240" i="1"/>
  <c r="L240" i="1"/>
  <c r="D240" i="1"/>
  <c r="C240" i="1"/>
  <c r="B240" i="1"/>
  <c r="R239" i="1"/>
  <c r="Q239" i="1"/>
  <c r="L239" i="1"/>
  <c r="D239" i="1"/>
  <c r="C239" i="1"/>
  <c r="B239" i="1"/>
  <c r="R238" i="1"/>
  <c r="Q238" i="1"/>
  <c r="L238" i="1"/>
  <c r="D238" i="1"/>
  <c r="C238" i="1"/>
  <c r="B238" i="1"/>
  <c r="R237" i="1"/>
  <c r="Q237" i="1"/>
  <c r="L237" i="1"/>
  <c r="D237" i="1"/>
  <c r="C237" i="1"/>
  <c r="B237" i="1"/>
  <c r="R236" i="1"/>
  <c r="Q236" i="1"/>
  <c r="L236" i="1"/>
  <c r="D236" i="1"/>
  <c r="C236" i="1"/>
  <c r="B236" i="1"/>
  <c r="R235" i="1"/>
  <c r="Q235" i="1"/>
  <c r="L235" i="1"/>
  <c r="D235" i="1"/>
  <c r="C235" i="1"/>
  <c r="B235" i="1"/>
  <c r="R234" i="1"/>
  <c r="Q234" i="1"/>
  <c r="L234" i="1"/>
  <c r="D234" i="1"/>
  <c r="C234" i="1"/>
  <c r="B234" i="1"/>
  <c r="R233" i="1"/>
  <c r="Q233" i="1"/>
  <c r="L233" i="1"/>
  <c r="D233" i="1"/>
  <c r="C233" i="1"/>
  <c r="B233" i="1"/>
  <c r="R232" i="1"/>
  <c r="Q232" i="1"/>
  <c r="L232" i="1"/>
  <c r="D232" i="1"/>
  <c r="C232" i="1"/>
  <c r="B232" i="1"/>
  <c r="R231" i="1"/>
  <c r="Q231" i="1"/>
  <c r="L231" i="1"/>
  <c r="D231" i="1"/>
  <c r="C231" i="1"/>
  <c r="B231" i="1"/>
  <c r="R230" i="1"/>
  <c r="Q230" i="1"/>
  <c r="L230" i="1"/>
  <c r="D230" i="1"/>
  <c r="C230" i="1"/>
  <c r="B230" i="1"/>
  <c r="R229" i="1"/>
  <c r="Q229" i="1"/>
  <c r="L229" i="1"/>
  <c r="D229" i="1"/>
  <c r="C229" i="1"/>
  <c r="B229" i="1"/>
  <c r="R228" i="1"/>
  <c r="Q228" i="1"/>
  <c r="L228" i="1"/>
  <c r="D228" i="1"/>
  <c r="C228" i="1"/>
  <c r="B228" i="1"/>
  <c r="R227" i="1"/>
  <c r="Q227" i="1"/>
  <c r="L227" i="1"/>
  <c r="D227" i="1"/>
  <c r="C227" i="1"/>
  <c r="B227" i="1"/>
  <c r="R226" i="1"/>
  <c r="Q226" i="1"/>
  <c r="L226" i="1"/>
  <c r="D226" i="1"/>
  <c r="C226" i="1"/>
  <c r="B226" i="1"/>
  <c r="R225" i="1"/>
  <c r="Q225" i="1"/>
  <c r="L225" i="1"/>
  <c r="D225" i="1"/>
  <c r="C225" i="1"/>
  <c r="B225" i="1"/>
  <c r="R224" i="1"/>
  <c r="Q224" i="1"/>
  <c r="L224" i="1"/>
  <c r="D224" i="1"/>
  <c r="C224" i="1"/>
  <c r="B224" i="1"/>
  <c r="R223" i="1"/>
  <c r="Q223" i="1"/>
  <c r="L223" i="1"/>
  <c r="D223" i="1"/>
  <c r="C223" i="1"/>
  <c r="B223" i="1"/>
  <c r="R222" i="1"/>
  <c r="Q222" i="1"/>
  <c r="L222" i="1"/>
  <c r="D222" i="1"/>
  <c r="C222" i="1"/>
  <c r="B222" i="1"/>
  <c r="R221" i="1"/>
  <c r="Q221" i="1"/>
  <c r="L221" i="1"/>
  <c r="D221" i="1"/>
  <c r="C221" i="1"/>
  <c r="B221" i="1"/>
  <c r="R220" i="1"/>
  <c r="Q220" i="1"/>
  <c r="L220" i="1"/>
  <c r="D220" i="1"/>
  <c r="C220" i="1"/>
  <c r="B220" i="1"/>
  <c r="R219" i="1"/>
  <c r="Q219" i="1"/>
  <c r="L219" i="1"/>
  <c r="D219" i="1"/>
  <c r="C219" i="1"/>
  <c r="B219" i="1"/>
  <c r="R218" i="1"/>
  <c r="Q218" i="1"/>
  <c r="L218" i="1"/>
  <c r="D218" i="1"/>
  <c r="C218" i="1"/>
  <c r="B218" i="1"/>
  <c r="R217" i="1"/>
  <c r="Q217" i="1"/>
  <c r="L217" i="1"/>
  <c r="D217" i="1"/>
  <c r="C217" i="1"/>
  <c r="B217" i="1"/>
  <c r="R216" i="1"/>
  <c r="Q216" i="1"/>
  <c r="L216" i="1"/>
  <c r="D216" i="1"/>
  <c r="C216" i="1"/>
  <c r="B216" i="1"/>
  <c r="R215" i="1"/>
  <c r="Q215" i="1"/>
  <c r="L215" i="1"/>
  <c r="D215" i="1"/>
  <c r="C215" i="1"/>
  <c r="B215" i="1"/>
  <c r="R214" i="1"/>
  <c r="Q214" i="1"/>
  <c r="L214" i="1"/>
  <c r="D214" i="1"/>
  <c r="C214" i="1"/>
  <c r="B214" i="1"/>
  <c r="R213" i="1"/>
  <c r="Q213" i="1"/>
  <c r="L213" i="1"/>
  <c r="D213" i="1"/>
  <c r="C213" i="1"/>
  <c r="B213" i="1"/>
  <c r="R212" i="1"/>
  <c r="Q212" i="1"/>
  <c r="L212" i="1"/>
  <c r="D212" i="1"/>
  <c r="C212" i="1"/>
  <c r="B212" i="1"/>
  <c r="R211" i="1"/>
  <c r="Q211" i="1"/>
  <c r="L211" i="1"/>
  <c r="D211" i="1"/>
  <c r="C211" i="1"/>
  <c r="B211" i="1"/>
  <c r="R210" i="1"/>
  <c r="Q210" i="1"/>
  <c r="L210" i="1"/>
  <c r="D210" i="1"/>
  <c r="C210" i="1"/>
  <c r="B210" i="1"/>
  <c r="R209" i="1"/>
  <c r="Q209" i="1"/>
  <c r="L209" i="1"/>
  <c r="D209" i="1"/>
  <c r="C209" i="1"/>
  <c r="B209" i="1"/>
  <c r="R208" i="1"/>
  <c r="Q208" i="1"/>
  <c r="L208" i="1"/>
  <c r="D208" i="1"/>
  <c r="C208" i="1"/>
  <c r="B208" i="1"/>
  <c r="R207" i="1"/>
  <c r="Q207" i="1"/>
  <c r="L207" i="1"/>
  <c r="D207" i="1"/>
  <c r="C207" i="1"/>
  <c r="B207" i="1"/>
  <c r="R206" i="1"/>
  <c r="Q206" i="1"/>
  <c r="L206" i="1"/>
  <c r="D206" i="1"/>
  <c r="C206" i="1"/>
  <c r="B206" i="1"/>
  <c r="R205" i="1"/>
  <c r="Q205" i="1"/>
  <c r="L205" i="1"/>
  <c r="D205" i="1"/>
  <c r="C205" i="1"/>
  <c r="B205" i="1"/>
  <c r="R204" i="1"/>
  <c r="Q204" i="1"/>
  <c r="L204" i="1"/>
  <c r="D204" i="1"/>
  <c r="C204" i="1"/>
  <c r="B204" i="1"/>
  <c r="R203" i="1"/>
  <c r="Q203" i="1"/>
  <c r="L203" i="1"/>
  <c r="D203" i="1"/>
  <c r="C203" i="1"/>
  <c r="B203" i="1"/>
  <c r="R202" i="1"/>
  <c r="Q202" i="1"/>
  <c r="L202" i="1"/>
  <c r="D202" i="1"/>
  <c r="C202" i="1"/>
  <c r="B202" i="1"/>
  <c r="R201" i="1"/>
  <c r="Q201" i="1"/>
  <c r="L201" i="1"/>
  <c r="D201" i="1"/>
  <c r="C201" i="1"/>
  <c r="B201" i="1"/>
  <c r="R200" i="1"/>
  <c r="Q200" i="1"/>
  <c r="L200" i="1"/>
  <c r="D200" i="1"/>
  <c r="C200" i="1"/>
  <c r="B200" i="1"/>
  <c r="R199" i="1"/>
  <c r="Q199" i="1"/>
  <c r="L199" i="1"/>
  <c r="D199" i="1"/>
  <c r="C199" i="1"/>
  <c r="B199" i="1"/>
  <c r="R198" i="1"/>
  <c r="Q198" i="1"/>
  <c r="L198" i="1"/>
  <c r="D198" i="1"/>
  <c r="C198" i="1"/>
  <c r="B198" i="1"/>
  <c r="R197" i="1"/>
  <c r="Q197" i="1"/>
  <c r="L197" i="1"/>
  <c r="D197" i="1"/>
  <c r="C197" i="1"/>
  <c r="B197" i="1"/>
  <c r="R196" i="1"/>
  <c r="Q196" i="1"/>
  <c r="L196" i="1"/>
  <c r="D196" i="1"/>
  <c r="C196" i="1"/>
  <c r="B196" i="1"/>
  <c r="R195" i="1"/>
  <c r="Q195" i="1"/>
  <c r="L195" i="1"/>
  <c r="D195" i="1"/>
  <c r="C195" i="1"/>
  <c r="B195" i="1"/>
  <c r="R194" i="1"/>
  <c r="Q194" i="1"/>
  <c r="L194" i="1"/>
  <c r="D194" i="1"/>
  <c r="C194" i="1"/>
  <c r="B194" i="1"/>
  <c r="R193" i="1"/>
  <c r="Q193" i="1"/>
  <c r="L193" i="1"/>
  <c r="D193" i="1"/>
  <c r="C193" i="1"/>
  <c r="B193" i="1"/>
  <c r="R192" i="1"/>
  <c r="Q192" i="1"/>
  <c r="L192" i="1"/>
  <c r="D192" i="1"/>
  <c r="C192" i="1"/>
  <c r="B192" i="1"/>
  <c r="R191" i="1"/>
  <c r="Q191" i="1"/>
  <c r="L191" i="1"/>
  <c r="D191" i="1"/>
  <c r="C191" i="1"/>
  <c r="B191" i="1"/>
  <c r="R190" i="1"/>
  <c r="Q190" i="1"/>
  <c r="L190" i="1"/>
  <c r="D190" i="1"/>
  <c r="C190" i="1"/>
  <c r="B190" i="1"/>
  <c r="R189" i="1"/>
  <c r="Q189" i="1"/>
  <c r="L189" i="1"/>
  <c r="D189" i="1"/>
  <c r="C189" i="1"/>
  <c r="B189" i="1"/>
  <c r="R188" i="1"/>
  <c r="Q188" i="1"/>
  <c r="L188" i="1"/>
  <c r="D188" i="1"/>
  <c r="C188" i="1"/>
  <c r="B188" i="1"/>
  <c r="R187" i="1"/>
  <c r="Q187" i="1"/>
  <c r="L187" i="1"/>
  <c r="D187" i="1"/>
  <c r="C187" i="1"/>
  <c r="B187" i="1"/>
  <c r="R186" i="1"/>
  <c r="Q186" i="1"/>
  <c r="L186" i="1"/>
  <c r="D186" i="1"/>
  <c r="C186" i="1"/>
  <c r="B186" i="1"/>
  <c r="R185" i="1"/>
  <c r="Q185" i="1"/>
  <c r="L185" i="1"/>
  <c r="D185" i="1"/>
  <c r="C185" i="1"/>
  <c r="B185" i="1"/>
  <c r="R184" i="1"/>
  <c r="Q184" i="1"/>
  <c r="L184" i="1"/>
  <c r="D184" i="1"/>
  <c r="C184" i="1"/>
  <c r="B184" i="1"/>
  <c r="R183" i="1"/>
  <c r="Q183" i="1"/>
  <c r="L183" i="1"/>
  <c r="D183" i="1"/>
  <c r="C183" i="1"/>
  <c r="B183" i="1"/>
  <c r="R182" i="1"/>
  <c r="Q182" i="1"/>
  <c r="L182" i="1"/>
  <c r="D182" i="1"/>
  <c r="C182" i="1"/>
  <c r="B182" i="1"/>
  <c r="R181" i="1"/>
  <c r="Q181" i="1"/>
  <c r="L181" i="1"/>
  <c r="D181" i="1"/>
  <c r="C181" i="1"/>
  <c r="B181" i="1"/>
  <c r="R180" i="1"/>
  <c r="Q180" i="1"/>
  <c r="L180" i="1"/>
  <c r="D180" i="1"/>
  <c r="C180" i="1"/>
  <c r="B180" i="1"/>
  <c r="R179" i="1"/>
  <c r="Q179" i="1"/>
  <c r="L179" i="1"/>
  <c r="D179" i="1"/>
  <c r="C179" i="1"/>
  <c r="B179" i="1"/>
  <c r="R178" i="1"/>
  <c r="Q178" i="1"/>
  <c r="L178" i="1"/>
  <c r="D178" i="1"/>
  <c r="C178" i="1"/>
  <c r="B178" i="1"/>
  <c r="R177" i="1"/>
  <c r="Q177" i="1"/>
  <c r="L177" i="1"/>
  <c r="D177" i="1"/>
  <c r="C177" i="1"/>
  <c r="B177" i="1"/>
  <c r="R176" i="1"/>
  <c r="Q176" i="1"/>
  <c r="L176" i="1"/>
  <c r="D176" i="1"/>
  <c r="C176" i="1"/>
  <c r="B176" i="1"/>
  <c r="R175" i="1"/>
  <c r="Q175" i="1"/>
  <c r="L175" i="1"/>
  <c r="D175" i="1"/>
  <c r="C175" i="1"/>
  <c r="B175" i="1"/>
  <c r="R174" i="1"/>
  <c r="Q174" i="1"/>
  <c r="L174" i="1"/>
  <c r="D174" i="1"/>
  <c r="C174" i="1"/>
  <c r="B174" i="1"/>
  <c r="R173" i="1"/>
  <c r="Q173" i="1"/>
  <c r="L173" i="1"/>
  <c r="D173" i="1"/>
  <c r="C173" i="1"/>
  <c r="B173" i="1"/>
  <c r="R172" i="1"/>
  <c r="Q172" i="1"/>
  <c r="L172" i="1"/>
  <c r="D172" i="1"/>
  <c r="C172" i="1"/>
  <c r="B172" i="1"/>
  <c r="R171" i="1"/>
  <c r="Q171" i="1"/>
  <c r="L171" i="1"/>
  <c r="D171" i="1"/>
  <c r="C171" i="1"/>
  <c r="B171" i="1"/>
  <c r="R170" i="1"/>
  <c r="Q170" i="1"/>
  <c r="L170" i="1"/>
  <c r="D170" i="1"/>
  <c r="C170" i="1"/>
  <c r="B170" i="1"/>
  <c r="R169" i="1"/>
  <c r="Q169" i="1"/>
  <c r="L169" i="1"/>
  <c r="D169" i="1"/>
  <c r="C169" i="1"/>
  <c r="B169" i="1"/>
  <c r="R168" i="1"/>
  <c r="Q168" i="1"/>
  <c r="L168" i="1"/>
  <c r="D168" i="1"/>
  <c r="C168" i="1"/>
  <c r="B168" i="1"/>
  <c r="R167" i="1"/>
  <c r="Q167" i="1"/>
  <c r="L167" i="1"/>
  <c r="D167" i="1"/>
  <c r="C167" i="1"/>
  <c r="B167" i="1"/>
  <c r="R166" i="1"/>
  <c r="Q166" i="1"/>
  <c r="L166" i="1"/>
  <c r="D166" i="1"/>
  <c r="C166" i="1"/>
  <c r="B166" i="1"/>
  <c r="R165" i="1"/>
  <c r="Q165" i="1"/>
  <c r="L165" i="1"/>
  <c r="D165" i="1"/>
  <c r="C165" i="1"/>
  <c r="B165" i="1"/>
  <c r="R164" i="1"/>
  <c r="Q164" i="1"/>
  <c r="L164" i="1"/>
  <c r="D164" i="1"/>
  <c r="C164" i="1"/>
  <c r="B164" i="1"/>
  <c r="R163" i="1"/>
  <c r="Q163" i="1"/>
  <c r="L163" i="1"/>
  <c r="D163" i="1"/>
  <c r="C163" i="1"/>
  <c r="B163" i="1"/>
  <c r="R162" i="1"/>
  <c r="Q162" i="1"/>
  <c r="L162" i="1"/>
  <c r="D162" i="1"/>
  <c r="C162" i="1"/>
  <c r="B162" i="1"/>
  <c r="R161" i="1"/>
  <c r="Q161" i="1"/>
  <c r="L161" i="1"/>
  <c r="D161" i="1"/>
  <c r="C161" i="1"/>
  <c r="B161" i="1"/>
  <c r="R160" i="1"/>
  <c r="Q160" i="1"/>
  <c r="L160" i="1"/>
  <c r="D160" i="1"/>
  <c r="C160" i="1"/>
  <c r="B160" i="1"/>
  <c r="R159" i="1"/>
  <c r="Q159" i="1"/>
  <c r="L159" i="1"/>
  <c r="D159" i="1"/>
  <c r="C159" i="1"/>
  <c r="B159" i="1"/>
  <c r="R158" i="1"/>
  <c r="Q158" i="1"/>
  <c r="L158" i="1"/>
  <c r="D158" i="1"/>
  <c r="C158" i="1"/>
  <c r="B158" i="1"/>
  <c r="R157" i="1"/>
  <c r="Q157" i="1"/>
  <c r="L157" i="1"/>
  <c r="D157" i="1"/>
  <c r="C157" i="1"/>
  <c r="B157" i="1"/>
  <c r="R156" i="1"/>
  <c r="Q156" i="1"/>
  <c r="L156" i="1"/>
  <c r="D156" i="1"/>
  <c r="C156" i="1"/>
  <c r="B156" i="1"/>
  <c r="R155" i="1"/>
  <c r="Q155" i="1"/>
  <c r="L155" i="1"/>
  <c r="D155" i="1"/>
  <c r="C155" i="1"/>
  <c r="B155" i="1"/>
  <c r="R154" i="1"/>
  <c r="Q154" i="1"/>
  <c r="L154" i="1"/>
  <c r="D154" i="1"/>
  <c r="C154" i="1"/>
  <c r="B154" i="1"/>
  <c r="R153" i="1"/>
  <c r="Q153" i="1"/>
  <c r="L153" i="1"/>
  <c r="D153" i="1"/>
  <c r="C153" i="1"/>
  <c r="B153" i="1"/>
  <c r="R152" i="1"/>
  <c r="Q152" i="1"/>
  <c r="L152" i="1"/>
  <c r="D152" i="1"/>
  <c r="C152" i="1"/>
  <c r="B152" i="1"/>
  <c r="R151" i="1"/>
  <c r="Q151" i="1"/>
  <c r="L151" i="1"/>
  <c r="D151" i="1"/>
  <c r="C151" i="1"/>
  <c r="B151" i="1"/>
  <c r="R150" i="1"/>
  <c r="Q150" i="1"/>
  <c r="L150" i="1"/>
  <c r="D150" i="1"/>
  <c r="C150" i="1"/>
  <c r="B150" i="1"/>
  <c r="R149" i="1"/>
  <c r="Q149" i="1"/>
  <c r="L149" i="1"/>
  <c r="D149" i="1"/>
  <c r="C149" i="1"/>
  <c r="B149" i="1"/>
  <c r="R148" i="1"/>
  <c r="Q148" i="1"/>
  <c r="L148" i="1"/>
  <c r="D148" i="1"/>
  <c r="C148" i="1"/>
  <c r="B148" i="1"/>
  <c r="R147" i="1"/>
  <c r="Q147" i="1"/>
  <c r="L147" i="1"/>
  <c r="D147" i="1"/>
  <c r="C147" i="1"/>
  <c r="B147" i="1"/>
  <c r="R146" i="1"/>
  <c r="Q146" i="1"/>
  <c r="L146" i="1"/>
  <c r="D146" i="1"/>
  <c r="C146" i="1"/>
  <c r="B146" i="1"/>
  <c r="R145" i="1"/>
  <c r="Q145" i="1"/>
  <c r="L145" i="1"/>
  <c r="D145" i="1"/>
  <c r="C145" i="1"/>
  <c r="B145" i="1"/>
  <c r="R144" i="1"/>
  <c r="Q144" i="1"/>
  <c r="L144" i="1"/>
  <c r="D144" i="1"/>
  <c r="C144" i="1"/>
  <c r="B144" i="1"/>
  <c r="R143" i="1"/>
  <c r="Q143" i="1"/>
  <c r="L143" i="1"/>
  <c r="D143" i="1"/>
  <c r="C143" i="1"/>
  <c r="B143" i="1"/>
  <c r="R142" i="1"/>
  <c r="Q142" i="1"/>
  <c r="L142" i="1"/>
  <c r="D142" i="1"/>
  <c r="C142" i="1"/>
  <c r="B142" i="1"/>
  <c r="R141" i="1"/>
  <c r="Q141" i="1"/>
  <c r="L141" i="1"/>
  <c r="D141" i="1"/>
  <c r="C141" i="1"/>
  <c r="B141" i="1"/>
  <c r="R140" i="1"/>
  <c r="Q140" i="1"/>
  <c r="L140" i="1"/>
  <c r="D140" i="1"/>
  <c r="C140" i="1"/>
  <c r="B140" i="1"/>
  <c r="R139" i="1"/>
  <c r="Q139" i="1"/>
  <c r="L139" i="1"/>
  <c r="D139" i="1"/>
  <c r="C139" i="1"/>
  <c r="B139" i="1"/>
  <c r="R138" i="1"/>
  <c r="Q138" i="1"/>
  <c r="L138" i="1"/>
  <c r="D138" i="1"/>
  <c r="C138" i="1"/>
  <c r="B138" i="1"/>
  <c r="R137" i="1"/>
  <c r="Q137" i="1"/>
  <c r="L137" i="1"/>
  <c r="D137" i="1"/>
  <c r="C137" i="1"/>
  <c r="B137" i="1"/>
  <c r="R136" i="1"/>
  <c r="Q136" i="1"/>
  <c r="L136" i="1"/>
  <c r="D136" i="1"/>
  <c r="C136" i="1"/>
  <c r="B136" i="1"/>
  <c r="R135" i="1"/>
  <c r="Q135" i="1"/>
  <c r="L135" i="1"/>
  <c r="D135" i="1"/>
  <c r="C135" i="1"/>
  <c r="B135" i="1"/>
  <c r="R134" i="1"/>
  <c r="Q134" i="1"/>
  <c r="L134" i="1"/>
  <c r="D134" i="1"/>
  <c r="C134" i="1"/>
  <c r="B134" i="1"/>
  <c r="R133" i="1"/>
  <c r="Q133" i="1"/>
  <c r="L133" i="1"/>
  <c r="D133" i="1"/>
  <c r="C133" i="1"/>
  <c r="B133" i="1"/>
  <c r="R132" i="1"/>
  <c r="Q132" i="1"/>
  <c r="L132" i="1"/>
  <c r="D132" i="1"/>
  <c r="C132" i="1"/>
  <c r="B132" i="1"/>
  <c r="R131" i="1"/>
  <c r="Q131" i="1"/>
  <c r="L131" i="1"/>
  <c r="D131" i="1"/>
  <c r="C131" i="1"/>
  <c r="B131" i="1"/>
  <c r="R130" i="1"/>
  <c r="Q130" i="1"/>
  <c r="L130" i="1"/>
  <c r="D130" i="1"/>
  <c r="C130" i="1"/>
  <c r="B130" i="1"/>
  <c r="R129" i="1"/>
  <c r="Q129" i="1"/>
  <c r="L129" i="1"/>
  <c r="D129" i="1"/>
  <c r="C129" i="1"/>
  <c r="B129" i="1"/>
  <c r="R128" i="1"/>
  <c r="Q128" i="1"/>
  <c r="L128" i="1"/>
  <c r="D128" i="1"/>
  <c r="C128" i="1"/>
  <c r="B128" i="1"/>
  <c r="R127" i="1"/>
  <c r="Q127" i="1"/>
  <c r="L127" i="1"/>
  <c r="D127" i="1"/>
  <c r="C127" i="1"/>
  <c r="B127" i="1"/>
  <c r="R126" i="1"/>
  <c r="Q126" i="1"/>
  <c r="L126" i="1"/>
  <c r="D126" i="1"/>
  <c r="C126" i="1"/>
  <c r="B126" i="1"/>
  <c r="R125" i="1"/>
  <c r="Q125" i="1"/>
  <c r="L125" i="1"/>
  <c r="D125" i="1"/>
  <c r="C125" i="1"/>
  <c r="B125" i="1"/>
  <c r="R124" i="1"/>
  <c r="Q124" i="1"/>
  <c r="L124" i="1"/>
  <c r="D124" i="1"/>
  <c r="C124" i="1"/>
  <c r="B124" i="1"/>
  <c r="R123" i="1"/>
  <c r="Q123" i="1"/>
  <c r="L123" i="1"/>
  <c r="D123" i="1"/>
  <c r="C123" i="1"/>
  <c r="B123" i="1"/>
  <c r="R122" i="1"/>
  <c r="Q122" i="1"/>
  <c r="L122" i="1"/>
  <c r="D122" i="1"/>
  <c r="C122" i="1"/>
  <c r="B122" i="1"/>
  <c r="R121" i="1"/>
  <c r="Q121" i="1"/>
  <c r="L121" i="1"/>
  <c r="D121" i="1"/>
  <c r="C121" i="1"/>
  <c r="B121" i="1"/>
  <c r="R120" i="1"/>
  <c r="Q120" i="1"/>
  <c r="L120" i="1"/>
  <c r="D120" i="1"/>
  <c r="C120" i="1"/>
  <c r="B120" i="1"/>
  <c r="R119" i="1"/>
  <c r="Q119" i="1"/>
  <c r="L119" i="1"/>
  <c r="D119" i="1"/>
  <c r="C119" i="1"/>
  <c r="B119" i="1"/>
  <c r="R118" i="1"/>
  <c r="Q118" i="1"/>
  <c r="L118" i="1"/>
  <c r="D118" i="1"/>
  <c r="C118" i="1"/>
  <c r="B118" i="1"/>
  <c r="R117" i="1"/>
  <c r="Q117" i="1"/>
  <c r="L117" i="1"/>
  <c r="D117" i="1"/>
  <c r="C117" i="1"/>
  <c r="B117" i="1"/>
  <c r="R116" i="1"/>
  <c r="Q116" i="1"/>
  <c r="L116" i="1"/>
  <c r="D116" i="1"/>
  <c r="C116" i="1"/>
  <c r="B116" i="1"/>
  <c r="R115" i="1"/>
  <c r="Q115" i="1"/>
  <c r="L115" i="1"/>
  <c r="D115" i="1"/>
  <c r="C115" i="1"/>
  <c r="B115" i="1"/>
  <c r="R114" i="1"/>
  <c r="Q114" i="1"/>
  <c r="L114" i="1"/>
  <c r="D114" i="1"/>
  <c r="C114" i="1"/>
  <c r="B114" i="1"/>
  <c r="R113" i="1"/>
  <c r="Q113" i="1"/>
  <c r="L113" i="1"/>
  <c r="D113" i="1"/>
  <c r="C113" i="1"/>
  <c r="B113" i="1"/>
  <c r="R112" i="1"/>
  <c r="Q112" i="1"/>
  <c r="L112" i="1"/>
  <c r="D112" i="1"/>
  <c r="C112" i="1"/>
  <c r="B112" i="1"/>
  <c r="R111" i="1"/>
  <c r="Q111" i="1"/>
  <c r="L111" i="1"/>
  <c r="D111" i="1"/>
  <c r="C111" i="1"/>
  <c r="B111" i="1"/>
  <c r="R110" i="1"/>
  <c r="Q110" i="1"/>
  <c r="L110" i="1"/>
  <c r="D110" i="1"/>
  <c r="C110" i="1"/>
  <c r="B110" i="1"/>
  <c r="R109" i="1"/>
  <c r="Q109" i="1"/>
  <c r="L109" i="1"/>
  <c r="D109" i="1"/>
  <c r="C109" i="1"/>
  <c r="B109" i="1"/>
  <c r="R108" i="1"/>
  <c r="Q108" i="1"/>
  <c r="L108" i="1"/>
  <c r="D108" i="1"/>
  <c r="C108" i="1"/>
  <c r="B108" i="1"/>
  <c r="R107" i="1"/>
  <c r="Q107" i="1"/>
  <c r="L107" i="1"/>
  <c r="D107" i="1"/>
  <c r="C107" i="1"/>
  <c r="B107" i="1"/>
  <c r="R106" i="1"/>
  <c r="Q106" i="1"/>
  <c r="L106" i="1"/>
  <c r="D106" i="1"/>
  <c r="C106" i="1"/>
  <c r="B106" i="1"/>
  <c r="R105" i="1"/>
  <c r="Q105" i="1"/>
  <c r="L105" i="1"/>
  <c r="D105" i="1"/>
  <c r="C105" i="1"/>
  <c r="B105" i="1"/>
  <c r="R104" i="1"/>
  <c r="Q104" i="1"/>
  <c r="L104" i="1"/>
  <c r="D104" i="1"/>
  <c r="C104" i="1"/>
  <c r="B104" i="1"/>
  <c r="R103" i="1"/>
  <c r="Q103" i="1"/>
  <c r="L103" i="1"/>
  <c r="D103" i="1"/>
  <c r="C103" i="1"/>
  <c r="B103" i="1"/>
  <c r="R102" i="1"/>
  <c r="Q102" i="1"/>
  <c r="L102" i="1"/>
  <c r="D102" i="1"/>
  <c r="C102" i="1"/>
  <c r="B102" i="1"/>
  <c r="R101" i="1"/>
  <c r="Q101" i="1"/>
  <c r="L101" i="1"/>
  <c r="D101" i="1"/>
  <c r="C101" i="1"/>
  <c r="B101" i="1"/>
  <c r="R100" i="1"/>
  <c r="Q100" i="1"/>
  <c r="L100" i="1"/>
  <c r="D100" i="1"/>
  <c r="C100" i="1"/>
  <c r="B100" i="1"/>
  <c r="R99" i="1"/>
  <c r="Q99" i="1"/>
  <c r="L99" i="1"/>
  <c r="D99" i="1"/>
  <c r="C99" i="1"/>
  <c r="B99" i="1"/>
  <c r="R98" i="1"/>
  <c r="Q98" i="1"/>
  <c r="L98" i="1"/>
  <c r="D98" i="1"/>
  <c r="C98" i="1"/>
  <c r="B98" i="1"/>
  <c r="R97" i="1"/>
  <c r="Q97" i="1"/>
  <c r="L97" i="1"/>
  <c r="D97" i="1"/>
  <c r="C97" i="1"/>
  <c r="B97" i="1"/>
  <c r="R96" i="1"/>
  <c r="Q96" i="1"/>
  <c r="L96" i="1"/>
  <c r="D96" i="1"/>
  <c r="C96" i="1"/>
  <c r="B96" i="1"/>
  <c r="R95" i="1"/>
  <c r="Q95" i="1"/>
  <c r="L95" i="1"/>
  <c r="D95" i="1"/>
  <c r="C95" i="1"/>
  <c r="B95" i="1"/>
  <c r="R94" i="1"/>
  <c r="Q94" i="1"/>
  <c r="L94" i="1"/>
  <c r="D94" i="1"/>
  <c r="C94" i="1"/>
  <c r="B94" i="1"/>
  <c r="R93" i="1"/>
  <c r="Q93" i="1"/>
  <c r="L93" i="1"/>
  <c r="D93" i="1"/>
  <c r="C93" i="1"/>
  <c r="B93" i="1"/>
  <c r="R92" i="1"/>
  <c r="Q92" i="1"/>
  <c r="L92" i="1"/>
  <c r="D92" i="1"/>
  <c r="C92" i="1"/>
  <c r="B92" i="1"/>
  <c r="R91" i="1"/>
  <c r="Q91" i="1"/>
  <c r="L91" i="1"/>
  <c r="D91" i="1"/>
  <c r="C91" i="1"/>
  <c r="B91" i="1"/>
  <c r="R90" i="1"/>
  <c r="Q90" i="1"/>
  <c r="L90" i="1"/>
  <c r="D90" i="1"/>
  <c r="C90" i="1"/>
  <c r="B90" i="1"/>
  <c r="R89" i="1"/>
  <c r="Q89" i="1"/>
  <c r="L89" i="1"/>
  <c r="D89" i="1"/>
  <c r="C89" i="1"/>
  <c r="B89" i="1"/>
  <c r="R88" i="1"/>
  <c r="Q88" i="1"/>
  <c r="L88" i="1"/>
  <c r="D88" i="1"/>
  <c r="C88" i="1"/>
  <c r="B88" i="1"/>
  <c r="R87" i="1"/>
  <c r="Q87" i="1"/>
  <c r="L87" i="1"/>
  <c r="D87" i="1"/>
  <c r="C87" i="1"/>
  <c r="B87" i="1"/>
  <c r="R86" i="1"/>
  <c r="Q86" i="1"/>
  <c r="L86" i="1"/>
  <c r="D86" i="1"/>
  <c r="C86" i="1"/>
  <c r="B86" i="1"/>
  <c r="R85" i="1"/>
  <c r="Q85" i="1"/>
  <c r="L85" i="1"/>
  <c r="D85" i="1"/>
  <c r="C85" i="1"/>
  <c r="B85" i="1"/>
  <c r="R84" i="1"/>
  <c r="Q84" i="1"/>
  <c r="L84" i="1"/>
  <c r="D84" i="1"/>
  <c r="C84" i="1"/>
  <c r="B84" i="1"/>
  <c r="R83" i="1"/>
  <c r="Q83" i="1"/>
  <c r="L83" i="1"/>
  <c r="D83" i="1"/>
  <c r="C83" i="1"/>
  <c r="B83" i="1"/>
  <c r="R82" i="1"/>
  <c r="Q82" i="1"/>
  <c r="L82" i="1"/>
  <c r="D82" i="1"/>
  <c r="C82" i="1"/>
  <c r="B82" i="1"/>
  <c r="R81" i="1"/>
  <c r="Q81" i="1"/>
  <c r="L81" i="1"/>
  <c r="D81" i="1"/>
  <c r="C81" i="1"/>
  <c r="B81" i="1"/>
  <c r="R80" i="1"/>
  <c r="Q80" i="1"/>
  <c r="L80" i="1"/>
  <c r="D80" i="1"/>
  <c r="C80" i="1"/>
  <c r="B80" i="1"/>
  <c r="R79" i="1"/>
  <c r="Q79" i="1"/>
  <c r="L79" i="1"/>
  <c r="D79" i="1"/>
  <c r="C79" i="1"/>
  <c r="B79" i="1"/>
  <c r="R78" i="1"/>
  <c r="Q78" i="1"/>
  <c r="L78" i="1"/>
  <c r="D78" i="1"/>
  <c r="C78" i="1"/>
  <c r="B78" i="1"/>
  <c r="R77" i="1"/>
  <c r="Q77" i="1"/>
  <c r="L77" i="1"/>
  <c r="D77" i="1"/>
  <c r="C77" i="1"/>
  <c r="B77" i="1"/>
  <c r="R76" i="1"/>
  <c r="Q76" i="1"/>
  <c r="L76" i="1"/>
  <c r="D76" i="1"/>
  <c r="C76" i="1"/>
  <c r="B76" i="1"/>
  <c r="R75" i="1"/>
  <c r="Q75" i="1"/>
  <c r="L75" i="1"/>
  <c r="D75" i="1"/>
  <c r="C75" i="1"/>
  <c r="B75" i="1"/>
  <c r="R74" i="1"/>
  <c r="Q74" i="1"/>
  <c r="L74" i="1"/>
  <c r="D74" i="1"/>
  <c r="C74" i="1"/>
  <c r="B74" i="1"/>
  <c r="R73" i="1"/>
  <c r="Q73" i="1"/>
  <c r="L73" i="1"/>
  <c r="D73" i="1"/>
  <c r="C73" i="1"/>
  <c r="B73" i="1"/>
  <c r="R72" i="1"/>
  <c r="Q72" i="1"/>
  <c r="L72" i="1"/>
  <c r="D72" i="1"/>
  <c r="C72" i="1"/>
  <c r="B72" i="1"/>
  <c r="R71" i="1"/>
  <c r="Q71" i="1"/>
  <c r="L71" i="1"/>
  <c r="D71" i="1"/>
  <c r="C71" i="1"/>
  <c r="B71" i="1"/>
  <c r="R70" i="1"/>
  <c r="Q70" i="1"/>
  <c r="L70" i="1"/>
  <c r="D70" i="1"/>
  <c r="C70" i="1"/>
  <c r="B70" i="1"/>
  <c r="R69" i="1"/>
  <c r="Q69" i="1"/>
  <c r="L69" i="1"/>
  <c r="D69" i="1"/>
  <c r="C69" i="1"/>
  <c r="B69" i="1"/>
  <c r="R68" i="1"/>
  <c r="Q68" i="1"/>
  <c r="L68" i="1"/>
  <c r="D68" i="1"/>
  <c r="C68" i="1"/>
  <c r="B68" i="1"/>
  <c r="R67" i="1"/>
  <c r="Q67" i="1"/>
  <c r="L67" i="1"/>
  <c r="D67" i="1"/>
  <c r="C67" i="1"/>
  <c r="B67" i="1"/>
  <c r="R66" i="1"/>
  <c r="Q66" i="1"/>
  <c r="L66" i="1"/>
  <c r="D66" i="1"/>
  <c r="C66" i="1"/>
  <c r="B66" i="1"/>
  <c r="R65" i="1"/>
  <c r="Q65" i="1"/>
  <c r="L65" i="1"/>
  <c r="D65" i="1"/>
  <c r="C65" i="1"/>
  <c r="B65" i="1"/>
  <c r="R64" i="1"/>
  <c r="Q64" i="1"/>
  <c r="L64" i="1"/>
  <c r="D64" i="1"/>
  <c r="C64" i="1"/>
  <c r="B64" i="1"/>
  <c r="R63" i="1"/>
  <c r="Q63" i="1"/>
  <c r="L63" i="1"/>
  <c r="D63" i="1"/>
  <c r="C63" i="1"/>
  <c r="B63" i="1"/>
  <c r="R62" i="1"/>
  <c r="Q62" i="1"/>
  <c r="L62" i="1"/>
  <c r="D62" i="1"/>
  <c r="C62" i="1"/>
  <c r="B62" i="1"/>
  <c r="R61" i="1"/>
  <c r="Q61" i="1"/>
  <c r="L61" i="1"/>
  <c r="D61" i="1"/>
  <c r="C61" i="1"/>
  <c r="B61" i="1"/>
  <c r="R60" i="1"/>
  <c r="Q60" i="1"/>
  <c r="L60" i="1"/>
  <c r="D60" i="1"/>
  <c r="C60" i="1"/>
  <c r="B60" i="1"/>
  <c r="R59" i="1"/>
  <c r="Q59" i="1"/>
  <c r="L59" i="1"/>
  <c r="D59" i="1"/>
  <c r="C59" i="1"/>
  <c r="B59" i="1"/>
  <c r="R58" i="1"/>
  <c r="Q58" i="1"/>
  <c r="L58" i="1"/>
  <c r="D58" i="1"/>
  <c r="C58" i="1"/>
  <c r="B58" i="1"/>
  <c r="R57" i="1"/>
  <c r="Q57" i="1"/>
  <c r="L57" i="1"/>
  <c r="D57" i="1"/>
  <c r="C57" i="1"/>
  <c r="B57" i="1"/>
  <c r="R56" i="1"/>
  <c r="Q56" i="1"/>
  <c r="L56" i="1"/>
  <c r="D56" i="1"/>
  <c r="C56" i="1"/>
  <c r="B56" i="1"/>
  <c r="R55" i="1"/>
  <c r="Q55" i="1"/>
  <c r="L55" i="1"/>
  <c r="D55" i="1"/>
  <c r="C55" i="1"/>
  <c r="B55" i="1"/>
  <c r="R54" i="1"/>
  <c r="Q54" i="1"/>
  <c r="L54" i="1"/>
  <c r="D54" i="1"/>
  <c r="C54" i="1"/>
  <c r="B54" i="1"/>
  <c r="R53" i="1"/>
  <c r="Q53" i="1"/>
  <c r="L53" i="1"/>
  <c r="D53" i="1"/>
  <c r="C53" i="1"/>
  <c r="B53" i="1"/>
  <c r="R52" i="1"/>
  <c r="Q52" i="1"/>
  <c r="L52" i="1"/>
  <c r="D52" i="1"/>
  <c r="C52" i="1"/>
  <c r="B52" i="1"/>
  <c r="R51" i="1"/>
  <c r="Q51" i="1"/>
  <c r="L51" i="1"/>
  <c r="D51" i="1"/>
  <c r="C51" i="1"/>
  <c r="B51" i="1"/>
  <c r="R50" i="1"/>
  <c r="Q50" i="1"/>
  <c r="L50" i="1"/>
  <c r="D50" i="1"/>
  <c r="C50" i="1"/>
  <c r="B50" i="1"/>
  <c r="R49" i="1"/>
  <c r="Q49" i="1"/>
  <c r="L49" i="1"/>
  <c r="D49" i="1"/>
  <c r="C49" i="1"/>
  <c r="B49" i="1"/>
  <c r="R48" i="1"/>
  <c r="Q48" i="1"/>
  <c r="L48" i="1"/>
  <c r="D48" i="1"/>
  <c r="C48" i="1"/>
  <c r="B48" i="1"/>
  <c r="R47" i="1"/>
  <c r="Q47" i="1"/>
  <c r="L47" i="1"/>
  <c r="D47" i="1"/>
  <c r="C47" i="1"/>
  <c r="B47" i="1"/>
  <c r="R46" i="1"/>
  <c r="Q46" i="1"/>
  <c r="L46" i="1"/>
  <c r="D46" i="1"/>
  <c r="C46" i="1"/>
  <c r="B46" i="1"/>
  <c r="R45" i="1"/>
  <c r="Q45" i="1"/>
  <c r="L45" i="1"/>
  <c r="D45" i="1"/>
  <c r="C45" i="1"/>
  <c r="B45" i="1"/>
  <c r="R44" i="1"/>
  <c r="Q44" i="1"/>
  <c r="L44" i="1"/>
  <c r="D44" i="1"/>
  <c r="C44" i="1"/>
  <c r="B44" i="1"/>
  <c r="R43" i="1"/>
  <c r="Q43" i="1"/>
  <c r="L43" i="1"/>
  <c r="D43" i="1"/>
  <c r="C43" i="1"/>
  <c r="B43" i="1"/>
  <c r="R42" i="1"/>
  <c r="Q42" i="1"/>
  <c r="L42" i="1"/>
  <c r="D42" i="1"/>
  <c r="C42" i="1"/>
  <c r="B42" i="1"/>
  <c r="R41" i="1"/>
  <c r="Q41" i="1"/>
  <c r="L41" i="1"/>
  <c r="D41" i="1"/>
  <c r="C41" i="1"/>
  <c r="B41" i="1"/>
  <c r="R40" i="1"/>
  <c r="Q40" i="1"/>
  <c r="L40" i="1"/>
  <c r="D40" i="1"/>
  <c r="C40" i="1"/>
  <c r="B40" i="1"/>
  <c r="R39" i="1"/>
  <c r="Q39" i="1"/>
  <c r="L39" i="1"/>
  <c r="D39" i="1"/>
  <c r="C39" i="1"/>
  <c r="B39" i="1"/>
  <c r="R38" i="1"/>
  <c r="Q38" i="1"/>
  <c r="L38" i="1"/>
  <c r="D38" i="1"/>
  <c r="C38" i="1"/>
  <c r="B38" i="1"/>
  <c r="R37" i="1"/>
  <c r="Q37" i="1"/>
  <c r="L37" i="1"/>
  <c r="D37" i="1"/>
  <c r="C37" i="1"/>
  <c r="B37" i="1"/>
  <c r="R36" i="1"/>
  <c r="Q36" i="1"/>
  <c r="L36" i="1"/>
  <c r="D36" i="1"/>
  <c r="C36" i="1"/>
  <c r="B36" i="1"/>
  <c r="R35" i="1"/>
  <c r="Q35" i="1"/>
  <c r="L35" i="1"/>
  <c r="D35" i="1"/>
  <c r="C35" i="1"/>
  <c r="B35" i="1"/>
  <c r="R34" i="1"/>
  <c r="Q34" i="1"/>
  <c r="L34" i="1"/>
  <c r="D34" i="1"/>
  <c r="C34" i="1"/>
  <c r="B34" i="1"/>
  <c r="R33" i="1"/>
  <c r="Q33" i="1"/>
  <c r="L33" i="1"/>
  <c r="D33" i="1"/>
  <c r="C33" i="1"/>
  <c r="B33" i="1"/>
  <c r="R32" i="1"/>
  <c r="Q32" i="1"/>
  <c r="L32" i="1"/>
  <c r="D32" i="1"/>
  <c r="C32" i="1"/>
  <c r="B32" i="1"/>
  <c r="R31" i="1"/>
  <c r="Q31" i="1"/>
  <c r="L31" i="1"/>
  <c r="D31" i="1"/>
  <c r="C31" i="1"/>
  <c r="B31" i="1"/>
  <c r="R30" i="1"/>
  <c r="Q30" i="1"/>
  <c r="L30" i="1"/>
  <c r="D30" i="1"/>
  <c r="C30" i="1"/>
  <c r="B30" i="1"/>
  <c r="R29" i="1"/>
  <c r="Q29" i="1"/>
  <c r="L29" i="1"/>
  <c r="D29" i="1"/>
  <c r="C29" i="1"/>
  <c r="B29" i="1"/>
  <c r="R28" i="1"/>
  <c r="Q28" i="1"/>
  <c r="L28" i="1"/>
  <c r="D28" i="1"/>
  <c r="C28" i="1"/>
  <c r="B28" i="1"/>
  <c r="R27" i="1"/>
  <c r="Q27" i="1"/>
  <c r="L27" i="1"/>
  <c r="D27" i="1"/>
  <c r="C27" i="1"/>
  <c r="B27" i="1"/>
  <c r="R26" i="1"/>
  <c r="Q26" i="1"/>
  <c r="L26" i="1"/>
  <c r="D26" i="1"/>
  <c r="C26" i="1"/>
  <c r="B26" i="1"/>
  <c r="R25" i="1"/>
  <c r="Q25" i="1"/>
  <c r="L25" i="1"/>
  <c r="D25" i="1"/>
  <c r="C25" i="1"/>
  <c r="B25" i="1"/>
  <c r="R24" i="1"/>
  <c r="Q24" i="1"/>
  <c r="L24" i="1"/>
  <c r="D24" i="1"/>
  <c r="C24" i="1"/>
  <c r="B24" i="1"/>
  <c r="R23" i="1"/>
  <c r="Q23" i="1"/>
  <c r="L23" i="1"/>
  <c r="D23" i="1"/>
  <c r="C23" i="1"/>
  <c r="B23" i="1"/>
  <c r="R22" i="1"/>
  <c r="Q22" i="1"/>
  <c r="L22" i="1"/>
  <c r="D22" i="1"/>
  <c r="C22" i="1"/>
  <c r="B22" i="1"/>
  <c r="R21" i="1"/>
  <c r="Q21" i="1"/>
  <c r="L21" i="1"/>
  <c r="D21" i="1"/>
  <c r="C21" i="1"/>
  <c r="B21" i="1"/>
  <c r="R20" i="1"/>
  <c r="Q20" i="1"/>
  <c r="L20" i="1"/>
  <c r="D20" i="1"/>
  <c r="C20" i="1"/>
  <c r="B20" i="1"/>
  <c r="R19" i="1"/>
  <c r="Q19" i="1"/>
  <c r="L19" i="1"/>
  <c r="D19" i="1"/>
  <c r="C19" i="1"/>
  <c r="B19" i="1"/>
  <c r="R18" i="1"/>
  <c r="Q18" i="1"/>
  <c r="L18" i="1"/>
  <c r="D18" i="1"/>
  <c r="C18" i="1"/>
  <c r="B18" i="1"/>
  <c r="R17" i="1"/>
  <c r="Q17" i="1"/>
  <c r="L17" i="1"/>
  <c r="D17" i="1"/>
  <c r="C17" i="1"/>
  <c r="B17" i="1"/>
  <c r="R16" i="1"/>
  <c r="Q16" i="1"/>
  <c r="L16" i="1"/>
  <c r="D16" i="1"/>
  <c r="C16" i="1"/>
  <c r="B16" i="1"/>
  <c r="R15" i="1"/>
  <c r="Q15" i="1"/>
  <c r="L15" i="1"/>
  <c r="D15" i="1"/>
  <c r="C15" i="1"/>
  <c r="B15" i="1"/>
  <c r="R14" i="1"/>
  <c r="Q14" i="1"/>
  <c r="L14" i="1"/>
  <c r="D14" i="1"/>
  <c r="C14" i="1"/>
  <c r="B14" i="1"/>
  <c r="R13" i="1"/>
  <c r="Q13" i="1"/>
  <c r="L13" i="1"/>
  <c r="D13" i="1"/>
  <c r="C13" i="1"/>
  <c r="B13" i="1"/>
  <c r="R12" i="1"/>
  <c r="Q12" i="1"/>
  <c r="L12" i="1"/>
  <c r="D12" i="1"/>
  <c r="C12" i="1"/>
  <c r="B12" i="1"/>
  <c r="R11" i="1"/>
  <c r="Q11" i="1"/>
  <c r="L11" i="1"/>
  <c r="D11" i="1"/>
  <c r="C11" i="1"/>
  <c r="B11" i="1"/>
  <c r="R10" i="1"/>
  <c r="Q10" i="1"/>
  <c r="L10" i="1"/>
  <c r="D10" i="1"/>
  <c r="C10" i="1"/>
  <c r="B10" i="1"/>
  <c r="R9" i="1"/>
  <c r="Q9" i="1"/>
  <c r="L9" i="1"/>
  <c r="D9" i="1"/>
  <c r="C9" i="1"/>
  <c r="B9" i="1"/>
  <c r="R8" i="1"/>
  <c r="Q8" i="1"/>
  <c r="L8" i="1"/>
  <c r="D8" i="1"/>
  <c r="C8" i="1"/>
  <c r="B8" i="1"/>
  <c r="R7" i="1"/>
  <c r="Q7" i="1"/>
  <c r="L7" i="1"/>
  <c r="D7" i="1"/>
  <c r="C7" i="1"/>
  <c r="B7" i="1"/>
  <c r="R6" i="1"/>
  <c r="Q6" i="1"/>
  <c r="L6" i="1"/>
  <c r="D6" i="1"/>
  <c r="C6" i="1"/>
  <c r="B6" i="1"/>
  <c r="R5" i="1"/>
  <c r="Q5" i="1"/>
  <c r="L5" i="1"/>
  <c r="D5" i="1"/>
  <c r="C5" i="1"/>
  <c r="B5" i="1"/>
  <c r="R4" i="1"/>
  <c r="Q4" i="1"/>
  <c r="L4" i="1"/>
  <c r="D4" i="1"/>
  <c r="C4" i="1"/>
  <c r="B4" i="1"/>
  <c r="R3" i="1"/>
  <c r="Q3" i="1"/>
  <c r="L3" i="1"/>
  <c r="D3" i="1"/>
  <c r="C3" i="1"/>
  <c r="B3" i="1"/>
  <c r="R2" i="1"/>
  <c r="Q2" i="1"/>
  <c r="L2" i="1"/>
  <c r="D2" i="1"/>
  <c r="C2" i="1"/>
  <c r="B2" i="1"/>
  <c r="K9" i="2" l="1"/>
  <c r="K6" i="2"/>
  <c r="O7" i="6"/>
</calcChain>
</file>

<file path=xl/sharedStrings.xml><?xml version="1.0" encoding="utf-8"?>
<sst xmlns="http://schemas.openxmlformats.org/spreadsheetml/2006/main" count="3358" uniqueCount="288">
  <si>
    <t xml:space="preserve">Obs </t>
  </si>
  <si>
    <t>y</t>
  </si>
  <si>
    <t>y2</t>
  </si>
  <si>
    <t>yln</t>
  </si>
  <si>
    <t>yd</t>
  </si>
  <si>
    <t>h</t>
  </si>
  <si>
    <t>q</t>
  </si>
  <si>
    <t>x1</t>
  </si>
  <si>
    <t>x2</t>
  </si>
  <si>
    <t>x3</t>
  </si>
  <si>
    <t>f</t>
  </si>
  <si>
    <t>g</t>
  </si>
  <si>
    <t>w</t>
  </si>
  <si>
    <t>w_2</t>
  </si>
  <si>
    <t>wed</t>
  </si>
  <si>
    <t>son</t>
  </si>
  <si>
    <t>son_2</t>
  </si>
  <si>
    <t>z</t>
  </si>
  <si>
    <t>z_2</t>
  </si>
  <si>
    <t>zln</t>
  </si>
  <si>
    <t>out</t>
  </si>
  <si>
    <t>i</t>
  </si>
  <si>
    <t>no</t>
  </si>
  <si>
    <t>i2</t>
  </si>
  <si>
    <t>Ingresos</t>
  </si>
  <si>
    <t>cuadrática</t>
  </si>
  <si>
    <t>logaritmo natural del ingreso</t>
  </si>
  <si>
    <t>ingreso dividido en mil</t>
  </si>
  <si>
    <t>gasto</t>
  </si>
  <si>
    <t>g2</t>
  </si>
  <si>
    <t>gasto cuadrático</t>
  </si>
  <si>
    <t>gln</t>
  </si>
  <si>
    <t>logaritmo natural del gasto</t>
  </si>
  <si>
    <t>gd</t>
  </si>
  <si>
    <t>gasto dividido en mil</t>
  </si>
  <si>
    <t>advo</t>
  </si>
  <si>
    <t>canal de búsqueda</t>
  </si>
  <si>
    <t>primaria a secundaria</t>
  </si>
  <si>
    <t>técnico a tecnólogo</t>
  </si>
  <si>
    <t>profesional a doctorado</t>
  </si>
  <si>
    <t>estudios fuera del departamento</t>
  </si>
  <si>
    <t>gen</t>
  </si>
  <si>
    <t>género</t>
  </si>
  <si>
    <t>age</t>
  </si>
  <si>
    <t>edad</t>
  </si>
  <si>
    <t>estado civil</t>
  </si>
  <si>
    <t>hijos</t>
  </si>
  <si>
    <t>si tiene hijos o no</t>
  </si>
  <si>
    <t>ex</t>
  </si>
  <si>
    <t>experiencia</t>
  </si>
  <si>
    <t>Obs</t>
  </si>
  <si>
    <t>tiempo (años)</t>
  </si>
  <si>
    <t>1. ¿Cuánto tiene de experiencia laboral, acumulados hasta ahora?</t>
  </si>
  <si>
    <t>2. Rama de actividad económica a la que pertenece</t>
  </si>
  <si>
    <t xml:space="preserve">Tiempo (años) </t>
  </si>
  <si>
    <t>3. ¿tiempo de experiencia acumulada en esta rama de la actividad económica?</t>
  </si>
  <si>
    <t xml:space="preserve">4. canal debúsqueda de su actual empleo </t>
  </si>
  <si>
    <t xml:space="preserve">5. Cargo que desempeña en su trabajo actual </t>
  </si>
  <si>
    <t xml:space="preserve">6. Escriba el monto en dinero de su capacidad de gasto mensual </t>
  </si>
  <si>
    <t>7. ¿A cuánto asciende el monto de su ingreso mensual?</t>
  </si>
  <si>
    <t>8. Marque por favor el grado máximo de titulación académica culminada satisfactoriamente</t>
  </si>
  <si>
    <t xml:space="preserve">9. Profesión </t>
  </si>
  <si>
    <t>10. ¿Alguno de sus títulos académicos los realizó por fuera del Departamento?</t>
  </si>
  <si>
    <t>11. ¿Alguno de sus títulos académicos los realizó fuera del país?</t>
  </si>
  <si>
    <t>12. Género</t>
  </si>
  <si>
    <t xml:space="preserve">13. Edad  </t>
  </si>
  <si>
    <t>14. Estado civil</t>
  </si>
  <si>
    <t xml:space="preserve">15 Hijos </t>
  </si>
  <si>
    <t>comercio al por mayor y menor</t>
  </si>
  <si>
    <t>asesor (a)</t>
  </si>
  <si>
    <t>profesional</t>
  </si>
  <si>
    <t>administración de empresas</t>
  </si>
  <si>
    <t>m</t>
  </si>
  <si>
    <t>soltero</t>
  </si>
  <si>
    <t>actividades de la salud, profesionales, científicas y técnicas</t>
  </si>
  <si>
    <t xml:space="preserve">publicista </t>
  </si>
  <si>
    <t xml:space="preserve">ingeniería eléctrica </t>
  </si>
  <si>
    <t xml:space="preserve">unión libre </t>
  </si>
  <si>
    <t>servicio técnico</t>
  </si>
  <si>
    <t>psicología</t>
  </si>
  <si>
    <t>Casado (a)</t>
  </si>
  <si>
    <t>técnico salud</t>
  </si>
  <si>
    <t>zootecnia</t>
  </si>
  <si>
    <t>asistente o auxiliar</t>
  </si>
  <si>
    <t>secundaria</t>
  </si>
  <si>
    <t>comerciante</t>
  </si>
  <si>
    <t>servicios profesionales</t>
  </si>
  <si>
    <t>ingeniería sistemas</t>
  </si>
  <si>
    <t>sí</t>
  </si>
  <si>
    <t>administrador</t>
  </si>
  <si>
    <t>contaduría</t>
  </si>
  <si>
    <t>administrativo</t>
  </si>
  <si>
    <t>especialización</t>
  </si>
  <si>
    <t>derecho</t>
  </si>
  <si>
    <t>maestría</t>
  </si>
  <si>
    <t>construcción</t>
  </si>
  <si>
    <t>ingeniería ambiental</t>
  </si>
  <si>
    <t>técnico</t>
  </si>
  <si>
    <t>no aplica</t>
  </si>
  <si>
    <t>agricultura y ganadería</t>
  </si>
  <si>
    <t>tecnólogo</t>
  </si>
  <si>
    <t xml:space="preserve">enfermería </t>
  </si>
  <si>
    <t>servicios, alojamiento y comida</t>
  </si>
  <si>
    <t>electricidad</t>
  </si>
  <si>
    <t>administración pública y defensa</t>
  </si>
  <si>
    <t>seguridad</t>
  </si>
  <si>
    <t>sistemas</t>
  </si>
  <si>
    <t>auxiliar</t>
  </si>
  <si>
    <t xml:space="preserve">secretaría </t>
  </si>
  <si>
    <t>salud ocupacional</t>
  </si>
  <si>
    <t xml:space="preserve">derechos humanos </t>
  </si>
  <si>
    <t>transporte y almacenamiento</t>
  </si>
  <si>
    <t xml:space="preserve">nomina y prestación de servisios </t>
  </si>
  <si>
    <t xml:space="preserve">transporte hidro carburos </t>
  </si>
  <si>
    <t>primaria</t>
  </si>
  <si>
    <t>otras actividades de servicios</t>
  </si>
  <si>
    <t>aseo generral</t>
  </si>
  <si>
    <t>mercadeo</t>
  </si>
  <si>
    <t xml:space="preserve">lenguas </t>
  </si>
  <si>
    <t xml:space="preserve">instructor </t>
  </si>
  <si>
    <t>docencia</t>
  </si>
  <si>
    <t>divorciado</t>
  </si>
  <si>
    <t>enfermera</t>
  </si>
  <si>
    <t>explotación minas y canteras</t>
  </si>
  <si>
    <t>operador maquinaria</t>
  </si>
  <si>
    <t>conductor</t>
  </si>
  <si>
    <t>camarera</t>
  </si>
  <si>
    <t xml:space="preserve">cajera </t>
  </si>
  <si>
    <t>cocinero</t>
  </si>
  <si>
    <t>artes</t>
  </si>
  <si>
    <t>Estilista, cosmetólogo y accesor de imagen.</t>
  </si>
  <si>
    <t>planeamiento energético</t>
  </si>
  <si>
    <t>si</t>
  </si>
  <si>
    <t>directora de sede</t>
  </si>
  <si>
    <t>gerencia de proyectos</t>
  </si>
  <si>
    <t>talento humano</t>
  </si>
  <si>
    <t>consultoría y jurídica</t>
  </si>
  <si>
    <t>alta gerencia mba</t>
  </si>
  <si>
    <t>gestión</t>
  </si>
  <si>
    <t>química</t>
  </si>
  <si>
    <t>salud oral</t>
  </si>
  <si>
    <t>diseño</t>
  </si>
  <si>
    <t>seguridad vial</t>
  </si>
  <si>
    <t>cocina</t>
  </si>
  <si>
    <t xml:space="preserve">gobierno territorial </t>
  </si>
  <si>
    <t>logística</t>
  </si>
  <si>
    <t>gerencia de empresas</t>
  </si>
  <si>
    <t>instalador</t>
  </si>
  <si>
    <t>instalación eléctrica</t>
  </si>
  <si>
    <t>diseño gráfico</t>
  </si>
  <si>
    <t>secretario ejecutivo</t>
  </si>
  <si>
    <t>gerente</t>
  </si>
  <si>
    <t>medicina</t>
  </si>
  <si>
    <t>bartender</t>
  </si>
  <si>
    <t>comunicación social</t>
  </si>
  <si>
    <t>domiciliario</t>
  </si>
  <si>
    <t>servicios farmacéuticos</t>
  </si>
  <si>
    <t>ingeniería civil</t>
  </si>
  <si>
    <t xml:space="preserve">no </t>
  </si>
  <si>
    <t>farmacia</t>
  </si>
  <si>
    <t xml:space="preserve">profesional </t>
  </si>
  <si>
    <t xml:space="preserve">economía </t>
  </si>
  <si>
    <t>eventos y servicios</t>
  </si>
  <si>
    <t>n</t>
  </si>
  <si>
    <t xml:space="preserve">sistemas </t>
  </si>
  <si>
    <t>inspector dde obras civiles</t>
  </si>
  <si>
    <t xml:space="preserve">dependiente </t>
  </si>
  <si>
    <t>odontología</t>
  </si>
  <si>
    <t>preparación y atención al público</t>
  </si>
  <si>
    <t>ingeniería petróleos</t>
  </si>
  <si>
    <t>arquitecta</t>
  </si>
  <si>
    <t>arquitectura</t>
  </si>
  <si>
    <t>salud y seguridad en el trabajo</t>
  </si>
  <si>
    <t>comercio y finanzas</t>
  </si>
  <si>
    <t>analista</t>
  </si>
  <si>
    <t>ingeniería mecatrónica</t>
  </si>
  <si>
    <t>coordinador de zona</t>
  </si>
  <si>
    <t>nutrición y dietética</t>
  </si>
  <si>
    <t xml:space="preserve">mantenimiento de equipos de computo </t>
  </si>
  <si>
    <t>policía</t>
  </si>
  <si>
    <t>refrigeración</t>
  </si>
  <si>
    <t>mecánico</t>
  </si>
  <si>
    <t>ingeniería mecánica</t>
  </si>
  <si>
    <t xml:space="preserve">m </t>
  </si>
  <si>
    <t>entrenamiento deportivo</t>
  </si>
  <si>
    <t>hidráulica y neumática</t>
  </si>
  <si>
    <t>recursos humanos</t>
  </si>
  <si>
    <t>soldador</t>
  </si>
  <si>
    <t>Diseño y confección de prendas de vestir</t>
  </si>
  <si>
    <t>médico veterinario</t>
  </si>
  <si>
    <t xml:space="preserve">agronomía </t>
  </si>
  <si>
    <t>primera infancia</t>
  </si>
  <si>
    <t>agroindustria alimentaria</t>
  </si>
  <si>
    <t>asistencia administrativa</t>
  </si>
  <si>
    <t>asesoría comercial</t>
  </si>
  <si>
    <t>secretariado ejecutivo</t>
  </si>
  <si>
    <t>manejo ambiental</t>
  </si>
  <si>
    <t>oficina</t>
  </si>
  <si>
    <t>electromecánico</t>
  </si>
  <si>
    <t>ingeniería electrónica</t>
  </si>
  <si>
    <t>Jefe de área</t>
  </si>
  <si>
    <t>trabajadora social</t>
  </si>
  <si>
    <t>trabajo social</t>
  </si>
  <si>
    <t>educación inicial</t>
  </si>
  <si>
    <t>archivo</t>
  </si>
  <si>
    <t>odontologa</t>
  </si>
  <si>
    <t>optometra</t>
  </si>
  <si>
    <t>Técnico</t>
  </si>
  <si>
    <t>Técnico en comercio</t>
  </si>
  <si>
    <t>No</t>
  </si>
  <si>
    <t>Soltero</t>
  </si>
  <si>
    <t>Secundaria</t>
  </si>
  <si>
    <t>Agente viajero</t>
  </si>
  <si>
    <t>Sí</t>
  </si>
  <si>
    <t>Tecnólogo</t>
  </si>
  <si>
    <t xml:space="preserve">Tecnólogo en formulación de proyectos </t>
  </si>
  <si>
    <t>Ingeniera Sanitaria, Especialista en Gestión Ambiental</t>
  </si>
  <si>
    <t>Coach</t>
  </si>
  <si>
    <t>Profesional</t>
  </si>
  <si>
    <t>Higienista Oral</t>
  </si>
  <si>
    <t>Técnica en higiene oral</t>
  </si>
  <si>
    <t xml:space="preserve">Tecnico </t>
  </si>
  <si>
    <t>Especializacion en evaluacion y gestion ambiental</t>
  </si>
  <si>
    <t>Especializacion</t>
  </si>
  <si>
    <t>Maestría</t>
  </si>
  <si>
    <t>Master en sistemas integrados de gestión de calidad</t>
  </si>
  <si>
    <t>música</t>
  </si>
  <si>
    <t>Docente de plante director de investigación del programa</t>
  </si>
  <si>
    <t>Mágister en educación, la cosa era de gestión de tics o algo así, pero el título es en educación</t>
  </si>
  <si>
    <t>Esp. En el arte en los procesos de aprendizaje</t>
  </si>
  <si>
    <t>Músico instrumentista</t>
  </si>
  <si>
    <t>ESPECIALISTA EN PEDAGOGIA DEL FOLCLOR</t>
  </si>
  <si>
    <t>Especialista gerencia educacional.</t>
  </si>
  <si>
    <t>Divorciado</t>
  </si>
  <si>
    <t>Especialista en sistemas de información geográfica</t>
  </si>
  <si>
    <t xml:space="preserve">Salud Ocupacional y Prevención de Riesgos Laborales </t>
  </si>
  <si>
    <t>Instructor internacional de belleza</t>
  </si>
  <si>
    <t>ESPECIALISTA EN GERENCIA DE PROYECTOS</t>
  </si>
  <si>
    <t>Avanzado B</t>
  </si>
  <si>
    <t>Tecnico en auxiliar de enfermeria</t>
  </si>
  <si>
    <t>Evaluación y gestión de proyectos</t>
  </si>
  <si>
    <t>tecnólogo gestión administrativa</t>
  </si>
  <si>
    <t>Enfermera auxiliar</t>
  </si>
  <si>
    <t xml:space="preserve">Técnico  procesos administrativos </t>
  </si>
  <si>
    <t xml:space="preserve">Técnico en electrónica y tecnólogo en mecatrónica </t>
  </si>
  <si>
    <t xml:space="preserve">Tecnico en contabilidad y finanzas </t>
  </si>
  <si>
    <t>Regencia y administración de farmacia</t>
  </si>
  <si>
    <t>Asistencia administrativa</t>
  </si>
  <si>
    <t>Salud ocupacional</t>
  </si>
  <si>
    <t>Normalista Superior</t>
  </si>
  <si>
    <t>sistemas de gestión ambiental</t>
  </si>
  <si>
    <t>Tecnico</t>
  </si>
  <si>
    <t xml:space="preserve">Secundaria </t>
  </si>
  <si>
    <t>Regente de farmacia</t>
  </si>
  <si>
    <t>Tecnologo en regencia de farmacia</t>
  </si>
  <si>
    <t>Tecnología en Formulación de Proyectos</t>
  </si>
  <si>
    <t>Tecnologa en regencia de farmacia</t>
  </si>
  <si>
    <t>ESPECIALIZACON ES ADMINISTRACION FINANCIERA ESTRATEGICA</t>
  </si>
  <si>
    <t>Médico</t>
  </si>
  <si>
    <t>Gerente de Formalización en la Cámara de Comercio de Casanare</t>
  </si>
  <si>
    <t>Magister en Administración de Negocios MBA</t>
  </si>
  <si>
    <t>Profesor</t>
  </si>
  <si>
    <t>Turismo</t>
  </si>
  <si>
    <t>Atención y asesoramiento al cliente</t>
  </si>
  <si>
    <t>Análisis de aguas tratadas y agentes químicos</t>
  </si>
  <si>
    <t>Soldador</t>
  </si>
  <si>
    <t>Manejo de maquinaria para soldadura</t>
  </si>
  <si>
    <t>Ingeniería mecatrónica</t>
  </si>
  <si>
    <t>Creador artístico y vendedor</t>
  </si>
  <si>
    <t>Atención básica a personas con afecciones a la salud</t>
  </si>
  <si>
    <t>Médico especialista</t>
  </si>
  <si>
    <t>Doctorado</t>
  </si>
  <si>
    <t xml:space="preserve">Médico general, Especialista en cardiología, dermatologia y neumología. Doctorado en ciencias médicas. </t>
  </si>
  <si>
    <t>maestro de obra</t>
  </si>
  <si>
    <t>pintor</t>
  </si>
  <si>
    <t>análisis de muestras química</t>
  </si>
  <si>
    <t>est</t>
  </si>
  <si>
    <t>Variable</t>
  </si>
  <si>
    <t>Value</t>
  </si>
  <si>
    <t xml:space="preserve"> advo</t>
  </si>
  <si>
    <t xml:space="preserve"> ex </t>
  </si>
  <si>
    <t xml:space="preserve"> wed</t>
  </si>
  <si>
    <t>estudy</t>
  </si>
  <si>
    <t xml:space="preserve"> ex_2 |</t>
  </si>
  <si>
    <t>Y</t>
  </si>
  <si>
    <t xml:space="preserve"> z1</t>
  </si>
  <si>
    <t xml:space="preserve"> z2 </t>
  </si>
  <si>
    <t>_cons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</si>
</sst>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_-;\-&quot;$&quot;\ * #,##0_-;_-&quot;$&quot;\ * &quot;-&quot;??_-;_-@"/>
    <numFmt numFmtId="165" formatCode="0.0000"/>
    <numFmt numFmtId="166" formatCode="_-&quot;$&quot;\ * #,##0.00_-;\-&quot;$&quot;\ * #,##0.00_-;_-&quot;$&quot;\ * &quot;-&quot;??_-;_-@"/>
    <numFmt numFmtId="167" formatCode="_-&quot;£&quot;* #,##0_-;\-&quot;£&quot;* #,##0_-;_-&quot;£&quot;* &quot;-&quot;??_-;_-@"/>
    <numFmt numFmtId="168" formatCode="_-[$$-409]* #,##0_ ;_-[$$-409]* \-#,##0\ ;_-[$$-409]* &quot;-&quot;??_ ;_-@_ "/>
    <numFmt numFmtId="169" formatCode="_-[$$-409]* #,##0.00_ ;_-[$$-409]* \-#,##0.00\ ;_-[$$-409]* &quot;-&quot;??_ ;_-@_ "/>
  </numFmts>
  <fonts count="9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8"/>
      <color theme="1"/>
      <name val="Calibri"/>
    </font>
    <font>
      <u/>
      <sz val="11"/>
      <color theme="1"/>
      <name val="Calibri"/>
    </font>
    <font>
      <sz val="18"/>
      <color theme="1"/>
      <name val="Calibri"/>
    </font>
    <font>
      <b/>
      <sz val="14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2" fillId="0" borderId="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4" borderId="11" xfId="0" applyNumberFormat="1" applyFont="1" applyFill="1" applyBorder="1"/>
    <xf numFmtId="0" fontId="2" fillId="4" borderId="11" xfId="0" applyFont="1" applyFill="1" applyBorder="1"/>
    <xf numFmtId="166" fontId="2" fillId="4" borderId="11" xfId="0" applyNumberFormat="1" applyFont="1" applyFill="1" applyBorder="1"/>
    <xf numFmtId="164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67" fontId="1" fillId="2" borderId="12" xfId="0" applyNumberFormat="1" applyFont="1" applyFill="1" applyBorder="1" applyAlignment="1">
      <alignment horizontal="center" vertical="center" wrapText="1"/>
    </xf>
    <xf numFmtId="168" fontId="1" fillId="2" borderId="13" xfId="0" applyNumberFormat="1" applyFont="1" applyFill="1" applyBorder="1" applyAlignment="1">
      <alignment horizontal="center" vertical="center" wrapText="1"/>
    </xf>
    <xf numFmtId="169" fontId="1" fillId="2" borderId="13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9" fontId="2" fillId="0" borderId="2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 wrapText="1"/>
    </xf>
    <xf numFmtId="168" fontId="2" fillId="0" borderId="6" xfId="0" applyNumberFormat="1" applyFont="1" applyBorder="1" applyAlignment="1">
      <alignment horizontal="center" vertical="center" wrapText="1"/>
    </xf>
    <xf numFmtId="169" fontId="2" fillId="0" borderId="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8" fontId="2" fillId="4" borderId="6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2" fillId="0" borderId="20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6" fontId="2" fillId="0" borderId="0" xfId="0" applyNumberFormat="1" applyFont="1"/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0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4.5546875" customWidth="1"/>
    <col min="2" max="2" width="19.33203125" customWidth="1"/>
    <col min="3" max="20" width="14.5546875" customWidth="1"/>
  </cols>
  <sheetData>
    <row r="1" spans="1:20" ht="27.75" customHeight="1" thickBot="1" x14ac:dyDescent="0.35">
      <c r="A1" s="1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3" t="s">
        <v>17</v>
      </c>
      <c r="Q1" s="3" t="s">
        <v>18</v>
      </c>
      <c r="R1" s="4" t="s">
        <v>19</v>
      </c>
      <c r="S1" s="5"/>
      <c r="T1" s="5"/>
    </row>
    <row r="2" spans="1:20" ht="45.75" customHeight="1" x14ac:dyDescent="0.3">
      <c r="A2" s="6">
        <v>1500000</v>
      </c>
      <c r="B2" s="7">
        <f t="shared" ref="B2:B392" si="0">A2*A2</f>
        <v>2250000000000</v>
      </c>
      <c r="C2" s="8">
        <f t="shared" ref="C2:C392" si="1">LN(A2)</f>
        <v>14.220975666072439</v>
      </c>
      <c r="D2" s="9">
        <f t="shared" ref="D2:D392" si="2">A2/1000</f>
        <v>1500</v>
      </c>
      <c r="E2" s="9">
        <v>0</v>
      </c>
      <c r="F2" s="9">
        <v>0</v>
      </c>
      <c r="G2" s="9">
        <v>0</v>
      </c>
      <c r="H2" s="9">
        <v>1</v>
      </c>
      <c r="I2" s="9">
        <v>0</v>
      </c>
      <c r="J2" s="9">
        <v>1</v>
      </c>
      <c r="K2" s="9">
        <v>26</v>
      </c>
      <c r="L2" s="9">
        <f t="shared" ref="L2:L392" si="3">K2^2</f>
        <v>676</v>
      </c>
      <c r="M2" s="9">
        <v>0</v>
      </c>
      <c r="N2" s="9">
        <v>0</v>
      </c>
      <c r="O2" s="9">
        <v>0</v>
      </c>
      <c r="P2" s="9">
        <v>2</v>
      </c>
      <c r="Q2" s="9">
        <f t="shared" ref="Q2:Q392" si="4">P2^2</f>
        <v>4</v>
      </c>
      <c r="R2" s="10">
        <f t="shared" ref="R2:R392" si="5">LN(P2)</f>
        <v>0.69314718055994529</v>
      </c>
      <c r="S2" s="5"/>
      <c r="T2" s="5"/>
    </row>
    <row r="3" spans="1:20" ht="45.75" customHeight="1" x14ac:dyDescent="0.3">
      <c r="A3" s="6">
        <v>2300000</v>
      </c>
      <c r="B3" s="7">
        <f t="shared" si="0"/>
        <v>5290000000000</v>
      </c>
      <c r="C3" s="8">
        <f t="shared" si="1"/>
        <v>14.648419680899378</v>
      </c>
      <c r="D3" s="9">
        <f t="shared" si="2"/>
        <v>2300</v>
      </c>
      <c r="E3" s="9">
        <v>1</v>
      </c>
      <c r="F3" s="9">
        <v>0</v>
      </c>
      <c r="G3" s="9">
        <v>0</v>
      </c>
      <c r="H3" s="9">
        <v>1</v>
      </c>
      <c r="I3" s="9">
        <v>0</v>
      </c>
      <c r="J3" s="9">
        <v>1</v>
      </c>
      <c r="K3" s="9">
        <v>25</v>
      </c>
      <c r="L3" s="9">
        <f t="shared" si="3"/>
        <v>625</v>
      </c>
      <c r="M3" s="9">
        <v>1</v>
      </c>
      <c r="N3" s="9">
        <v>1</v>
      </c>
      <c r="O3" s="9">
        <v>1</v>
      </c>
      <c r="P3" s="9">
        <v>8</v>
      </c>
      <c r="Q3" s="9">
        <f t="shared" si="4"/>
        <v>64</v>
      </c>
      <c r="R3" s="10">
        <f t="shared" si="5"/>
        <v>2.0794415416798357</v>
      </c>
      <c r="S3" s="5"/>
      <c r="T3" s="5"/>
    </row>
    <row r="4" spans="1:20" ht="45.75" customHeight="1" x14ac:dyDescent="0.3">
      <c r="A4" s="6">
        <v>300000</v>
      </c>
      <c r="B4" s="7">
        <f t="shared" si="0"/>
        <v>90000000000</v>
      </c>
      <c r="C4" s="8">
        <f t="shared" si="1"/>
        <v>12.611537753638338</v>
      </c>
      <c r="D4" s="9">
        <f t="shared" si="2"/>
        <v>300</v>
      </c>
      <c r="E4" s="9">
        <v>1</v>
      </c>
      <c r="F4" s="9">
        <v>0</v>
      </c>
      <c r="G4" s="9">
        <v>0</v>
      </c>
      <c r="H4" s="9">
        <v>1</v>
      </c>
      <c r="I4" s="9">
        <v>0</v>
      </c>
      <c r="J4" s="9">
        <v>0</v>
      </c>
      <c r="K4" s="9">
        <v>44</v>
      </c>
      <c r="L4" s="9">
        <f t="shared" si="3"/>
        <v>1936</v>
      </c>
      <c r="M4" s="9">
        <v>1</v>
      </c>
      <c r="N4" s="9">
        <v>2</v>
      </c>
      <c r="O4" s="9">
        <v>1</v>
      </c>
      <c r="P4" s="9">
        <v>10</v>
      </c>
      <c r="Q4" s="9">
        <f t="shared" si="4"/>
        <v>100</v>
      </c>
      <c r="R4" s="10">
        <f t="shared" si="5"/>
        <v>2.3025850929940459</v>
      </c>
      <c r="S4" s="5"/>
      <c r="T4" s="5"/>
    </row>
    <row r="5" spans="1:20" ht="45.75" customHeight="1" x14ac:dyDescent="0.3">
      <c r="A5" s="6">
        <v>2900000</v>
      </c>
      <c r="B5" s="7">
        <f t="shared" si="0"/>
        <v>8410000000000</v>
      </c>
      <c r="C5" s="8">
        <f t="shared" si="1"/>
        <v>14.880221294956703</v>
      </c>
      <c r="D5" s="9">
        <f t="shared" si="2"/>
        <v>2900</v>
      </c>
      <c r="E5" s="9">
        <v>1</v>
      </c>
      <c r="F5" s="9">
        <v>0</v>
      </c>
      <c r="G5" s="9">
        <v>0</v>
      </c>
      <c r="H5" s="9">
        <v>1</v>
      </c>
      <c r="I5" s="9">
        <v>0</v>
      </c>
      <c r="J5" s="9">
        <v>1</v>
      </c>
      <c r="K5" s="9">
        <v>54</v>
      </c>
      <c r="L5" s="9">
        <f t="shared" si="3"/>
        <v>2916</v>
      </c>
      <c r="M5" s="9">
        <v>1</v>
      </c>
      <c r="N5" s="9">
        <v>1</v>
      </c>
      <c r="O5" s="9">
        <v>1</v>
      </c>
      <c r="P5" s="9">
        <v>28</v>
      </c>
      <c r="Q5" s="9">
        <f t="shared" si="4"/>
        <v>784</v>
      </c>
      <c r="R5" s="10">
        <f t="shared" si="5"/>
        <v>3.3322045101752038</v>
      </c>
      <c r="S5" s="5"/>
      <c r="T5" s="5"/>
    </row>
    <row r="6" spans="1:20" ht="45.75" customHeight="1" x14ac:dyDescent="0.3">
      <c r="A6" s="6">
        <v>2300000</v>
      </c>
      <c r="B6" s="7">
        <f t="shared" si="0"/>
        <v>5290000000000</v>
      </c>
      <c r="C6" s="8">
        <f t="shared" si="1"/>
        <v>14.648419680899378</v>
      </c>
      <c r="D6" s="9">
        <f t="shared" si="2"/>
        <v>2300</v>
      </c>
      <c r="E6" s="9">
        <v>1</v>
      </c>
      <c r="F6" s="9">
        <v>1</v>
      </c>
      <c r="G6" s="9">
        <v>0</v>
      </c>
      <c r="H6" s="9">
        <v>0</v>
      </c>
      <c r="I6" s="9">
        <v>0</v>
      </c>
      <c r="J6" s="9">
        <v>0</v>
      </c>
      <c r="K6" s="9">
        <v>63</v>
      </c>
      <c r="L6" s="9">
        <f t="shared" si="3"/>
        <v>3969</v>
      </c>
      <c r="M6" s="9">
        <v>1</v>
      </c>
      <c r="N6" s="9">
        <v>2</v>
      </c>
      <c r="O6" s="9">
        <v>1</v>
      </c>
      <c r="P6" s="9">
        <v>20</v>
      </c>
      <c r="Q6" s="9">
        <f t="shared" si="4"/>
        <v>400</v>
      </c>
      <c r="R6" s="10">
        <f t="shared" si="5"/>
        <v>2.9957322735539909</v>
      </c>
      <c r="S6" s="5"/>
      <c r="T6" s="5"/>
    </row>
    <row r="7" spans="1:20" ht="45.75" customHeight="1" x14ac:dyDescent="0.3">
      <c r="A7" s="6">
        <v>5000000</v>
      </c>
      <c r="B7" s="7">
        <f t="shared" si="0"/>
        <v>25000000000000</v>
      </c>
      <c r="C7" s="8">
        <f t="shared" si="1"/>
        <v>15.424948470398375</v>
      </c>
      <c r="D7" s="9">
        <f t="shared" si="2"/>
        <v>5000</v>
      </c>
      <c r="E7" s="9">
        <v>0</v>
      </c>
      <c r="F7" s="9">
        <v>0</v>
      </c>
      <c r="G7" s="9">
        <v>0</v>
      </c>
      <c r="H7" s="9">
        <v>1</v>
      </c>
      <c r="I7" s="9">
        <v>1</v>
      </c>
      <c r="J7" s="9">
        <v>0</v>
      </c>
      <c r="K7" s="9">
        <v>43</v>
      </c>
      <c r="L7" s="9">
        <f t="shared" si="3"/>
        <v>1849</v>
      </c>
      <c r="M7" s="9">
        <v>0</v>
      </c>
      <c r="N7" s="9">
        <v>1</v>
      </c>
      <c r="O7" s="9">
        <v>1</v>
      </c>
      <c r="P7" s="9">
        <v>10</v>
      </c>
      <c r="Q7" s="9">
        <f t="shared" si="4"/>
        <v>100</v>
      </c>
      <c r="R7" s="10">
        <f t="shared" si="5"/>
        <v>2.3025850929940459</v>
      </c>
      <c r="S7" s="5"/>
      <c r="T7" s="5"/>
    </row>
    <row r="8" spans="1:20" ht="45.75" customHeight="1" x14ac:dyDescent="0.3">
      <c r="A8" s="6">
        <v>4300000</v>
      </c>
      <c r="B8" s="7">
        <f t="shared" si="0"/>
        <v>18490000000000</v>
      </c>
      <c r="C8" s="8">
        <f t="shared" si="1"/>
        <v>15.274125580663791</v>
      </c>
      <c r="D8" s="9">
        <f t="shared" si="2"/>
        <v>4300</v>
      </c>
      <c r="E8" s="9">
        <v>1</v>
      </c>
      <c r="F8" s="9">
        <v>0</v>
      </c>
      <c r="G8" s="9">
        <v>0</v>
      </c>
      <c r="H8" s="9">
        <v>1</v>
      </c>
      <c r="I8" s="9">
        <v>1</v>
      </c>
      <c r="J8" s="9">
        <v>0</v>
      </c>
      <c r="K8" s="9">
        <v>54</v>
      </c>
      <c r="L8" s="9">
        <f t="shared" si="3"/>
        <v>2916</v>
      </c>
      <c r="M8" s="9">
        <v>0</v>
      </c>
      <c r="N8" s="9">
        <v>1</v>
      </c>
      <c r="O8" s="9">
        <v>1</v>
      </c>
      <c r="P8" s="9">
        <v>5</v>
      </c>
      <c r="Q8" s="9">
        <f t="shared" si="4"/>
        <v>25</v>
      </c>
      <c r="R8" s="10">
        <f t="shared" si="5"/>
        <v>1.6094379124341003</v>
      </c>
      <c r="S8" s="5"/>
      <c r="T8" s="5"/>
    </row>
    <row r="9" spans="1:20" ht="45.75" customHeight="1" x14ac:dyDescent="0.3">
      <c r="A9" s="6">
        <v>4000000</v>
      </c>
      <c r="B9" s="7">
        <f t="shared" si="0"/>
        <v>16000000000000</v>
      </c>
      <c r="C9" s="8">
        <f t="shared" si="1"/>
        <v>15.201804919084164</v>
      </c>
      <c r="D9" s="9">
        <f t="shared" si="2"/>
        <v>4000</v>
      </c>
      <c r="E9" s="9">
        <v>1</v>
      </c>
      <c r="F9" s="9">
        <v>0</v>
      </c>
      <c r="G9" s="9">
        <v>0</v>
      </c>
      <c r="H9" s="9">
        <v>1</v>
      </c>
      <c r="I9" s="9">
        <v>1</v>
      </c>
      <c r="J9" s="9">
        <v>0</v>
      </c>
      <c r="K9" s="9">
        <v>39</v>
      </c>
      <c r="L9" s="9">
        <f t="shared" si="3"/>
        <v>1521</v>
      </c>
      <c r="M9" s="9">
        <v>1</v>
      </c>
      <c r="N9" s="9">
        <v>1</v>
      </c>
      <c r="O9" s="9">
        <v>1</v>
      </c>
      <c r="P9" s="9">
        <v>5</v>
      </c>
      <c r="Q9" s="9">
        <f t="shared" si="4"/>
        <v>25</v>
      </c>
      <c r="R9" s="10">
        <f t="shared" si="5"/>
        <v>1.6094379124341003</v>
      </c>
      <c r="S9" s="5"/>
      <c r="T9" s="5"/>
    </row>
    <row r="10" spans="1:20" ht="45.75" customHeight="1" x14ac:dyDescent="0.3">
      <c r="A10" s="6">
        <v>6000000</v>
      </c>
      <c r="B10" s="7">
        <f t="shared" si="0"/>
        <v>36000000000000</v>
      </c>
      <c r="C10" s="8">
        <f t="shared" si="1"/>
        <v>15.60727002719233</v>
      </c>
      <c r="D10" s="9">
        <f t="shared" si="2"/>
        <v>6000</v>
      </c>
      <c r="E10" s="9">
        <v>1</v>
      </c>
      <c r="F10" s="9">
        <v>0</v>
      </c>
      <c r="G10" s="9">
        <v>0</v>
      </c>
      <c r="H10" s="9">
        <v>1</v>
      </c>
      <c r="I10" s="9">
        <v>1</v>
      </c>
      <c r="J10" s="9">
        <v>1</v>
      </c>
      <c r="K10" s="9">
        <v>42</v>
      </c>
      <c r="L10" s="9">
        <f t="shared" si="3"/>
        <v>1764</v>
      </c>
      <c r="M10" s="9">
        <v>0</v>
      </c>
      <c r="N10" s="9">
        <v>0</v>
      </c>
      <c r="O10" s="9">
        <v>0</v>
      </c>
      <c r="P10" s="9">
        <v>16</v>
      </c>
      <c r="Q10" s="9">
        <f t="shared" si="4"/>
        <v>256</v>
      </c>
      <c r="R10" s="10">
        <f t="shared" si="5"/>
        <v>2.7725887222397811</v>
      </c>
      <c r="S10" s="5"/>
      <c r="T10" s="5"/>
    </row>
    <row r="11" spans="1:20" ht="45.75" customHeight="1" x14ac:dyDescent="0.3">
      <c r="A11" s="6">
        <v>1800000</v>
      </c>
      <c r="B11" s="7">
        <f t="shared" si="0"/>
        <v>3240000000000</v>
      </c>
      <c r="C11" s="8">
        <f t="shared" si="1"/>
        <v>14.403297222866392</v>
      </c>
      <c r="D11" s="9">
        <f t="shared" si="2"/>
        <v>1800</v>
      </c>
      <c r="E11" s="9">
        <v>1</v>
      </c>
      <c r="F11" s="9">
        <v>0</v>
      </c>
      <c r="G11" s="9">
        <v>0</v>
      </c>
      <c r="H11" s="9">
        <v>1</v>
      </c>
      <c r="I11" s="9">
        <v>1</v>
      </c>
      <c r="J11" s="9">
        <v>0</v>
      </c>
      <c r="K11" s="9">
        <v>24</v>
      </c>
      <c r="L11" s="9">
        <f t="shared" si="3"/>
        <v>576</v>
      </c>
      <c r="M11" s="9">
        <v>0</v>
      </c>
      <c r="N11" s="9">
        <v>0</v>
      </c>
      <c r="O11" s="9">
        <v>0</v>
      </c>
      <c r="P11" s="9">
        <v>3</v>
      </c>
      <c r="Q11" s="9">
        <f t="shared" si="4"/>
        <v>9</v>
      </c>
      <c r="R11" s="10">
        <f t="shared" si="5"/>
        <v>1.0986122886681098</v>
      </c>
      <c r="S11" s="5"/>
      <c r="T11" s="5"/>
    </row>
    <row r="12" spans="1:20" ht="45.75" customHeight="1" x14ac:dyDescent="0.3">
      <c r="A12" s="6">
        <v>1100000</v>
      </c>
      <c r="B12" s="7">
        <f t="shared" si="0"/>
        <v>1210000000000</v>
      </c>
      <c r="C12" s="8">
        <f t="shared" si="1"/>
        <v>13.910820737768599</v>
      </c>
      <c r="D12" s="9">
        <f t="shared" si="2"/>
        <v>1100</v>
      </c>
      <c r="E12" s="9">
        <v>1</v>
      </c>
      <c r="F12" s="9">
        <v>0</v>
      </c>
      <c r="G12" s="9">
        <v>1</v>
      </c>
      <c r="H12" s="9">
        <v>0</v>
      </c>
      <c r="I12" s="9">
        <v>1</v>
      </c>
      <c r="J12" s="9">
        <v>0</v>
      </c>
      <c r="K12" s="9">
        <v>24</v>
      </c>
      <c r="L12" s="9">
        <f t="shared" si="3"/>
        <v>576</v>
      </c>
      <c r="M12" s="9">
        <v>0</v>
      </c>
      <c r="N12" s="9">
        <v>1</v>
      </c>
      <c r="O12" s="9">
        <v>1</v>
      </c>
      <c r="P12" s="9">
        <v>7</v>
      </c>
      <c r="Q12" s="9">
        <f t="shared" si="4"/>
        <v>49</v>
      </c>
      <c r="R12" s="10">
        <f t="shared" si="5"/>
        <v>1.9459101490553132</v>
      </c>
      <c r="S12" s="5"/>
      <c r="T12" s="5"/>
    </row>
    <row r="13" spans="1:20" ht="45.75" customHeight="1" x14ac:dyDescent="0.3">
      <c r="A13" s="6">
        <v>900000</v>
      </c>
      <c r="B13" s="7">
        <f t="shared" si="0"/>
        <v>810000000000</v>
      </c>
      <c r="C13" s="8">
        <f t="shared" si="1"/>
        <v>13.710150042306449</v>
      </c>
      <c r="D13" s="9">
        <f t="shared" si="2"/>
        <v>900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18</v>
      </c>
      <c r="L13" s="9">
        <f t="shared" si="3"/>
        <v>324</v>
      </c>
      <c r="M13" s="9">
        <v>0</v>
      </c>
      <c r="N13" s="9">
        <v>0</v>
      </c>
      <c r="O13" s="9">
        <v>0</v>
      </c>
      <c r="P13" s="9">
        <v>1</v>
      </c>
      <c r="Q13" s="9">
        <f t="shared" si="4"/>
        <v>1</v>
      </c>
      <c r="R13" s="10">
        <f t="shared" si="5"/>
        <v>0</v>
      </c>
      <c r="S13" s="5"/>
      <c r="T13" s="5"/>
    </row>
    <row r="14" spans="1:20" ht="45.75" customHeight="1" x14ac:dyDescent="0.3">
      <c r="A14" s="6">
        <v>200000</v>
      </c>
      <c r="B14" s="7">
        <f t="shared" si="0"/>
        <v>40000000000</v>
      </c>
      <c r="C14" s="8">
        <f t="shared" si="1"/>
        <v>12.206072645530174</v>
      </c>
      <c r="D14" s="9">
        <f t="shared" si="2"/>
        <v>200</v>
      </c>
      <c r="E14" s="9">
        <v>1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15</v>
      </c>
      <c r="L14" s="9">
        <f t="shared" si="3"/>
        <v>225</v>
      </c>
      <c r="M14" s="9">
        <v>0</v>
      </c>
      <c r="N14" s="9">
        <v>0</v>
      </c>
      <c r="O14" s="9">
        <v>0</v>
      </c>
      <c r="P14" s="9">
        <v>1</v>
      </c>
      <c r="Q14" s="9">
        <f t="shared" si="4"/>
        <v>1</v>
      </c>
      <c r="R14" s="10">
        <f t="shared" si="5"/>
        <v>0</v>
      </c>
      <c r="S14" s="5"/>
      <c r="T14" s="5"/>
    </row>
    <row r="15" spans="1:20" ht="45.75" customHeight="1" x14ac:dyDescent="0.3">
      <c r="A15" s="6">
        <v>2500000</v>
      </c>
      <c r="B15" s="7">
        <f t="shared" si="0"/>
        <v>6250000000000</v>
      </c>
      <c r="C15" s="8">
        <f t="shared" si="1"/>
        <v>14.73180128983843</v>
      </c>
      <c r="D15" s="9">
        <f t="shared" si="2"/>
        <v>2500</v>
      </c>
      <c r="E15" s="9">
        <v>0</v>
      </c>
      <c r="F15" s="9">
        <v>0</v>
      </c>
      <c r="G15" s="9">
        <v>1</v>
      </c>
      <c r="H15" s="9">
        <v>0</v>
      </c>
      <c r="I15" s="9">
        <v>1</v>
      </c>
      <c r="J15" s="9">
        <v>0</v>
      </c>
      <c r="K15" s="9">
        <v>34</v>
      </c>
      <c r="L15" s="9">
        <f t="shared" si="3"/>
        <v>1156</v>
      </c>
      <c r="M15" s="9">
        <v>1</v>
      </c>
      <c r="N15" s="9">
        <v>2</v>
      </c>
      <c r="O15" s="9">
        <v>1</v>
      </c>
      <c r="P15" s="9">
        <v>10</v>
      </c>
      <c r="Q15" s="9">
        <f t="shared" si="4"/>
        <v>100</v>
      </c>
      <c r="R15" s="10">
        <f t="shared" si="5"/>
        <v>2.3025850929940459</v>
      </c>
      <c r="S15" s="5"/>
      <c r="T15" s="5"/>
    </row>
    <row r="16" spans="1:20" ht="45.75" customHeight="1" x14ac:dyDescent="0.3">
      <c r="A16" s="6">
        <v>450000</v>
      </c>
      <c r="B16" s="7">
        <f t="shared" si="0"/>
        <v>202500000000</v>
      </c>
      <c r="C16" s="8">
        <f t="shared" si="1"/>
        <v>13.017002861746503</v>
      </c>
      <c r="D16" s="9">
        <f t="shared" si="2"/>
        <v>450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19</v>
      </c>
      <c r="L16" s="9">
        <f t="shared" si="3"/>
        <v>361</v>
      </c>
      <c r="M16" s="9">
        <v>0</v>
      </c>
      <c r="N16" s="9">
        <v>1</v>
      </c>
      <c r="O16" s="9">
        <v>1</v>
      </c>
      <c r="P16" s="9">
        <v>6</v>
      </c>
      <c r="Q16" s="9">
        <f t="shared" si="4"/>
        <v>36</v>
      </c>
      <c r="R16" s="10">
        <f t="shared" si="5"/>
        <v>1.791759469228055</v>
      </c>
      <c r="S16" s="5"/>
      <c r="T16" s="5"/>
    </row>
    <row r="17" spans="1:20" ht="45.75" customHeight="1" x14ac:dyDescent="0.3">
      <c r="A17" s="6">
        <v>900000</v>
      </c>
      <c r="B17" s="7">
        <f t="shared" si="0"/>
        <v>810000000000</v>
      </c>
      <c r="C17" s="8">
        <f t="shared" si="1"/>
        <v>13.710150042306449</v>
      </c>
      <c r="D17" s="9">
        <f t="shared" si="2"/>
        <v>900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1</v>
      </c>
      <c r="K17" s="9">
        <v>29</v>
      </c>
      <c r="L17" s="9">
        <f t="shared" si="3"/>
        <v>841</v>
      </c>
      <c r="M17" s="9">
        <v>0</v>
      </c>
      <c r="N17" s="9">
        <v>0</v>
      </c>
      <c r="O17" s="9">
        <v>0</v>
      </c>
      <c r="P17" s="9">
        <v>3</v>
      </c>
      <c r="Q17" s="9">
        <f t="shared" si="4"/>
        <v>9</v>
      </c>
      <c r="R17" s="10">
        <f t="shared" si="5"/>
        <v>1.0986122886681098</v>
      </c>
      <c r="S17" s="5"/>
      <c r="T17" s="5"/>
    </row>
    <row r="18" spans="1:20" ht="45.75" customHeight="1" x14ac:dyDescent="0.3">
      <c r="A18" s="6">
        <v>900000</v>
      </c>
      <c r="B18" s="7">
        <f t="shared" si="0"/>
        <v>810000000000</v>
      </c>
      <c r="C18" s="8">
        <f t="shared" si="1"/>
        <v>13.710150042306449</v>
      </c>
      <c r="D18" s="9">
        <f t="shared" si="2"/>
        <v>900</v>
      </c>
      <c r="E18" s="9">
        <v>1</v>
      </c>
      <c r="F18" s="9">
        <v>0</v>
      </c>
      <c r="G18" s="9">
        <v>1</v>
      </c>
      <c r="H18" s="9">
        <v>0</v>
      </c>
      <c r="I18" s="9">
        <v>1</v>
      </c>
      <c r="J18" s="9">
        <v>0</v>
      </c>
      <c r="K18" s="9">
        <v>22</v>
      </c>
      <c r="L18" s="9">
        <f t="shared" si="3"/>
        <v>484</v>
      </c>
      <c r="M18" s="9">
        <v>1</v>
      </c>
      <c r="N18" s="9">
        <v>1</v>
      </c>
      <c r="O18" s="9">
        <v>1</v>
      </c>
      <c r="P18" s="9">
        <v>2</v>
      </c>
      <c r="Q18" s="9">
        <f t="shared" si="4"/>
        <v>4</v>
      </c>
      <c r="R18" s="10">
        <f t="shared" si="5"/>
        <v>0.69314718055994529</v>
      </c>
      <c r="S18" s="5"/>
      <c r="T18" s="5"/>
    </row>
    <row r="19" spans="1:20" ht="45.75" customHeight="1" x14ac:dyDescent="0.3">
      <c r="A19" s="6">
        <v>1600000</v>
      </c>
      <c r="B19" s="7">
        <f t="shared" si="0"/>
        <v>2560000000000</v>
      </c>
      <c r="C19" s="8">
        <f t="shared" si="1"/>
        <v>14.28551418721001</v>
      </c>
      <c r="D19" s="9">
        <f t="shared" si="2"/>
        <v>1600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55</v>
      </c>
      <c r="L19" s="9">
        <f t="shared" si="3"/>
        <v>3025</v>
      </c>
      <c r="M19" s="9">
        <v>0</v>
      </c>
      <c r="N19" s="9">
        <v>3</v>
      </c>
      <c r="O19" s="9">
        <v>1</v>
      </c>
      <c r="P19" s="9">
        <v>35</v>
      </c>
      <c r="Q19" s="9">
        <f t="shared" si="4"/>
        <v>1225</v>
      </c>
      <c r="R19" s="10">
        <f t="shared" si="5"/>
        <v>3.5553480614894135</v>
      </c>
      <c r="S19" s="5"/>
      <c r="T19" s="5"/>
    </row>
    <row r="20" spans="1:20" ht="45.75" customHeight="1" x14ac:dyDescent="0.3">
      <c r="A20" s="6">
        <v>1400000</v>
      </c>
      <c r="B20" s="7">
        <f t="shared" si="0"/>
        <v>1960000000000</v>
      </c>
      <c r="C20" s="8">
        <f t="shared" si="1"/>
        <v>14.151982794585487</v>
      </c>
      <c r="D20" s="9">
        <f t="shared" si="2"/>
        <v>1400</v>
      </c>
      <c r="E20" s="9">
        <v>1</v>
      </c>
      <c r="F20" s="9">
        <v>0</v>
      </c>
      <c r="G20" s="9">
        <v>1</v>
      </c>
      <c r="H20" s="9">
        <v>0</v>
      </c>
      <c r="I20" s="9">
        <v>1</v>
      </c>
      <c r="J20" s="9">
        <v>0</v>
      </c>
      <c r="K20" s="9">
        <v>26</v>
      </c>
      <c r="L20" s="9">
        <f t="shared" si="3"/>
        <v>676</v>
      </c>
      <c r="M20" s="9">
        <v>0</v>
      </c>
      <c r="N20" s="9">
        <v>0</v>
      </c>
      <c r="O20" s="9">
        <v>0</v>
      </c>
      <c r="P20" s="9">
        <v>8.3333333333333301E-2</v>
      </c>
      <c r="Q20" s="9">
        <f t="shared" si="4"/>
        <v>6.9444444444444389E-3</v>
      </c>
      <c r="R20" s="10">
        <f t="shared" si="5"/>
        <v>-2.4849066497880008</v>
      </c>
      <c r="S20" s="5"/>
      <c r="T20" s="5"/>
    </row>
    <row r="21" spans="1:20" ht="45.75" customHeight="1" x14ac:dyDescent="0.3">
      <c r="A21" s="6">
        <v>1200000</v>
      </c>
      <c r="B21" s="7">
        <f t="shared" si="0"/>
        <v>1440000000000</v>
      </c>
      <c r="C21" s="8">
        <f t="shared" si="1"/>
        <v>13.997832114758229</v>
      </c>
      <c r="D21" s="9">
        <f t="shared" si="2"/>
        <v>1200</v>
      </c>
      <c r="E21" s="9">
        <v>1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21</v>
      </c>
      <c r="L21" s="9">
        <f t="shared" si="3"/>
        <v>441</v>
      </c>
      <c r="M21" s="9">
        <v>0</v>
      </c>
      <c r="N21" s="9">
        <v>0</v>
      </c>
      <c r="O21" s="9">
        <v>0</v>
      </c>
      <c r="P21" s="9">
        <v>3</v>
      </c>
      <c r="Q21" s="9">
        <f t="shared" si="4"/>
        <v>9</v>
      </c>
      <c r="R21" s="10">
        <f t="shared" si="5"/>
        <v>1.0986122886681098</v>
      </c>
      <c r="S21" s="5"/>
      <c r="T21" s="5"/>
    </row>
    <row r="22" spans="1:20" ht="45.75" customHeight="1" x14ac:dyDescent="0.3">
      <c r="A22" s="6">
        <v>2500000</v>
      </c>
      <c r="B22" s="7">
        <f t="shared" si="0"/>
        <v>6250000000000</v>
      </c>
      <c r="C22" s="8">
        <f t="shared" si="1"/>
        <v>14.73180128983843</v>
      </c>
      <c r="D22" s="9">
        <f t="shared" si="2"/>
        <v>2500</v>
      </c>
      <c r="E22" s="9">
        <v>0</v>
      </c>
      <c r="F22" s="9">
        <v>0</v>
      </c>
      <c r="G22" s="9">
        <v>1</v>
      </c>
      <c r="H22" s="9">
        <v>0</v>
      </c>
      <c r="I22" s="9">
        <v>1</v>
      </c>
      <c r="J22" s="9">
        <v>1</v>
      </c>
      <c r="K22" s="9">
        <v>36</v>
      </c>
      <c r="L22" s="9">
        <f t="shared" si="3"/>
        <v>1296</v>
      </c>
      <c r="M22" s="9">
        <v>1</v>
      </c>
      <c r="N22" s="9">
        <v>2</v>
      </c>
      <c r="O22" s="9">
        <v>1</v>
      </c>
      <c r="P22" s="9">
        <v>1</v>
      </c>
      <c r="Q22" s="9">
        <f t="shared" si="4"/>
        <v>1</v>
      </c>
      <c r="R22" s="10">
        <f t="shared" si="5"/>
        <v>0</v>
      </c>
      <c r="S22" s="5"/>
      <c r="T22" s="5"/>
    </row>
    <row r="23" spans="1:20" ht="45.75" customHeight="1" x14ac:dyDescent="0.3">
      <c r="A23" s="6">
        <v>1350000</v>
      </c>
      <c r="B23" s="7">
        <f t="shared" si="0"/>
        <v>1822500000000</v>
      </c>
      <c r="C23" s="8">
        <f t="shared" si="1"/>
        <v>14.115615150414612</v>
      </c>
      <c r="D23" s="9">
        <f t="shared" si="2"/>
        <v>1350</v>
      </c>
      <c r="E23" s="9">
        <v>1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30</v>
      </c>
      <c r="L23" s="9">
        <f t="shared" si="3"/>
        <v>900</v>
      </c>
      <c r="M23" s="9">
        <v>0</v>
      </c>
      <c r="N23" s="9">
        <v>1</v>
      </c>
      <c r="O23" s="9">
        <v>1</v>
      </c>
      <c r="P23" s="9">
        <v>6</v>
      </c>
      <c r="Q23" s="9">
        <f t="shared" si="4"/>
        <v>36</v>
      </c>
      <c r="R23" s="10">
        <f t="shared" si="5"/>
        <v>1.791759469228055</v>
      </c>
      <c r="S23" s="5"/>
      <c r="T23" s="5"/>
    </row>
    <row r="24" spans="1:20" ht="45.75" customHeight="1" x14ac:dyDescent="0.3">
      <c r="A24" s="6">
        <v>900000</v>
      </c>
      <c r="B24" s="7">
        <f t="shared" si="0"/>
        <v>810000000000</v>
      </c>
      <c r="C24" s="8">
        <f t="shared" si="1"/>
        <v>13.710150042306449</v>
      </c>
      <c r="D24" s="9">
        <f t="shared" si="2"/>
        <v>900</v>
      </c>
      <c r="E24" s="9">
        <v>1</v>
      </c>
      <c r="F24" s="9">
        <v>0</v>
      </c>
      <c r="G24" s="9">
        <v>1</v>
      </c>
      <c r="H24" s="9">
        <v>0</v>
      </c>
      <c r="I24" s="9">
        <v>1</v>
      </c>
      <c r="J24" s="9">
        <v>0</v>
      </c>
      <c r="K24" s="9">
        <v>20</v>
      </c>
      <c r="L24" s="9">
        <f t="shared" si="3"/>
        <v>400</v>
      </c>
      <c r="M24" s="9">
        <v>0</v>
      </c>
      <c r="N24" s="9">
        <v>0</v>
      </c>
      <c r="O24" s="9">
        <v>0</v>
      </c>
      <c r="P24" s="9">
        <v>2.5</v>
      </c>
      <c r="Q24" s="9">
        <f t="shared" si="4"/>
        <v>6.25</v>
      </c>
      <c r="R24" s="10">
        <f t="shared" si="5"/>
        <v>0.91629073187415511</v>
      </c>
      <c r="S24" s="5"/>
      <c r="T24" s="5"/>
    </row>
    <row r="25" spans="1:20" ht="45.75" customHeight="1" x14ac:dyDescent="0.3">
      <c r="A25" s="6">
        <v>1000000</v>
      </c>
      <c r="B25" s="7">
        <f t="shared" si="0"/>
        <v>1000000000000</v>
      </c>
      <c r="C25" s="8">
        <f t="shared" si="1"/>
        <v>13.815510557964274</v>
      </c>
      <c r="D25" s="9">
        <f t="shared" si="2"/>
        <v>1000</v>
      </c>
      <c r="E25" s="9">
        <v>1</v>
      </c>
      <c r="F25" s="9">
        <v>0</v>
      </c>
      <c r="G25" s="9">
        <v>1</v>
      </c>
      <c r="H25" s="9">
        <v>0</v>
      </c>
      <c r="I25" s="9">
        <v>1</v>
      </c>
      <c r="J25" s="9">
        <v>0</v>
      </c>
      <c r="K25" s="9">
        <v>23</v>
      </c>
      <c r="L25" s="9">
        <f t="shared" si="3"/>
        <v>529</v>
      </c>
      <c r="M25" s="9">
        <v>0</v>
      </c>
      <c r="N25" s="9">
        <v>1</v>
      </c>
      <c r="O25" s="9">
        <v>1</v>
      </c>
      <c r="P25" s="9">
        <v>5</v>
      </c>
      <c r="Q25" s="9">
        <f t="shared" si="4"/>
        <v>25</v>
      </c>
      <c r="R25" s="10">
        <f t="shared" si="5"/>
        <v>1.6094379124341003</v>
      </c>
      <c r="S25" s="5"/>
      <c r="T25" s="5"/>
    </row>
    <row r="26" spans="1:20" ht="45.75" customHeight="1" x14ac:dyDescent="0.3">
      <c r="A26" s="6">
        <v>1200000</v>
      </c>
      <c r="B26" s="7">
        <f t="shared" si="0"/>
        <v>1440000000000</v>
      </c>
      <c r="C26" s="8">
        <f t="shared" si="1"/>
        <v>13.997832114758229</v>
      </c>
      <c r="D26" s="9">
        <f t="shared" si="2"/>
        <v>1200</v>
      </c>
      <c r="E26" s="9">
        <v>1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26</v>
      </c>
      <c r="L26" s="9">
        <f t="shared" si="3"/>
        <v>676</v>
      </c>
      <c r="M26" s="9">
        <v>0</v>
      </c>
      <c r="N26" s="9">
        <v>0</v>
      </c>
      <c r="O26" s="9">
        <v>0</v>
      </c>
      <c r="P26" s="9">
        <v>6</v>
      </c>
      <c r="Q26" s="9">
        <f t="shared" si="4"/>
        <v>36</v>
      </c>
      <c r="R26" s="10">
        <f t="shared" si="5"/>
        <v>1.791759469228055</v>
      </c>
      <c r="S26" s="5"/>
      <c r="T26" s="5"/>
    </row>
    <row r="27" spans="1:20" ht="45.75" customHeight="1" x14ac:dyDescent="0.3">
      <c r="A27" s="6">
        <v>850000</v>
      </c>
      <c r="B27" s="7">
        <f t="shared" si="0"/>
        <v>722500000000</v>
      </c>
      <c r="C27" s="8">
        <f t="shared" si="1"/>
        <v>13.652991628466498</v>
      </c>
      <c r="D27" s="9">
        <f t="shared" si="2"/>
        <v>850</v>
      </c>
      <c r="E27" s="9">
        <v>0</v>
      </c>
      <c r="F27" s="9">
        <v>0</v>
      </c>
      <c r="G27" s="9">
        <v>1</v>
      </c>
      <c r="H27" s="9">
        <v>0</v>
      </c>
      <c r="I27" s="9">
        <v>0</v>
      </c>
      <c r="J27" s="9">
        <v>0</v>
      </c>
      <c r="K27" s="9">
        <v>19</v>
      </c>
      <c r="L27" s="9">
        <f t="shared" si="3"/>
        <v>361</v>
      </c>
      <c r="M27" s="9">
        <v>0</v>
      </c>
      <c r="N27" s="9">
        <v>0</v>
      </c>
      <c r="O27" s="9">
        <v>0</v>
      </c>
      <c r="P27" s="9">
        <v>1</v>
      </c>
      <c r="Q27" s="9">
        <f t="shared" si="4"/>
        <v>1</v>
      </c>
      <c r="R27" s="10">
        <f t="shared" si="5"/>
        <v>0</v>
      </c>
      <c r="S27" s="5"/>
      <c r="T27" s="5"/>
    </row>
    <row r="28" spans="1:20" ht="45.75" customHeight="1" x14ac:dyDescent="0.3">
      <c r="A28" s="6">
        <v>1200000</v>
      </c>
      <c r="B28" s="7">
        <f t="shared" si="0"/>
        <v>1440000000000</v>
      </c>
      <c r="C28" s="8">
        <f t="shared" si="1"/>
        <v>13.997832114758229</v>
      </c>
      <c r="D28" s="9">
        <f t="shared" si="2"/>
        <v>1200</v>
      </c>
      <c r="E28" s="9">
        <v>0</v>
      </c>
      <c r="F28" s="9">
        <v>0</v>
      </c>
      <c r="G28" s="9">
        <v>1</v>
      </c>
      <c r="H28" s="9">
        <v>0</v>
      </c>
      <c r="I28" s="9">
        <v>1</v>
      </c>
      <c r="J28" s="9">
        <v>0</v>
      </c>
      <c r="K28" s="9">
        <v>26</v>
      </c>
      <c r="L28" s="9">
        <f t="shared" si="3"/>
        <v>676</v>
      </c>
      <c r="M28" s="9">
        <v>0</v>
      </c>
      <c r="N28" s="9">
        <v>1</v>
      </c>
      <c r="O28" s="9">
        <v>1</v>
      </c>
      <c r="P28" s="9">
        <v>5</v>
      </c>
      <c r="Q28" s="9">
        <f t="shared" si="4"/>
        <v>25</v>
      </c>
      <c r="R28" s="10">
        <f t="shared" si="5"/>
        <v>1.6094379124341003</v>
      </c>
      <c r="S28" s="5"/>
      <c r="T28" s="5"/>
    </row>
    <row r="29" spans="1:20" ht="45.75" customHeight="1" x14ac:dyDescent="0.3">
      <c r="A29" s="6">
        <v>1000000</v>
      </c>
      <c r="B29" s="7">
        <f t="shared" si="0"/>
        <v>1000000000000</v>
      </c>
      <c r="C29" s="8">
        <f t="shared" si="1"/>
        <v>13.815510557964274</v>
      </c>
      <c r="D29" s="9">
        <f t="shared" si="2"/>
        <v>1000</v>
      </c>
      <c r="E29" s="9">
        <v>1</v>
      </c>
      <c r="F29" s="9">
        <v>0</v>
      </c>
      <c r="G29" s="9">
        <v>0</v>
      </c>
      <c r="H29" s="9">
        <v>1</v>
      </c>
      <c r="I29" s="9">
        <v>1</v>
      </c>
      <c r="J29" s="9">
        <v>0</v>
      </c>
      <c r="K29" s="9">
        <v>24</v>
      </c>
      <c r="L29" s="9">
        <f t="shared" si="3"/>
        <v>576</v>
      </c>
      <c r="M29" s="9">
        <v>0</v>
      </c>
      <c r="N29" s="9">
        <v>0</v>
      </c>
      <c r="O29" s="9">
        <v>0</v>
      </c>
      <c r="P29" s="9">
        <v>2</v>
      </c>
      <c r="Q29" s="9">
        <f t="shared" si="4"/>
        <v>4</v>
      </c>
      <c r="R29" s="10">
        <f t="shared" si="5"/>
        <v>0.69314718055994529</v>
      </c>
      <c r="S29" s="5"/>
      <c r="T29" s="5"/>
    </row>
    <row r="30" spans="1:20" ht="45.75" customHeight="1" x14ac:dyDescent="0.3">
      <c r="A30" s="6">
        <v>3500000</v>
      </c>
      <c r="B30" s="7">
        <f t="shared" si="0"/>
        <v>12250000000000</v>
      </c>
      <c r="C30" s="8">
        <f t="shared" si="1"/>
        <v>15.068273526459642</v>
      </c>
      <c r="D30" s="9">
        <f t="shared" si="2"/>
        <v>3500</v>
      </c>
      <c r="E30" s="9">
        <v>1</v>
      </c>
      <c r="F30" s="9">
        <v>0</v>
      </c>
      <c r="G30" s="9">
        <v>0</v>
      </c>
      <c r="H30" s="9">
        <v>1</v>
      </c>
      <c r="I30" s="9">
        <v>1</v>
      </c>
      <c r="J30" s="9">
        <v>1</v>
      </c>
      <c r="K30" s="9">
        <v>37</v>
      </c>
      <c r="L30" s="9">
        <f t="shared" si="3"/>
        <v>1369</v>
      </c>
      <c r="M30" s="9">
        <v>0</v>
      </c>
      <c r="N30" s="9">
        <v>2</v>
      </c>
      <c r="O30" s="9">
        <v>1</v>
      </c>
      <c r="P30" s="9">
        <v>6</v>
      </c>
      <c r="Q30" s="9">
        <f t="shared" si="4"/>
        <v>36</v>
      </c>
      <c r="R30" s="10">
        <f t="shared" si="5"/>
        <v>1.791759469228055</v>
      </c>
      <c r="S30" s="5"/>
      <c r="T30" s="5"/>
    </row>
    <row r="31" spans="1:20" ht="45.75" customHeight="1" x14ac:dyDescent="0.3">
      <c r="A31" s="6">
        <v>3500000</v>
      </c>
      <c r="B31" s="7">
        <f t="shared" si="0"/>
        <v>12250000000000</v>
      </c>
      <c r="C31" s="8">
        <f t="shared" si="1"/>
        <v>15.068273526459642</v>
      </c>
      <c r="D31" s="9">
        <f t="shared" si="2"/>
        <v>3500</v>
      </c>
      <c r="E31" s="9">
        <v>0</v>
      </c>
      <c r="F31" s="9">
        <v>0</v>
      </c>
      <c r="G31" s="9">
        <v>1</v>
      </c>
      <c r="H31" s="9">
        <v>0</v>
      </c>
      <c r="I31" s="9">
        <v>1</v>
      </c>
      <c r="J31" s="9">
        <v>1</v>
      </c>
      <c r="K31" s="9">
        <v>30</v>
      </c>
      <c r="L31" s="9">
        <f t="shared" si="3"/>
        <v>900</v>
      </c>
      <c r="M31" s="9">
        <v>1</v>
      </c>
      <c r="N31" s="9">
        <v>1</v>
      </c>
      <c r="O31" s="9">
        <v>1</v>
      </c>
      <c r="P31" s="9">
        <v>10</v>
      </c>
      <c r="Q31" s="9">
        <f t="shared" si="4"/>
        <v>100</v>
      </c>
      <c r="R31" s="10">
        <f t="shared" si="5"/>
        <v>2.3025850929940459</v>
      </c>
      <c r="S31" s="5"/>
      <c r="T31" s="5"/>
    </row>
    <row r="32" spans="1:20" ht="45.75" customHeight="1" x14ac:dyDescent="0.3">
      <c r="A32" s="6">
        <v>2000000</v>
      </c>
      <c r="B32" s="7">
        <f t="shared" si="0"/>
        <v>4000000000000</v>
      </c>
      <c r="C32" s="8">
        <f t="shared" si="1"/>
        <v>14.508657738524219</v>
      </c>
      <c r="D32" s="9">
        <f t="shared" si="2"/>
        <v>2000</v>
      </c>
      <c r="E32" s="9">
        <v>1</v>
      </c>
      <c r="F32" s="9">
        <v>1</v>
      </c>
      <c r="G32" s="9">
        <v>0</v>
      </c>
      <c r="H32" s="9">
        <v>0</v>
      </c>
      <c r="I32" s="9">
        <v>0</v>
      </c>
      <c r="J32" s="9">
        <v>0</v>
      </c>
      <c r="K32" s="9">
        <v>18</v>
      </c>
      <c r="L32" s="9">
        <f t="shared" si="3"/>
        <v>324</v>
      </c>
      <c r="M32" s="9">
        <v>0</v>
      </c>
      <c r="N32" s="9">
        <v>0</v>
      </c>
      <c r="O32" s="9">
        <v>0</v>
      </c>
      <c r="P32" s="9">
        <v>8.3333333333333329E-2</v>
      </c>
      <c r="Q32" s="9">
        <f t="shared" si="4"/>
        <v>6.9444444444444441E-3</v>
      </c>
      <c r="R32" s="10">
        <f t="shared" si="5"/>
        <v>-2.4849066497880004</v>
      </c>
      <c r="S32" s="5"/>
      <c r="T32" s="5"/>
    </row>
    <row r="33" spans="1:20" ht="45.75" customHeight="1" x14ac:dyDescent="0.3">
      <c r="A33" s="6">
        <v>1500000</v>
      </c>
      <c r="B33" s="7">
        <f t="shared" si="0"/>
        <v>2250000000000</v>
      </c>
      <c r="C33" s="8">
        <f t="shared" si="1"/>
        <v>14.220975666072439</v>
      </c>
      <c r="D33" s="9">
        <f t="shared" si="2"/>
        <v>1500</v>
      </c>
      <c r="E33" s="9">
        <v>1</v>
      </c>
      <c r="F33" s="9">
        <v>0</v>
      </c>
      <c r="G33" s="9">
        <v>1</v>
      </c>
      <c r="H33" s="9">
        <v>0</v>
      </c>
      <c r="I33" s="9">
        <v>0</v>
      </c>
      <c r="J33" s="9">
        <v>0</v>
      </c>
      <c r="K33" s="9">
        <v>31</v>
      </c>
      <c r="L33" s="9">
        <f t="shared" si="3"/>
        <v>961</v>
      </c>
      <c r="M33" s="9">
        <v>1</v>
      </c>
      <c r="N33" s="9">
        <v>3</v>
      </c>
      <c r="O33" s="9">
        <v>1</v>
      </c>
      <c r="P33" s="9">
        <v>2</v>
      </c>
      <c r="Q33" s="9">
        <f t="shared" si="4"/>
        <v>4</v>
      </c>
      <c r="R33" s="10">
        <f t="shared" si="5"/>
        <v>0.69314718055994529</v>
      </c>
      <c r="S33" s="5"/>
      <c r="T33" s="5"/>
    </row>
    <row r="34" spans="1:20" ht="45.75" customHeight="1" x14ac:dyDescent="0.3">
      <c r="A34" s="6">
        <v>1100000</v>
      </c>
      <c r="B34" s="7">
        <f t="shared" si="0"/>
        <v>1210000000000</v>
      </c>
      <c r="C34" s="8">
        <f t="shared" si="1"/>
        <v>13.910820737768599</v>
      </c>
      <c r="D34" s="9">
        <f t="shared" si="2"/>
        <v>1100</v>
      </c>
      <c r="E34" s="9">
        <v>0</v>
      </c>
      <c r="F34" s="9">
        <v>1</v>
      </c>
      <c r="G34" s="9">
        <v>0</v>
      </c>
      <c r="H34" s="9">
        <v>0</v>
      </c>
      <c r="I34" s="9">
        <v>0</v>
      </c>
      <c r="J34" s="9">
        <v>1</v>
      </c>
      <c r="K34" s="9">
        <v>24</v>
      </c>
      <c r="L34" s="9">
        <f t="shared" si="3"/>
        <v>576</v>
      </c>
      <c r="M34" s="9">
        <v>0</v>
      </c>
      <c r="N34" s="9">
        <v>0</v>
      </c>
      <c r="O34" s="9">
        <v>0</v>
      </c>
      <c r="P34" s="9">
        <v>4</v>
      </c>
      <c r="Q34" s="9">
        <f t="shared" si="4"/>
        <v>16</v>
      </c>
      <c r="R34" s="10">
        <f t="shared" si="5"/>
        <v>1.3862943611198906</v>
      </c>
      <c r="S34" s="5"/>
      <c r="T34" s="5"/>
    </row>
    <row r="35" spans="1:20" ht="45.75" customHeight="1" x14ac:dyDescent="0.3">
      <c r="A35" s="6">
        <v>1500000</v>
      </c>
      <c r="B35" s="7">
        <f t="shared" si="0"/>
        <v>2250000000000</v>
      </c>
      <c r="C35" s="8">
        <f t="shared" si="1"/>
        <v>14.220975666072439</v>
      </c>
      <c r="D35" s="9">
        <f t="shared" si="2"/>
        <v>1500</v>
      </c>
      <c r="E35" s="9">
        <v>1</v>
      </c>
      <c r="F35" s="9">
        <v>0</v>
      </c>
      <c r="G35" s="9">
        <v>1</v>
      </c>
      <c r="H35" s="9">
        <v>0</v>
      </c>
      <c r="I35" s="9">
        <v>0</v>
      </c>
      <c r="J35" s="9">
        <v>0</v>
      </c>
      <c r="K35" s="9">
        <v>32</v>
      </c>
      <c r="L35" s="9">
        <f t="shared" si="3"/>
        <v>1024</v>
      </c>
      <c r="M35" s="9">
        <v>1</v>
      </c>
      <c r="N35" s="9">
        <v>1</v>
      </c>
      <c r="O35" s="9">
        <v>1</v>
      </c>
      <c r="P35" s="9">
        <v>8.5</v>
      </c>
      <c r="Q35" s="9">
        <f t="shared" si="4"/>
        <v>72.25</v>
      </c>
      <c r="R35" s="10">
        <f t="shared" si="5"/>
        <v>2.1400661634962708</v>
      </c>
      <c r="S35" s="5"/>
      <c r="T35" s="5"/>
    </row>
    <row r="36" spans="1:20" ht="45.75" customHeight="1" x14ac:dyDescent="0.3">
      <c r="A36" s="6">
        <v>2700000</v>
      </c>
      <c r="B36" s="7">
        <f t="shared" si="0"/>
        <v>7290000000000</v>
      </c>
      <c r="C36" s="8">
        <f t="shared" si="1"/>
        <v>14.808762330974558</v>
      </c>
      <c r="D36" s="9">
        <f t="shared" si="2"/>
        <v>2700</v>
      </c>
      <c r="E36" s="9">
        <v>1</v>
      </c>
      <c r="F36" s="9">
        <v>0</v>
      </c>
      <c r="G36" s="9">
        <v>0</v>
      </c>
      <c r="H36" s="9">
        <v>1</v>
      </c>
      <c r="I36" s="9">
        <v>1</v>
      </c>
      <c r="J36" s="9">
        <v>1</v>
      </c>
      <c r="K36" s="9">
        <v>27</v>
      </c>
      <c r="L36" s="9">
        <f t="shared" si="3"/>
        <v>729</v>
      </c>
      <c r="M36" s="9">
        <v>1</v>
      </c>
      <c r="N36" s="9">
        <v>0</v>
      </c>
      <c r="O36" s="9">
        <v>0</v>
      </c>
      <c r="P36" s="9">
        <v>1.3333333333333333</v>
      </c>
      <c r="Q36" s="9">
        <f t="shared" si="4"/>
        <v>1.7777777777777777</v>
      </c>
      <c r="R36" s="10">
        <f t="shared" si="5"/>
        <v>0.28768207245178085</v>
      </c>
      <c r="S36" s="5"/>
      <c r="T36" s="5"/>
    </row>
    <row r="37" spans="1:20" ht="45.75" customHeight="1" x14ac:dyDescent="0.3">
      <c r="A37" s="6">
        <v>4000000</v>
      </c>
      <c r="B37" s="7">
        <f t="shared" si="0"/>
        <v>16000000000000</v>
      </c>
      <c r="C37" s="8">
        <f t="shared" si="1"/>
        <v>15.201804919084164</v>
      </c>
      <c r="D37" s="9">
        <f t="shared" si="2"/>
        <v>4000</v>
      </c>
      <c r="E37" s="9">
        <v>1</v>
      </c>
      <c r="F37" s="9">
        <v>1</v>
      </c>
      <c r="G37" s="9">
        <v>0</v>
      </c>
      <c r="H37" s="9">
        <v>0</v>
      </c>
      <c r="I37" s="9">
        <v>0</v>
      </c>
      <c r="J37" s="9">
        <v>1</v>
      </c>
      <c r="K37" s="9">
        <v>43</v>
      </c>
      <c r="L37" s="9">
        <f t="shared" si="3"/>
        <v>1849</v>
      </c>
      <c r="M37" s="9">
        <v>1</v>
      </c>
      <c r="N37" s="9">
        <v>1</v>
      </c>
      <c r="O37" s="9">
        <v>1</v>
      </c>
      <c r="P37" s="9">
        <v>10</v>
      </c>
      <c r="Q37" s="9">
        <f t="shared" si="4"/>
        <v>100</v>
      </c>
      <c r="R37" s="10">
        <f t="shared" si="5"/>
        <v>2.3025850929940459</v>
      </c>
      <c r="S37" s="5"/>
      <c r="T37" s="5"/>
    </row>
    <row r="38" spans="1:20" ht="45.75" customHeight="1" x14ac:dyDescent="0.3">
      <c r="A38" s="6">
        <v>1183000</v>
      </c>
      <c r="B38" s="7">
        <f t="shared" si="0"/>
        <v>1399489000000</v>
      </c>
      <c r="C38" s="8">
        <f t="shared" si="1"/>
        <v>13.983564142960525</v>
      </c>
      <c r="D38" s="9">
        <f t="shared" si="2"/>
        <v>1183</v>
      </c>
      <c r="E38" s="9">
        <v>1</v>
      </c>
      <c r="F38" s="9">
        <v>1</v>
      </c>
      <c r="G38" s="9">
        <v>0</v>
      </c>
      <c r="H38" s="9">
        <v>0</v>
      </c>
      <c r="I38" s="9">
        <v>0</v>
      </c>
      <c r="J38" s="9">
        <v>1</v>
      </c>
      <c r="K38" s="9">
        <v>24</v>
      </c>
      <c r="L38" s="9">
        <f t="shared" si="3"/>
        <v>576</v>
      </c>
      <c r="M38" s="9">
        <v>0</v>
      </c>
      <c r="N38" s="9">
        <v>1</v>
      </c>
      <c r="O38" s="9">
        <v>1</v>
      </c>
      <c r="P38" s="9">
        <v>0.58333333333333337</v>
      </c>
      <c r="Q38" s="9">
        <f t="shared" si="4"/>
        <v>0.34027777777777785</v>
      </c>
      <c r="R38" s="10">
        <f t="shared" si="5"/>
        <v>-0.5389965007326869</v>
      </c>
      <c r="S38" s="5"/>
      <c r="T38" s="5"/>
    </row>
    <row r="39" spans="1:20" ht="45.75" customHeight="1" x14ac:dyDescent="0.3">
      <c r="A39" s="6">
        <v>3000000</v>
      </c>
      <c r="B39" s="7">
        <f t="shared" si="0"/>
        <v>9000000000000</v>
      </c>
      <c r="C39" s="8">
        <f t="shared" si="1"/>
        <v>14.914122846632385</v>
      </c>
      <c r="D39" s="9">
        <f t="shared" si="2"/>
        <v>3000</v>
      </c>
      <c r="E39" s="9">
        <v>0</v>
      </c>
      <c r="F39" s="9">
        <v>1</v>
      </c>
      <c r="G39" s="9">
        <v>0</v>
      </c>
      <c r="H39" s="9">
        <v>0</v>
      </c>
      <c r="I39" s="9">
        <v>1</v>
      </c>
      <c r="J39" s="9">
        <v>1</v>
      </c>
      <c r="K39" s="9">
        <v>52</v>
      </c>
      <c r="L39" s="9">
        <f t="shared" si="3"/>
        <v>2704</v>
      </c>
      <c r="M39" s="9">
        <v>0</v>
      </c>
      <c r="N39" s="9">
        <v>0</v>
      </c>
      <c r="O39" s="9">
        <v>0</v>
      </c>
      <c r="P39" s="9">
        <v>32</v>
      </c>
      <c r="Q39" s="9">
        <f t="shared" si="4"/>
        <v>1024</v>
      </c>
      <c r="R39" s="10">
        <f t="shared" si="5"/>
        <v>3.4657359027997265</v>
      </c>
      <c r="S39" s="5"/>
      <c r="T39" s="5"/>
    </row>
    <row r="40" spans="1:20" ht="45.75" customHeight="1" x14ac:dyDescent="0.3">
      <c r="A40" s="6">
        <v>1014980</v>
      </c>
      <c r="B40" s="7">
        <f t="shared" si="0"/>
        <v>1030184400400</v>
      </c>
      <c r="C40" s="8">
        <f t="shared" si="1"/>
        <v>13.830379465830392</v>
      </c>
      <c r="D40" s="9">
        <f t="shared" si="2"/>
        <v>1014.98</v>
      </c>
      <c r="E40" s="9">
        <v>1</v>
      </c>
      <c r="F40" s="9">
        <v>1</v>
      </c>
      <c r="G40" s="9">
        <v>0</v>
      </c>
      <c r="H40" s="9">
        <v>0</v>
      </c>
      <c r="I40" s="9">
        <v>1</v>
      </c>
      <c r="J40" s="9">
        <v>0</v>
      </c>
      <c r="K40" s="9">
        <v>24</v>
      </c>
      <c r="L40" s="9">
        <f t="shared" si="3"/>
        <v>576</v>
      </c>
      <c r="M40" s="9">
        <v>1</v>
      </c>
      <c r="N40" s="9">
        <v>1</v>
      </c>
      <c r="O40" s="9">
        <v>1</v>
      </c>
      <c r="P40" s="9">
        <v>2</v>
      </c>
      <c r="Q40" s="9">
        <f t="shared" si="4"/>
        <v>4</v>
      </c>
      <c r="R40" s="10">
        <f t="shared" si="5"/>
        <v>0.69314718055994529</v>
      </c>
      <c r="S40" s="5"/>
      <c r="T40" s="5"/>
    </row>
    <row r="41" spans="1:20" ht="45.75" customHeight="1" x14ac:dyDescent="0.3">
      <c r="A41" s="6">
        <v>4500000</v>
      </c>
      <c r="B41" s="7">
        <f t="shared" si="0"/>
        <v>20250000000000</v>
      </c>
      <c r="C41" s="8">
        <f t="shared" si="1"/>
        <v>15.319587954740548</v>
      </c>
      <c r="D41" s="9">
        <f t="shared" si="2"/>
        <v>4500</v>
      </c>
      <c r="E41" s="9">
        <v>1</v>
      </c>
      <c r="F41" s="9">
        <v>0</v>
      </c>
      <c r="G41" s="9">
        <v>0</v>
      </c>
      <c r="H41" s="9">
        <v>1</v>
      </c>
      <c r="I41" s="9">
        <v>1</v>
      </c>
      <c r="J41" s="9">
        <v>1</v>
      </c>
      <c r="K41" s="9">
        <v>31</v>
      </c>
      <c r="L41" s="9">
        <f t="shared" si="3"/>
        <v>961</v>
      </c>
      <c r="M41" s="9">
        <v>0</v>
      </c>
      <c r="N41" s="9">
        <v>1</v>
      </c>
      <c r="O41" s="9">
        <v>1</v>
      </c>
      <c r="P41" s="9">
        <v>5.5</v>
      </c>
      <c r="Q41" s="9">
        <f t="shared" si="4"/>
        <v>30.25</v>
      </c>
      <c r="R41" s="10">
        <f t="shared" si="5"/>
        <v>1.7047480922384253</v>
      </c>
      <c r="S41" s="5"/>
      <c r="T41" s="5"/>
    </row>
    <row r="42" spans="1:20" ht="45.75" customHeight="1" x14ac:dyDescent="0.3">
      <c r="A42" s="6">
        <v>1500000</v>
      </c>
      <c r="B42" s="7">
        <f t="shared" si="0"/>
        <v>2250000000000</v>
      </c>
      <c r="C42" s="8">
        <f t="shared" si="1"/>
        <v>14.220975666072439</v>
      </c>
      <c r="D42" s="9">
        <f t="shared" si="2"/>
        <v>1500</v>
      </c>
      <c r="E42" s="9">
        <v>1</v>
      </c>
      <c r="F42" s="9">
        <v>0</v>
      </c>
      <c r="G42" s="9">
        <v>1</v>
      </c>
      <c r="H42" s="9">
        <v>0</v>
      </c>
      <c r="I42" s="9">
        <v>0</v>
      </c>
      <c r="J42" s="9">
        <v>0</v>
      </c>
      <c r="K42" s="9">
        <v>26</v>
      </c>
      <c r="L42" s="9">
        <f t="shared" si="3"/>
        <v>676</v>
      </c>
      <c r="M42" s="9">
        <v>0</v>
      </c>
      <c r="N42" s="9">
        <v>1</v>
      </c>
      <c r="O42" s="9">
        <v>1</v>
      </c>
      <c r="P42" s="9">
        <v>4</v>
      </c>
      <c r="Q42" s="9">
        <f t="shared" si="4"/>
        <v>16</v>
      </c>
      <c r="R42" s="10">
        <f t="shared" si="5"/>
        <v>1.3862943611198906</v>
      </c>
      <c r="S42" s="5"/>
      <c r="T42" s="5"/>
    </row>
    <row r="43" spans="1:20" ht="45.75" customHeight="1" x14ac:dyDescent="0.3">
      <c r="A43" s="6">
        <v>1500000</v>
      </c>
      <c r="B43" s="7">
        <f t="shared" si="0"/>
        <v>2250000000000</v>
      </c>
      <c r="C43" s="8">
        <f t="shared" si="1"/>
        <v>14.220975666072439</v>
      </c>
      <c r="D43" s="9">
        <f t="shared" si="2"/>
        <v>1500</v>
      </c>
      <c r="E43" s="9">
        <v>1</v>
      </c>
      <c r="F43" s="9">
        <v>0</v>
      </c>
      <c r="G43" s="9">
        <v>0</v>
      </c>
      <c r="H43" s="9">
        <v>1</v>
      </c>
      <c r="I43" s="9">
        <v>0</v>
      </c>
      <c r="J43" s="9">
        <v>0</v>
      </c>
      <c r="K43" s="9">
        <v>46</v>
      </c>
      <c r="L43" s="9">
        <f t="shared" si="3"/>
        <v>2116</v>
      </c>
      <c r="M43" s="9">
        <v>1</v>
      </c>
      <c r="N43" s="9">
        <v>2</v>
      </c>
      <c r="O43" s="9">
        <v>1</v>
      </c>
      <c r="P43" s="9">
        <v>5</v>
      </c>
      <c r="Q43" s="9">
        <f t="shared" si="4"/>
        <v>25</v>
      </c>
      <c r="R43" s="10">
        <f t="shared" si="5"/>
        <v>1.6094379124341003</v>
      </c>
      <c r="S43" s="5"/>
      <c r="T43" s="5"/>
    </row>
    <row r="44" spans="1:20" ht="45.75" customHeight="1" x14ac:dyDescent="0.3">
      <c r="A44" s="6">
        <v>2500000</v>
      </c>
      <c r="B44" s="7">
        <f t="shared" si="0"/>
        <v>6250000000000</v>
      </c>
      <c r="C44" s="8">
        <f t="shared" si="1"/>
        <v>14.73180128983843</v>
      </c>
      <c r="D44" s="9">
        <f t="shared" si="2"/>
        <v>2500</v>
      </c>
      <c r="E44" s="9">
        <v>1</v>
      </c>
      <c r="F44" s="9">
        <v>0</v>
      </c>
      <c r="G44" s="9">
        <v>1</v>
      </c>
      <c r="H44" s="9">
        <v>0</v>
      </c>
      <c r="I44" s="9">
        <v>1</v>
      </c>
      <c r="J44" s="9">
        <v>1</v>
      </c>
      <c r="K44" s="9">
        <v>37</v>
      </c>
      <c r="L44" s="9">
        <f t="shared" si="3"/>
        <v>1369</v>
      </c>
      <c r="M44" s="9">
        <v>0</v>
      </c>
      <c r="N44" s="9">
        <v>2</v>
      </c>
      <c r="O44" s="9">
        <v>1</v>
      </c>
      <c r="P44" s="9">
        <v>10</v>
      </c>
      <c r="Q44" s="9">
        <f t="shared" si="4"/>
        <v>100</v>
      </c>
      <c r="R44" s="10">
        <f t="shared" si="5"/>
        <v>2.3025850929940459</v>
      </c>
      <c r="S44" s="5"/>
      <c r="T44" s="5"/>
    </row>
    <row r="45" spans="1:20" ht="45.75" customHeight="1" x14ac:dyDescent="0.3">
      <c r="A45" s="6">
        <v>5000000</v>
      </c>
      <c r="B45" s="7">
        <f t="shared" si="0"/>
        <v>25000000000000</v>
      </c>
      <c r="C45" s="8">
        <f t="shared" si="1"/>
        <v>15.424948470398375</v>
      </c>
      <c r="D45" s="9">
        <f t="shared" si="2"/>
        <v>5000</v>
      </c>
      <c r="E45" s="9">
        <v>0</v>
      </c>
      <c r="F45" s="9">
        <v>0</v>
      </c>
      <c r="G45" s="9">
        <v>0</v>
      </c>
      <c r="H45" s="9">
        <v>1</v>
      </c>
      <c r="I45" s="9">
        <v>1</v>
      </c>
      <c r="J45" s="9">
        <v>1</v>
      </c>
      <c r="K45" s="9">
        <v>53</v>
      </c>
      <c r="L45" s="9">
        <f t="shared" si="3"/>
        <v>2809</v>
      </c>
      <c r="M45" s="9">
        <v>1</v>
      </c>
      <c r="N45" s="9">
        <v>1</v>
      </c>
      <c r="O45" s="9">
        <v>1</v>
      </c>
      <c r="P45" s="9">
        <v>15</v>
      </c>
      <c r="Q45" s="9">
        <f t="shared" si="4"/>
        <v>225</v>
      </c>
      <c r="R45" s="10">
        <f t="shared" si="5"/>
        <v>2.7080502011022101</v>
      </c>
      <c r="S45" s="5"/>
      <c r="T45" s="5"/>
    </row>
    <row r="46" spans="1:20" ht="45.75" customHeight="1" x14ac:dyDescent="0.3">
      <c r="A46" s="6">
        <v>2200000</v>
      </c>
      <c r="B46" s="7">
        <f t="shared" si="0"/>
        <v>4840000000000</v>
      </c>
      <c r="C46" s="8">
        <f t="shared" si="1"/>
        <v>14.603967918328545</v>
      </c>
      <c r="D46" s="9">
        <f t="shared" si="2"/>
        <v>2200</v>
      </c>
      <c r="E46" s="9">
        <v>1</v>
      </c>
      <c r="F46" s="9">
        <v>0</v>
      </c>
      <c r="G46" s="9">
        <v>0</v>
      </c>
      <c r="H46" s="9">
        <v>1</v>
      </c>
      <c r="I46" s="9">
        <v>1</v>
      </c>
      <c r="J46" s="9">
        <v>1</v>
      </c>
      <c r="K46" s="9">
        <v>40</v>
      </c>
      <c r="L46" s="9">
        <f t="shared" si="3"/>
        <v>1600</v>
      </c>
      <c r="M46" s="9">
        <v>1</v>
      </c>
      <c r="N46" s="9">
        <v>0</v>
      </c>
      <c r="O46" s="9">
        <v>0</v>
      </c>
      <c r="P46" s="9">
        <v>9</v>
      </c>
      <c r="Q46" s="9">
        <f t="shared" si="4"/>
        <v>81</v>
      </c>
      <c r="R46" s="10">
        <f t="shared" si="5"/>
        <v>2.1972245773362196</v>
      </c>
      <c r="S46" s="5"/>
      <c r="T46" s="5"/>
    </row>
    <row r="47" spans="1:20" ht="45.75" customHeight="1" x14ac:dyDescent="0.3">
      <c r="A47" s="6">
        <v>4500000</v>
      </c>
      <c r="B47" s="7">
        <f t="shared" si="0"/>
        <v>20250000000000</v>
      </c>
      <c r="C47" s="8">
        <f t="shared" si="1"/>
        <v>15.319587954740548</v>
      </c>
      <c r="D47" s="9">
        <f t="shared" si="2"/>
        <v>4500</v>
      </c>
      <c r="E47" s="9">
        <v>0</v>
      </c>
      <c r="F47" s="9">
        <v>0</v>
      </c>
      <c r="G47" s="9">
        <v>0</v>
      </c>
      <c r="H47" s="9">
        <v>1</v>
      </c>
      <c r="I47" s="9">
        <v>1</v>
      </c>
      <c r="J47" s="9">
        <v>0</v>
      </c>
      <c r="K47" s="9">
        <v>40</v>
      </c>
      <c r="L47" s="9">
        <f t="shared" si="3"/>
        <v>1600</v>
      </c>
      <c r="M47" s="9">
        <v>0</v>
      </c>
      <c r="N47" s="9">
        <v>2</v>
      </c>
      <c r="O47" s="9">
        <v>1</v>
      </c>
      <c r="P47" s="9">
        <v>2</v>
      </c>
      <c r="Q47" s="9">
        <f t="shared" si="4"/>
        <v>4</v>
      </c>
      <c r="R47" s="10">
        <f t="shared" si="5"/>
        <v>0.69314718055994529</v>
      </c>
      <c r="S47" s="5"/>
      <c r="T47" s="5"/>
    </row>
    <row r="48" spans="1:20" ht="45.75" customHeight="1" x14ac:dyDescent="0.3">
      <c r="A48" s="6">
        <v>2500000</v>
      </c>
      <c r="B48" s="7">
        <f t="shared" si="0"/>
        <v>6250000000000</v>
      </c>
      <c r="C48" s="8">
        <f t="shared" si="1"/>
        <v>14.73180128983843</v>
      </c>
      <c r="D48" s="9">
        <f t="shared" si="2"/>
        <v>2500</v>
      </c>
      <c r="E48" s="9">
        <v>1</v>
      </c>
      <c r="F48" s="9">
        <v>0</v>
      </c>
      <c r="G48" s="9">
        <v>1</v>
      </c>
      <c r="H48" s="9">
        <v>0</v>
      </c>
      <c r="I48" s="9">
        <v>0</v>
      </c>
      <c r="J48" s="9">
        <v>0</v>
      </c>
      <c r="K48" s="9">
        <v>46</v>
      </c>
      <c r="L48" s="9">
        <f t="shared" si="3"/>
        <v>2116</v>
      </c>
      <c r="M48" s="9">
        <v>1</v>
      </c>
      <c r="N48" s="9">
        <v>2</v>
      </c>
      <c r="O48" s="9">
        <v>1</v>
      </c>
      <c r="P48" s="9">
        <v>8</v>
      </c>
      <c r="Q48" s="9">
        <f t="shared" si="4"/>
        <v>64</v>
      </c>
      <c r="R48" s="10">
        <f t="shared" si="5"/>
        <v>2.0794415416798357</v>
      </c>
      <c r="S48" s="5"/>
      <c r="T48" s="5"/>
    </row>
    <row r="49" spans="1:20" ht="45.75" customHeight="1" x14ac:dyDescent="0.3">
      <c r="A49" s="6">
        <v>1500000</v>
      </c>
      <c r="B49" s="7">
        <f t="shared" si="0"/>
        <v>2250000000000</v>
      </c>
      <c r="C49" s="8">
        <f t="shared" si="1"/>
        <v>14.220975666072439</v>
      </c>
      <c r="D49" s="9">
        <f t="shared" si="2"/>
        <v>1500</v>
      </c>
      <c r="E49" s="9">
        <v>1</v>
      </c>
      <c r="F49" s="9">
        <v>1</v>
      </c>
      <c r="G49" s="9">
        <v>0</v>
      </c>
      <c r="H49" s="9">
        <v>0</v>
      </c>
      <c r="I49" s="9">
        <v>1</v>
      </c>
      <c r="J49" s="9">
        <v>1</v>
      </c>
      <c r="K49" s="9">
        <v>28</v>
      </c>
      <c r="L49" s="9">
        <f t="shared" si="3"/>
        <v>784</v>
      </c>
      <c r="M49" s="9">
        <v>1</v>
      </c>
      <c r="N49" s="9">
        <v>4</v>
      </c>
      <c r="O49" s="9">
        <v>1</v>
      </c>
      <c r="P49" s="9">
        <v>5</v>
      </c>
      <c r="Q49" s="9">
        <f t="shared" si="4"/>
        <v>25</v>
      </c>
      <c r="R49" s="10">
        <f t="shared" si="5"/>
        <v>1.6094379124341003</v>
      </c>
      <c r="S49" s="5"/>
      <c r="T49" s="5"/>
    </row>
    <row r="50" spans="1:20" ht="45.75" customHeight="1" x14ac:dyDescent="0.3">
      <c r="A50" s="6">
        <v>3200000</v>
      </c>
      <c r="B50" s="7">
        <f t="shared" si="0"/>
        <v>10240000000000</v>
      </c>
      <c r="C50" s="8">
        <f t="shared" si="1"/>
        <v>14.978661367769956</v>
      </c>
      <c r="D50" s="9">
        <f t="shared" si="2"/>
        <v>3200</v>
      </c>
      <c r="E50" s="9">
        <v>1</v>
      </c>
      <c r="F50" s="9">
        <v>1</v>
      </c>
      <c r="G50" s="9">
        <v>0</v>
      </c>
      <c r="H50" s="9">
        <v>0</v>
      </c>
      <c r="I50" s="9">
        <v>1</v>
      </c>
      <c r="J50" s="9">
        <v>1</v>
      </c>
      <c r="K50" s="9">
        <v>32</v>
      </c>
      <c r="L50" s="9">
        <f t="shared" si="3"/>
        <v>1024</v>
      </c>
      <c r="M50" s="9">
        <v>1</v>
      </c>
      <c r="N50" s="9">
        <v>2</v>
      </c>
      <c r="O50" s="9">
        <v>1</v>
      </c>
      <c r="P50" s="9">
        <v>10</v>
      </c>
      <c r="Q50" s="9">
        <f t="shared" si="4"/>
        <v>100</v>
      </c>
      <c r="R50" s="10">
        <f t="shared" si="5"/>
        <v>2.3025850929940459</v>
      </c>
      <c r="S50" s="5"/>
      <c r="T50" s="5"/>
    </row>
    <row r="51" spans="1:20" ht="45.75" customHeight="1" x14ac:dyDescent="0.3">
      <c r="A51" s="6">
        <v>1200000</v>
      </c>
      <c r="B51" s="7">
        <f t="shared" si="0"/>
        <v>1440000000000</v>
      </c>
      <c r="C51" s="8">
        <f t="shared" si="1"/>
        <v>13.997832114758229</v>
      </c>
      <c r="D51" s="9">
        <f t="shared" si="2"/>
        <v>1200</v>
      </c>
      <c r="E51" s="9">
        <v>1</v>
      </c>
      <c r="F51" s="9">
        <v>1</v>
      </c>
      <c r="G51" s="9">
        <v>0</v>
      </c>
      <c r="H51" s="9">
        <v>0</v>
      </c>
      <c r="I51" s="9">
        <v>0</v>
      </c>
      <c r="J51" s="9">
        <v>1</v>
      </c>
      <c r="K51" s="9">
        <v>55</v>
      </c>
      <c r="L51" s="9">
        <f t="shared" si="3"/>
        <v>3025</v>
      </c>
      <c r="M51" s="9">
        <v>1</v>
      </c>
      <c r="N51" s="9">
        <v>5</v>
      </c>
      <c r="O51" s="9">
        <v>1</v>
      </c>
      <c r="P51" s="9">
        <v>30</v>
      </c>
      <c r="Q51" s="9">
        <f t="shared" si="4"/>
        <v>900</v>
      </c>
      <c r="R51" s="10">
        <f t="shared" si="5"/>
        <v>3.4011973816621555</v>
      </c>
      <c r="S51" s="5"/>
      <c r="T51" s="5"/>
    </row>
    <row r="52" spans="1:20" ht="45.75" customHeight="1" x14ac:dyDescent="0.3">
      <c r="A52" s="6">
        <v>800000</v>
      </c>
      <c r="B52" s="7">
        <f t="shared" si="0"/>
        <v>640000000000</v>
      </c>
      <c r="C52" s="8">
        <f t="shared" si="1"/>
        <v>13.592367006650065</v>
      </c>
      <c r="D52" s="9">
        <f t="shared" si="2"/>
        <v>800</v>
      </c>
      <c r="E52" s="9">
        <v>1</v>
      </c>
      <c r="F52" s="9">
        <v>1</v>
      </c>
      <c r="G52" s="9">
        <v>0</v>
      </c>
      <c r="H52" s="9">
        <v>0</v>
      </c>
      <c r="I52" s="9">
        <v>1</v>
      </c>
      <c r="J52" s="9">
        <v>0</v>
      </c>
      <c r="K52" s="9">
        <v>22</v>
      </c>
      <c r="L52" s="9">
        <f t="shared" si="3"/>
        <v>484</v>
      </c>
      <c r="M52" s="9">
        <v>0</v>
      </c>
      <c r="N52" s="9">
        <v>1</v>
      </c>
      <c r="O52" s="9">
        <v>1</v>
      </c>
      <c r="P52" s="9">
        <v>0.25</v>
      </c>
      <c r="Q52" s="9">
        <f t="shared" si="4"/>
        <v>6.25E-2</v>
      </c>
      <c r="R52" s="10">
        <f t="shared" si="5"/>
        <v>-1.3862943611198906</v>
      </c>
      <c r="S52" s="5"/>
      <c r="T52" s="5"/>
    </row>
    <row r="53" spans="1:20" ht="45.75" customHeight="1" x14ac:dyDescent="0.3">
      <c r="A53" s="6">
        <v>800000</v>
      </c>
      <c r="B53" s="7">
        <f t="shared" si="0"/>
        <v>640000000000</v>
      </c>
      <c r="C53" s="8">
        <f t="shared" si="1"/>
        <v>13.592367006650065</v>
      </c>
      <c r="D53" s="9">
        <f t="shared" si="2"/>
        <v>800</v>
      </c>
      <c r="E53" s="9">
        <v>1</v>
      </c>
      <c r="F53" s="9">
        <v>1</v>
      </c>
      <c r="G53" s="9">
        <v>0</v>
      </c>
      <c r="H53" s="9">
        <v>0</v>
      </c>
      <c r="I53" s="9">
        <v>0</v>
      </c>
      <c r="J53" s="9">
        <v>0</v>
      </c>
      <c r="K53" s="9">
        <v>25</v>
      </c>
      <c r="L53" s="9">
        <f t="shared" si="3"/>
        <v>625</v>
      </c>
      <c r="M53" s="9">
        <v>0</v>
      </c>
      <c r="N53" s="9">
        <v>2</v>
      </c>
      <c r="O53" s="9">
        <v>1</v>
      </c>
      <c r="P53" s="9">
        <v>0.25</v>
      </c>
      <c r="Q53" s="9">
        <f t="shared" si="4"/>
        <v>6.25E-2</v>
      </c>
      <c r="R53" s="10">
        <f t="shared" si="5"/>
        <v>-1.3862943611198906</v>
      </c>
      <c r="S53" s="5"/>
      <c r="T53" s="5"/>
    </row>
    <row r="54" spans="1:20" ht="45.75" customHeight="1" x14ac:dyDescent="0.3">
      <c r="A54" s="6">
        <v>900000</v>
      </c>
      <c r="B54" s="7">
        <f t="shared" si="0"/>
        <v>810000000000</v>
      </c>
      <c r="C54" s="8">
        <f t="shared" si="1"/>
        <v>13.710150042306449</v>
      </c>
      <c r="D54" s="9">
        <f t="shared" si="2"/>
        <v>900</v>
      </c>
      <c r="E54" s="9">
        <v>1</v>
      </c>
      <c r="F54" s="9">
        <v>1</v>
      </c>
      <c r="G54" s="9">
        <v>0</v>
      </c>
      <c r="H54" s="9">
        <v>0</v>
      </c>
      <c r="I54" s="9">
        <v>1</v>
      </c>
      <c r="J54" s="9">
        <v>1</v>
      </c>
      <c r="K54" s="9">
        <v>25</v>
      </c>
      <c r="L54" s="9">
        <f t="shared" si="3"/>
        <v>625</v>
      </c>
      <c r="M54" s="9">
        <v>1</v>
      </c>
      <c r="N54" s="9">
        <v>2</v>
      </c>
      <c r="O54" s="9">
        <v>1</v>
      </c>
      <c r="P54" s="9">
        <v>10</v>
      </c>
      <c r="Q54" s="9">
        <f t="shared" si="4"/>
        <v>100</v>
      </c>
      <c r="R54" s="10">
        <f t="shared" si="5"/>
        <v>2.3025850929940459</v>
      </c>
      <c r="S54" s="5"/>
      <c r="T54" s="5"/>
    </row>
    <row r="55" spans="1:20" ht="45.75" customHeight="1" x14ac:dyDescent="0.3">
      <c r="A55" s="6">
        <v>900000</v>
      </c>
      <c r="B55" s="7">
        <f t="shared" si="0"/>
        <v>810000000000</v>
      </c>
      <c r="C55" s="8">
        <f t="shared" si="1"/>
        <v>13.710150042306449</v>
      </c>
      <c r="D55" s="9">
        <f t="shared" si="2"/>
        <v>900</v>
      </c>
      <c r="E55" s="9">
        <v>0</v>
      </c>
      <c r="F55" s="9">
        <v>1</v>
      </c>
      <c r="G55" s="9">
        <v>0</v>
      </c>
      <c r="H55" s="9">
        <v>0</v>
      </c>
      <c r="I55" s="9">
        <v>0</v>
      </c>
      <c r="J55" s="9">
        <v>0</v>
      </c>
      <c r="K55" s="9">
        <v>30</v>
      </c>
      <c r="L55" s="9">
        <f t="shared" si="3"/>
        <v>900</v>
      </c>
      <c r="M55" s="9">
        <v>1</v>
      </c>
      <c r="N55" s="9">
        <v>1</v>
      </c>
      <c r="O55" s="9">
        <v>1</v>
      </c>
      <c r="P55" s="9">
        <v>10</v>
      </c>
      <c r="Q55" s="9">
        <f t="shared" si="4"/>
        <v>100</v>
      </c>
      <c r="R55" s="10">
        <f t="shared" si="5"/>
        <v>2.3025850929940459</v>
      </c>
      <c r="S55" s="5"/>
      <c r="T55" s="5"/>
    </row>
    <row r="56" spans="1:20" ht="45.75" customHeight="1" x14ac:dyDescent="0.3">
      <c r="A56" s="6">
        <v>2500000</v>
      </c>
      <c r="B56" s="7">
        <f t="shared" si="0"/>
        <v>6250000000000</v>
      </c>
      <c r="C56" s="8">
        <f t="shared" si="1"/>
        <v>14.73180128983843</v>
      </c>
      <c r="D56" s="9">
        <f t="shared" si="2"/>
        <v>2500</v>
      </c>
      <c r="E56" s="9">
        <v>0</v>
      </c>
      <c r="F56" s="9">
        <v>1</v>
      </c>
      <c r="G56" s="9">
        <v>0</v>
      </c>
      <c r="H56" s="9">
        <v>0</v>
      </c>
      <c r="I56" s="9">
        <v>1</v>
      </c>
      <c r="J56" s="9">
        <v>0</v>
      </c>
      <c r="K56" s="9">
        <v>28</v>
      </c>
      <c r="L56" s="9">
        <f t="shared" si="3"/>
        <v>784</v>
      </c>
      <c r="M56" s="9">
        <v>0</v>
      </c>
      <c r="N56" s="9">
        <v>2</v>
      </c>
      <c r="O56" s="9">
        <v>1</v>
      </c>
      <c r="P56" s="9">
        <v>5</v>
      </c>
      <c r="Q56" s="9">
        <f t="shared" si="4"/>
        <v>25</v>
      </c>
      <c r="R56" s="10">
        <f t="shared" si="5"/>
        <v>1.6094379124341003</v>
      </c>
      <c r="S56" s="5"/>
      <c r="T56" s="5"/>
    </row>
    <row r="57" spans="1:20" ht="45.75" customHeight="1" x14ac:dyDescent="0.3">
      <c r="A57" s="6">
        <v>6000000</v>
      </c>
      <c r="B57" s="7">
        <f t="shared" si="0"/>
        <v>36000000000000</v>
      </c>
      <c r="C57" s="8">
        <f t="shared" si="1"/>
        <v>15.60727002719233</v>
      </c>
      <c r="D57" s="9">
        <f t="shared" si="2"/>
        <v>6000</v>
      </c>
      <c r="E57" s="9">
        <v>1</v>
      </c>
      <c r="F57" s="9">
        <v>0</v>
      </c>
      <c r="G57" s="9">
        <v>0</v>
      </c>
      <c r="H57" s="9">
        <v>1</v>
      </c>
      <c r="I57" s="9">
        <v>1</v>
      </c>
      <c r="J57" s="9">
        <v>1</v>
      </c>
      <c r="K57" s="9">
        <v>44</v>
      </c>
      <c r="L57" s="9">
        <f t="shared" si="3"/>
        <v>1936</v>
      </c>
      <c r="M57" s="9">
        <v>0</v>
      </c>
      <c r="N57" s="9">
        <v>1</v>
      </c>
      <c r="O57" s="9">
        <v>1</v>
      </c>
      <c r="P57" s="9">
        <v>5</v>
      </c>
      <c r="Q57" s="9">
        <f t="shared" si="4"/>
        <v>25</v>
      </c>
      <c r="R57" s="10">
        <f t="shared" si="5"/>
        <v>1.6094379124341003</v>
      </c>
      <c r="S57" s="5"/>
      <c r="T57" s="5"/>
    </row>
    <row r="58" spans="1:20" ht="45.75" customHeight="1" x14ac:dyDescent="0.3">
      <c r="A58" s="6">
        <v>1600000</v>
      </c>
      <c r="B58" s="7">
        <f t="shared" si="0"/>
        <v>2560000000000</v>
      </c>
      <c r="C58" s="8">
        <f t="shared" si="1"/>
        <v>14.28551418721001</v>
      </c>
      <c r="D58" s="9">
        <f t="shared" si="2"/>
        <v>1600</v>
      </c>
      <c r="E58" s="9">
        <v>0</v>
      </c>
      <c r="F58" s="9">
        <v>0</v>
      </c>
      <c r="G58" s="9">
        <v>0</v>
      </c>
      <c r="H58" s="9">
        <v>1</v>
      </c>
      <c r="I58" s="9">
        <v>1</v>
      </c>
      <c r="J58" s="9">
        <v>1</v>
      </c>
      <c r="K58" s="9">
        <v>30</v>
      </c>
      <c r="L58" s="9">
        <f t="shared" si="3"/>
        <v>900</v>
      </c>
      <c r="M58" s="9">
        <v>0</v>
      </c>
      <c r="N58" s="9">
        <v>0</v>
      </c>
      <c r="O58" s="9">
        <v>0</v>
      </c>
      <c r="P58" s="9">
        <v>2</v>
      </c>
      <c r="Q58" s="9">
        <f t="shared" si="4"/>
        <v>4</v>
      </c>
      <c r="R58" s="10">
        <f t="shared" si="5"/>
        <v>0.69314718055994529</v>
      </c>
      <c r="S58" s="5"/>
      <c r="T58" s="5"/>
    </row>
    <row r="59" spans="1:20" ht="45.75" customHeight="1" x14ac:dyDescent="0.3">
      <c r="A59" s="6">
        <v>4500000</v>
      </c>
      <c r="B59" s="7">
        <f t="shared" si="0"/>
        <v>20250000000000</v>
      </c>
      <c r="C59" s="8">
        <f t="shared" si="1"/>
        <v>15.319587954740548</v>
      </c>
      <c r="D59" s="9">
        <f t="shared" si="2"/>
        <v>4500</v>
      </c>
      <c r="E59" s="9">
        <v>1</v>
      </c>
      <c r="F59" s="9">
        <v>0</v>
      </c>
      <c r="G59" s="9">
        <v>0</v>
      </c>
      <c r="H59" s="9">
        <v>1</v>
      </c>
      <c r="I59" s="9">
        <v>1</v>
      </c>
      <c r="J59" s="9">
        <v>0</v>
      </c>
      <c r="K59" s="9">
        <v>34</v>
      </c>
      <c r="L59" s="9">
        <f t="shared" si="3"/>
        <v>1156</v>
      </c>
      <c r="M59" s="9">
        <v>0</v>
      </c>
      <c r="N59" s="9">
        <v>2</v>
      </c>
      <c r="O59" s="9">
        <v>1</v>
      </c>
      <c r="P59" s="9">
        <v>6</v>
      </c>
      <c r="Q59" s="9">
        <f t="shared" si="4"/>
        <v>36</v>
      </c>
      <c r="R59" s="10">
        <f t="shared" si="5"/>
        <v>1.791759469228055</v>
      </c>
      <c r="S59" s="5"/>
      <c r="T59" s="5"/>
    </row>
    <row r="60" spans="1:20" ht="45.75" customHeight="1" x14ac:dyDescent="0.3">
      <c r="A60" s="6">
        <v>1900000</v>
      </c>
      <c r="B60" s="7">
        <f t="shared" si="0"/>
        <v>3610000000000</v>
      </c>
      <c r="C60" s="8">
        <f t="shared" si="1"/>
        <v>14.457364444136669</v>
      </c>
      <c r="D60" s="9">
        <f t="shared" si="2"/>
        <v>1900</v>
      </c>
      <c r="E60" s="9">
        <v>0</v>
      </c>
      <c r="F60" s="9">
        <v>1</v>
      </c>
      <c r="G60" s="9">
        <v>0</v>
      </c>
      <c r="H60" s="9">
        <v>0</v>
      </c>
      <c r="I60" s="9">
        <v>0</v>
      </c>
      <c r="J60" s="9">
        <v>1</v>
      </c>
      <c r="K60" s="9">
        <v>25</v>
      </c>
      <c r="L60" s="9">
        <f t="shared" si="3"/>
        <v>625</v>
      </c>
      <c r="M60" s="9">
        <v>0</v>
      </c>
      <c r="N60" s="9">
        <v>0</v>
      </c>
      <c r="O60" s="9">
        <v>0</v>
      </c>
      <c r="P60" s="9">
        <v>7</v>
      </c>
      <c r="Q60" s="9">
        <f t="shared" si="4"/>
        <v>49</v>
      </c>
      <c r="R60" s="10">
        <f t="shared" si="5"/>
        <v>1.9459101490553132</v>
      </c>
      <c r="S60" s="5"/>
      <c r="T60" s="5"/>
    </row>
    <row r="61" spans="1:20" ht="45.75" customHeight="1" x14ac:dyDescent="0.3">
      <c r="A61" s="6">
        <v>1000000</v>
      </c>
      <c r="B61" s="7">
        <f t="shared" si="0"/>
        <v>1000000000000</v>
      </c>
      <c r="C61" s="8">
        <f t="shared" si="1"/>
        <v>13.815510557964274</v>
      </c>
      <c r="D61" s="9">
        <f t="shared" si="2"/>
        <v>1000</v>
      </c>
      <c r="E61" s="9">
        <v>1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19</v>
      </c>
      <c r="L61" s="9">
        <f t="shared" si="3"/>
        <v>361</v>
      </c>
      <c r="M61" s="9">
        <v>0</v>
      </c>
      <c r="N61" s="9">
        <v>0</v>
      </c>
      <c r="O61" s="9">
        <v>0</v>
      </c>
      <c r="P61" s="9">
        <v>0.5</v>
      </c>
      <c r="Q61" s="9">
        <f t="shared" si="4"/>
        <v>0.25</v>
      </c>
      <c r="R61" s="10">
        <f t="shared" si="5"/>
        <v>-0.69314718055994529</v>
      </c>
      <c r="S61" s="5"/>
      <c r="T61" s="5"/>
    </row>
    <row r="62" spans="1:20" ht="45.75" customHeight="1" x14ac:dyDescent="0.3">
      <c r="A62" s="6">
        <v>1100000</v>
      </c>
      <c r="B62" s="7">
        <f t="shared" si="0"/>
        <v>1210000000000</v>
      </c>
      <c r="C62" s="8">
        <f t="shared" si="1"/>
        <v>13.910820737768599</v>
      </c>
      <c r="D62" s="9">
        <f t="shared" si="2"/>
        <v>1100</v>
      </c>
      <c r="E62" s="9">
        <v>1</v>
      </c>
      <c r="F62" s="9">
        <v>0</v>
      </c>
      <c r="G62" s="9">
        <v>1</v>
      </c>
      <c r="H62" s="9">
        <v>0</v>
      </c>
      <c r="I62" s="9">
        <v>0</v>
      </c>
      <c r="J62" s="9">
        <v>0</v>
      </c>
      <c r="K62" s="9">
        <v>22</v>
      </c>
      <c r="L62" s="9">
        <f t="shared" si="3"/>
        <v>484</v>
      </c>
      <c r="M62" s="9">
        <v>0</v>
      </c>
      <c r="N62" s="9">
        <v>0</v>
      </c>
      <c r="O62" s="9">
        <v>0</v>
      </c>
      <c r="P62" s="9">
        <v>8.3333333333333329E-2</v>
      </c>
      <c r="Q62" s="9">
        <f t="shared" si="4"/>
        <v>6.9444444444444441E-3</v>
      </c>
      <c r="R62" s="10">
        <f t="shared" si="5"/>
        <v>-2.4849066497880004</v>
      </c>
      <c r="S62" s="5"/>
      <c r="T62" s="5"/>
    </row>
    <row r="63" spans="1:20" ht="45.75" customHeight="1" x14ac:dyDescent="0.3">
      <c r="A63" s="6">
        <v>5100000</v>
      </c>
      <c r="B63" s="7">
        <f t="shared" si="0"/>
        <v>26010000000000</v>
      </c>
      <c r="C63" s="8">
        <f t="shared" si="1"/>
        <v>15.444751097694555</v>
      </c>
      <c r="D63" s="9">
        <f t="shared" si="2"/>
        <v>5100</v>
      </c>
      <c r="E63" s="9">
        <v>1</v>
      </c>
      <c r="F63" s="9">
        <v>0</v>
      </c>
      <c r="G63" s="9">
        <v>0</v>
      </c>
      <c r="H63" s="9">
        <v>1</v>
      </c>
      <c r="I63" s="9">
        <v>1</v>
      </c>
      <c r="J63" s="9">
        <v>0</v>
      </c>
      <c r="K63" s="9">
        <v>28</v>
      </c>
      <c r="L63" s="9">
        <f t="shared" si="3"/>
        <v>784</v>
      </c>
      <c r="M63" s="9">
        <v>1</v>
      </c>
      <c r="N63" s="9">
        <v>0</v>
      </c>
      <c r="O63" s="9">
        <v>0</v>
      </c>
      <c r="P63" s="9">
        <v>2</v>
      </c>
      <c r="Q63" s="9">
        <f t="shared" si="4"/>
        <v>4</v>
      </c>
      <c r="R63" s="10">
        <f t="shared" si="5"/>
        <v>0.69314718055994529</v>
      </c>
      <c r="S63" s="5"/>
      <c r="T63" s="5"/>
    </row>
    <row r="64" spans="1:20" ht="45.75" customHeight="1" x14ac:dyDescent="0.3">
      <c r="A64" s="6">
        <v>3600000</v>
      </c>
      <c r="B64" s="7">
        <f t="shared" si="0"/>
        <v>12960000000000</v>
      </c>
      <c r="C64" s="8">
        <f t="shared" si="1"/>
        <v>15.096444403426338</v>
      </c>
      <c r="D64" s="9">
        <f t="shared" si="2"/>
        <v>3600</v>
      </c>
      <c r="E64" s="9">
        <v>1</v>
      </c>
      <c r="F64" s="9">
        <v>0</v>
      </c>
      <c r="G64" s="9">
        <v>0</v>
      </c>
      <c r="H64" s="9">
        <v>1</v>
      </c>
      <c r="I64" s="9">
        <v>0</v>
      </c>
      <c r="J64" s="9">
        <v>0</v>
      </c>
      <c r="K64" s="9">
        <v>38</v>
      </c>
      <c r="L64" s="9">
        <f t="shared" si="3"/>
        <v>1444</v>
      </c>
      <c r="M64" s="9">
        <v>1</v>
      </c>
      <c r="N64" s="9">
        <v>2</v>
      </c>
      <c r="O64" s="9">
        <v>1</v>
      </c>
      <c r="P64" s="9">
        <v>4</v>
      </c>
      <c r="Q64" s="9">
        <f t="shared" si="4"/>
        <v>16</v>
      </c>
      <c r="R64" s="10">
        <f t="shared" si="5"/>
        <v>1.3862943611198906</v>
      </c>
      <c r="S64" s="5"/>
      <c r="T64" s="5"/>
    </row>
    <row r="65" spans="1:20" ht="45.75" customHeight="1" x14ac:dyDescent="0.3">
      <c r="A65" s="6">
        <v>2600000</v>
      </c>
      <c r="B65" s="7">
        <f t="shared" si="0"/>
        <v>6760000000000</v>
      </c>
      <c r="C65" s="8">
        <f t="shared" si="1"/>
        <v>14.77102200299171</v>
      </c>
      <c r="D65" s="9">
        <f t="shared" si="2"/>
        <v>2600</v>
      </c>
      <c r="E65" s="9">
        <v>1</v>
      </c>
      <c r="F65" s="9">
        <v>0</v>
      </c>
      <c r="G65" s="9">
        <v>1</v>
      </c>
      <c r="H65" s="9">
        <v>0</v>
      </c>
      <c r="I65" s="9">
        <v>0</v>
      </c>
      <c r="J65" s="9">
        <v>1</v>
      </c>
      <c r="K65" s="9">
        <v>26</v>
      </c>
      <c r="L65" s="9">
        <f t="shared" si="3"/>
        <v>676</v>
      </c>
      <c r="M65" s="9">
        <v>0</v>
      </c>
      <c r="N65" s="9">
        <v>0</v>
      </c>
      <c r="O65" s="9">
        <v>0</v>
      </c>
      <c r="P65" s="9">
        <v>2</v>
      </c>
      <c r="Q65" s="9">
        <f t="shared" si="4"/>
        <v>4</v>
      </c>
      <c r="R65" s="10">
        <f t="shared" si="5"/>
        <v>0.69314718055994529</v>
      </c>
      <c r="S65" s="5"/>
      <c r="T65" s="5"/>
    </row>
    <row r="66" spans="1:20" ht="45.75" customHeight="1" x14ac:dyDescent="0.3">
      <c r="A66" s="6">
        <v>1300000</v>
      </c>
      <c r="B66" s="7">
        <f t="shared" si="0"/>
        <v>1690000000000</v>
      </c>
      <c r="C66" s="8">
        <f t="shared" si="1"/>
        <v>14.077874822431765</v>
      </c>
      <c r="D66" s="9">
        <f t="shared" si="2"/>
        <v>1300</v>
      </c>
      <c r="E66" s="9">
        <v>1</v>
      </c>
      <c r="F66" s="9">
        <v>0</v>
      </c>
      <c r="G66" s="9">
        <v>1</v>
      </c>
      <c r="H66" s="9">
        <v>0</v>
      </c>
      <c r="I66" s="9">
        <v>1</v>
      </c>
      <c r="J66" s="9">
        <v>0</v>
      </c>
      <c r="K66" s="9">
        <v>35</v>
      </c>
      <c r="L66" s="9">
        <f t="shared" si="3"/>
        <v>1225</v>
      </c>
      <c r="M66" s="9">
        <v>1</v>
      </c>
      <c r="N66" s="9">
        <v>2</v>
      </c>
      <c r="O66" s="9">
        <v>1</v>
      </c>
      <c r="P66" s="9">
        <v>5</v>
      </c>
      <c r="Q66" s="9">
        <f t="shared" si="4"/>
        <v>25</v>
      </c>
      <c r="R66" s="10">
        <f t="shared" si="5"/>
        <v>1.6094379124341003</v>
      </c>
      <c r="S66" s="5"/>
      <c r="T66" s="5"/>
    </row>
    <row r="67" spans="1:20" ht="45.75" customHeight="1" x14ac:dyDescent="0.3">
      <c r="A67" s="6">
        <v>3000000</v>
      </c>
      <c r="B67" s="7">
        <f t="shared" si="0"/>
        <v>9000000000000</v>
      </c>
      <c r="C67" s="8">
        <f t="shared" si="1"/>
        <v>14.914122846632385</v>
      </c>
      <c r="D67" s="9">
        <f t="shared" si="2"/>
        <v>3000</v>
      </c>
      <c r="E67" s="9">
        <v>1</v>
      </c>
      <c r="F67" s="9">
        <v>0</v>
      </c>
      <c r="G67" s="9">
        <v>0</v>
      </c>
      <c r="H67" s="9">
        <v>1</v>
      </c>
      <c r="I67" s="9">
        <v>1</v>
      </c>
      <c r="J67" s="9">
        <v>0</v>
      </c>
      <c r="K67" s="9">
        <v>33</v>
      </c>
      <c r="L67" s="9">
        <f t="shared" si="3"/>
        <v>1089</v>
      </c>
      <c r="M67" s="9">
        <v>0</v>
      </c>
      <c r="N67" s="9">
        <v>0</v>
      </c>
      <c r="O67" s="9">
        <v>0</v>
      </c>
      <c r="P67" s="9">
        <v>8</v>
      </c>
      <c r="Q67" s="9">
        <f t="shared" si="4"/>
        <v>64</v>
      </c>
      <c r="R67" s="10">
        <f t="shared" si="5"/>
        <v>2.0794415416798357</v>
      </c>
      <c r="S67" s="5"/>
      <c r="T67" s="5"/>
    </row>
    <row r="68" spans="1:20" ht="45.75" customHeight="1" x14ac:dyDescent="0.3">
      <c r="A68" s="6">
        <v>2000000</v>
      </c>
      <c r="B68" s="7">
        <f t="shared" si="0"/>
        <v>4000000000000</v>
      </c>
      <c r="C68" s="8">
        <f t="shared" si="1"/>
        <v>14.508657738524219</v>
      </c>
      <c r="D68" s="9">
        <f t="shared" si="2"/>
        <v>2000</v>
      </c>
      <c r="E68" s="9">
        <v>0</v>
      </c>
      <c r="F68" s="9">
        <v>0</v>
      </c>
      <c r="G68" s="9">
        <v>0</v>
      </c>
      <c r="H68" s="9">
        <v>1</v>
      </c>
      <c r="I68" s="9">
        <v>0</v>
      </c>
      <c r="J68" s="9">
        <v>0</v>
      </c>
      <c r="K68" s="9">
        <v>31</v>
      </c>
      <c r="L68" s="9">
        <f t="shared" si="3"/>
        <v>961</v>
      </c>
      <c r="M68" s="9">
        <v>0</v>
      </c>
      <c r="N68" s="9">
        <v>1</v>
      </c>
      <c r="O68" s="9">
        <v>1</v>
      </c>
      <c r="P68" s="9">
        <v>6</v>
      </c>
      <c r="Q68" s="9">
        <f t="shared" si="4"/>
        <v>36</v>
      </c>
      <c r="R68" s="10">
        <f t="shared" si="5"/>
        <v>1.791759469228055</v>
      </c>
      <c r="S68" s="5"/>
      <c r="T68" s="5"/>
    </row>
    <row r="69" spans="1:20" ht="45.75" customHeight="1" x14ac:dyDescent="0.3">
      <c r="A69" s="6">
        <v>950000</v>
      </c>
      <c r="B69" s="7">
        <f t="shared" si="0"/>
        <v>902500000000</v>
      </c>
      <c r="C69" s="8">
        <f t="shared" si="1"/>
        <v>13.764217263576723</v>
      </c>
      <c r="D69" s="9">
        <f t="shared" si="2"/>
        <v>950</v>
      </c>
      <c r="E69" s="9">
        <v>1</v>
      </c>
      <c r="F69" s="9">
        <v>0</v>
      </c>
      <c r="G69" s="9">
        <v>1</v>
      </c>
      <c r="H69" s="9">
        <v>0</v>
      </c>
      <c r="I69" s="9">
        <v>0</v>
      </c>
      <c r="J69" s="9">
        <v>0</v>
      </c>
      <c r="K69" s="9">
        <v>24</v>
      </c>
      <c r="L69" s="9">
        <f t="shared" si="3"/>
        <v>576</v>
      </c>
      <c r="M69" s="9">
        <v>0</v>
      </c>
      <c r="N69" s="9">
        <v>0</v>
      </c>
      <c r="O69" s="9">
        <v>0</v>
      </c>
      <c r="P69" s="9">
        <v>2</v>
      </c>
      <c r="Q69" s="9">
        <f t="shared" si="4"/>
        <v>4</v>
      </c>
      <c r="R69" s="10">
        <f t="shared" si="5"/>
        <v>0.69314718055994529</v>
      </c>
      <c r="S69" s="5"/>
      <c r="T69" s="5"/>
    </row>
    <row r="70" spans="1:20" ht="45.75" customHeight="1" x14ac:dyDescent="0.3">
      <c r="A70" s="6">
        <v>1100000</v>
      </c>
      <c r="B70" s="7">
        <f t="shared" si="0"/>
        <v>1210000000000</v>
      </c>
      <c r="C70" s="8">
        <f t="shared" si="1"/>
        <v>13.910820737768599</v>
      </c>
      <c r="D70" s="9">
        <f t="shared" si="2"/>
        <v>1100</v>
      </c>
      <c r="E70" s="9">
        <v>1</v>
      </c>
      <c r="F70" s="9">
        <v>0</v>
      </c>
      <c r="G70" s="9">
        <v>1</v>
      </c>
      <c r="H70" s="9">
        <v>0</v>
      </c>
      <c r="I70" s="9">
        <v>0</v>
      </c>
      <c r="J70" s="9">
        <v>1</v>
      </c>
      <c r="K70" s="9">
        <v>27</v>
      </c>
      <c r="L70" s="9">
        <f t="shared" si="3"/>
        <v>729</v>
      </c>
      <c r="M70" s="9">
        <v>0</v>
      </c>
      <c r="N70" s="9">
        <v>0</v>
      </c>
      <c r="O70" s="9">
        <v>0</v>
      </c>
      <c r="P70" s="9">
        <v>3</v>
      </c>
      <c r="Q70" s="9">
        <f t="shared" si="4"/>
        <v>9</v>
      </c>
      <c r="R70" s="10">
        <f t="shared" si="5"/>
        <v>1.0986122886681098</v>
      </c>
      <c r="S70" s="5"/>
      <c r="T70" s="5"/>
    </row>
    <row r="71" spans="1:20" ht="45.75" customHeight="1" x14ac:dyDescent="0.3">
      <c r="A71" s="6">
        <v>110000</v>
      </c>
      <c r="B71" s="7">
        <f t="shared" si="0"/>
        <v>12100000000</v>
      </c>
      <c r="C71" s="8">
        <f t="shared" si="1"/>
        <v>11.608235644774552</v>
      </c>
      <c r="D71" s="9">
        <f t="shared" si="2"/>
        <v>110</v>
      </c>
      <c r="E71" s="9">
        <v>1</v>
      </c>
      <c r="F71" s="9">
        <v>1</v>
      </c>
      <c r="G71" s="9">
        <v>0</v>
      </c>
      <c r="H71" s="9">
        <v>0</v>
      </c>
      <c r="I71" s="9">
        <v>0</v>
      </c>
      <c r="J71" s="9">
        <v>0</v>
      </c>
      <c r="K71" s="9">
        <v>26</v>
      </c>
      <c r="L71" s="9">
        <f t="shared" si="3"/>
        <v>676</v>
      </c>
      <c r="M71" s="9">
        <v>1</v>
      </c>
      <c r="N71" s="9">
        <v>0</v>
      </c>
      <c r="O71" s="9">
        <v>0</v>
      </c>
      <c r="P71" s="9">
        <v>0.5</v>
      </c>
      <c r="Q71" s="9">
        <f t="shared" si="4"/>
        <v>0.25</v>
      </c>
      <c r="R71" s="10">
        <f t="shared" si="5"/>
        <v>-0.69314718055994529</v>
      </c>
      <c r="S71" s="5"/>
      <c r="T71" s="5"/>
    </row>
    <row r="72" spans="1:20" ht="45.75" customHeight="1" x14ac:dyDescent="0.3">
      <c r="A72" s="6">
        <v>500000</v>
      </c>
      <c r="B72" s="7">
        <f t="shared" si="0"/>
        <v>250000000000</v>
      </c>
      <c r="C72" s="8">
        <f t="shared" si="1"/>
        <v>13.122363377404328</v>
      </c>
      <c r="D72" s="9">
        <f t="shared" si="2"/>
        <v>500</v>
      </c>
      <c r="E72" s="9">
        <v>1</v>
      </c>
      <c r="F72" s="9">
        <v>0</v>
      </c>
      <c r="G72" s="9">
        <v>0</v>
      </c>
      <c r="H72" s="9">
        <v>1</v>
      </c>
      <c r="I72" s="9">
        <v>1</v>
      </c>
      <c r="J72" s="9">
        <v>1</v>
      </c>
      <c r="K72" s="9">
        <v>25</v>
      </c>
      <c r="L72" s="9">
        <f t="shared" si="3"/>
        <v>625</v>
      </c>
      <c r="M72" s="9">
        <v>0</v>
      </c>
      <c r="N72" s="9">
        <v>0</v>
      </c>
      <c r="O72" s="9">
        <v>0</v>
      </c>
      <c r="P72" s="9">
        <v>1.5</v>
      </c>
      <c r="Q72" s="9">
        <f t="shared" si="4"/>
        <v>2.25</v>
      </c>
      <c r="R72" s="10">
        <f t="shared" si="5"/>
        <v>0.40546510810816438</v>
      </c>
      <c r="S72" s="5"/>
      <c r="T72" s="5"/>
    </row>
    <row r="73" spans="1:20" ht="45.75" customHeight="1" x14ac:dyDescent="0.3">
      <c r="A73" s="6">
        <v>1500000</v>
      </c>
      <c r="B73" s="7">
        <f t="shared" si="0"/>
        <v>2250000000000</v>
      </c>
      <c r="C73" s="8">
        <f t="shared" si="1"/>
        <v>14.220975666072439</v>
      </c>
      <c r="D73" s="9">
        <f t="shared" si="2"/>
        <v>1500</v>
      </c>
      <c r="E73" s="9">
        <v>0</v>
      </c>
      <c r="F73" s="9">
        <v>0</v>
      </c>
      <c r="G73" s="9">
        <v>1</v>
      </c>
      <c r="H73" s="9">
        <v>0</v>
      </c>
      <c r="I73" s="9">
        <v>0</v>
      </c>
      <c r="J73" s="9">
        <v>0</v>
      </c>
      <c r="K73" s="9">
        <v>29</v>
      </c>
      <c r="L73" s="9">
        <f t="shared" si="3"/>
        <v>841</v>
      </c>
      <c r="M73" s="9">
        <v>1</v>
      </c>
      <c r="N73" s="9">
        <v>1</v>
      </c>
      <c r="O73" s="9">
        <v>1</v>
      </c>
      <c r="P73" s="9">
        <v>12</v>
      </c>
      <c r="Q73" s="9">
        <f t="shared" si="4"/>
        <v>144</v>
      </c>
      <c r="R73" s="10">
        <f t="shared" si="5"/>
        <v>2.4849066497880004</v>
      </c>
      <c r="S73" s="5"/>
      <c r="T73" s="5"/>
    </row>
    <row r="74" spans="1:20" ht="45.75" customHeight="1" x14ac:dyDescent="0.3">
      <c r="A74" s="6">
        <v>1500000</v>
      </c>
      <c r="B74" s="7">
        <f t="shared" si="0"/>
        <v>2250000000000</v>
      </c>
      <c r="C74" s="8">
        <f t="shared" si="1"/>
        <v>14.220975666072439</v>
      </c>
      <c r="D74" s="9">
        <f t="shared" si="2"/>
        <v>1500</v>
      </c>
      <c r="E74" s="9">
        <v>1</v>
      </c>
      <c r="F74" s="9">
        <v>0</v>
      </c>
      <c r="G74" s="9">
        <v>1</v>
      </c>
      <c r="H74" s="9">
        <v>0</v>
      </c>
      <c r="I74" s="9">
        <v>1</v>
      </c>
      <c r="J74" s="9">
        <v>0</v>
      </c>
      <c r="K74" s="9">
        <v>17</v>
      </c>
      <c r="L74" s="9">
        <f t="shared" si="3"/>
        <v>289</v>
      </c>
      <c r="M74" s="9">
        <v>0</v>
      </c>
      <c r="N74" s="9">
        <v>0</v>
      </c>
      <c r="O74" s="9">
        <v>0</v>
      </c>
      <c r="P74" s="9">
        <v>4</v>
      </c>
      <c r="Q74" s="9">
        <f t="shared" si="4"/>
        <v>16</v>
      </c>
      <c r="R74" s="10">
        <f t="shared" si="5"/>
        <v>1.3862943611198906</v>
      </c>
      <c r="S74" s="5"/>
      <c r="T74" s="5"/>
    </row>
    <row r="75" spans="1:20" ht="45.75" customHeight="1" x14ac:dyDescent="0.3">
      <c r="A75" s="6">
        <v>1500000</v>
      </c>
      <c r="B75" s="7">
        <f t="shared" si="0"/>
        <v>2250000000000</v>
      </c>
      <c r="C75" s="8">
        <f t="shared" si="1"/>
        <v>14.220975666072439</v>
      </c>
      <c r="D75" s="9">
        <f t="shared" si="2"/>
        <v>1500</v>
      </c>
      <c r="E75" s="9">
        <v>1</v>
      </c>
      <c r="F75" s="9">
        <v>0</v>
      </c>
      <c r="G75" s="9">
        <v>1</v>
      </c>
      <c r="H75" s="9">
        <v>0</v>
      </c>
      <c r="I75" s="9">
        <v>1</v>
      </c>
      <c r="J75" s="9">
        <v>0</v>
      </c>
      <c r="K75" s="9">
        <v>27</v>
      </c>
      <c r="L75" s="9">
        <f t="shared" si="3"/>
        <v>729</v>
      </c>
      <c r="M75" s="9">
        <v>1</v>
      </c>
      <c r="N75" s="9">
        <v>0</v>
      </c>
      <c r="O75" s="9">
        <v>0</v>
      </c>
      <c r="P75" s="9">
        <v>6</v>
      </c>
      <c r="Q75" s="9">
        <f t="shared" si="4"/>
        <v>36</v>
      </c>
      <c r="R75" s="10">
        <f t="shared" si="5"/>
        <v>1.791759469228055</v>
      </c>
      <c r="S75" s="5"/>
      <c r="T75" s="5"/>
    </row>
    <row r="76" spans="1:20" ht="45.75" customHeight="1" x14ac:dyDescent="0.3">
      <c r="A76" s="6">
        <v>1800000</v>
      </c>
      <c r="B76" s="7">
        <f t="shared" si="0"/>
        <v>3240000000000</v>
      </c>
      <c r="C76" s="8">
        <f t="shared" si="1"/>
        <v>14.403297222866392</v>
      </c>
      <c r="D76" s="9">
        <f t="shared" si="2"/>
        <v>1800</v>
      </c>
      <c r="E76" s="9">
        <v>1</v>
      </c>
      <c r="F76" s="9">
        <v>0</v>
      </c>
      <c r="G76" s="9">
        <v>1</v>
      </c>
      <c r="H76" s="9">
        <v>0</v>
      </c>
      <c r="I76" s="9">
        <v>1</v>
      </c>
      <c r="J76" s="9">
        <v>1</v>
      </c>
      <c r="K76" s="9">
        <v>40</v>
      </c>
      <c r="L76" s="9">
        <f t="shared" si="3"/>
        <v>1600</v>
      </c>
      <c r="M76" s="9">
        <v>1</v>
      </c>
      <c r="N76" s="9">
        <v>1</v>
      </c>
      <c r="O76" s="9">
        <v>1</v>
      </c>
      <c r="P76" s="9">
        <v>5</v>
      </c>
      <c r="Q76" s="9">
        <f t="shared" si="4"/>
        <v>25</v>
      </c>
      <c r="R76" s="10">
        <f t="shared" si="5"/>
        <v>1.6094379124341003</v>
      </c>
      <c r="S76" s="5"/>
      <c r="T76" s="5"/>
    </row>
    <row r="77" spans="1:20" ht="45.75" customHeight="1" x14ac:dyDescent="0.3">
      <c r="A77" s="6">
        <v>800000</v>
      </c>
      <c r="B77" s="7">
        <f t="shared" si="0"/>
        <v>640000000000</v>
      </c>
      <c r="C77" s="8">
        <f t="shared" si="1"/>
        <v>13.592367006650065</v>
      </c>
      <c r="D77" s="9">
        <f t="shared" si="2"/>
        <v>800</v>
      </c>
      <c r="E77" s="9">
        <v>1</v>
      </c>
      <c r="F77" s="9">
        <v>0</v>
      </c>
      <c r="G77" s="9">
        <v>1</v>
      </c>
      <c r="H77" s="9">
        <v>0</v>
      </c>
      <c r="I77" s="9">
        <v>0</v>
      </c>
      <c r="J77" s="9">
        <v>0</v>
      </c>
      <c r="K77" s="9">
        <v>18</v>
      </c>
      <c r="L77" s="9">
        <f t="shared" si="3"/>
        <v>324</v>
      </c>
      <c r="M77" s="9">
        <v>0</v>
      </c>
      <c r="N77" s="9">
        <v>0</v>
      </c>
      <c r="O77" s="9">
        <v>0</v>
      </c>
      <c r="P77" s="9">
        <v>0.66666666666666663</v>
      </c>
      <c r="Q77" s="9">
        <f t="shared" si="4"/>
        <v>0.44444444444444442</v>
      </c>
      <c r="R77" s="10">
        <f t="shared" si="5"/>
        <v>-0.40546510810816444</v>
      </c>
      <c r="S77" s="5"/>
      <c r="T77" s="5"/>
    </row>
    <row r="78" spans="1:20" ht="45.75" customHeight="1" x14ac:dyDescent="0.3">
      <c r="A78" s="6">
        <v>1100000</v>
      </c>
      <c r="B78" s="7">
        <f t="shared" si="0"/>
        <v>1210000000000</v>
      </c>
      <c r="C78" s="8">
        <f t="shared" si="1"/>
        <v>13.910820737768599</v>
      </c>
      <c r="D78" s="9">
        <f t="shared" si="2"/>
        <v>1100</v>
      </c>
      <c r="E78" s="9">
        <v>0</v>
      </c>
      <c r="F78" s="9">
        <v>0</v>
      </c>
      <c r="G78" s="9">
        <v>1</v>
      </c>
      <c r="H78" s="9">
        <v>0</v>
      </c>
      <c r="I78" s="9">
        <v>0</v>
      </c>
      <c r="J78" s="9">
        <v>1</v>
      </c>
      <c r="K78" s="9">
        <v>24</v>
      </c>
      <c r="L78" s="9">
        <f t="shared" si="3"/>
        <v>576</v>
      </c>
      <c r="M78" s="9">
        <v>0</v>
      </c>
      <c r="N78" s="9">
        <v>0</v>
      </c>
      <c r="O78" s="9">
        <v>0</v>
      </c>
      <c r="P78" s="9">
        <v>6</v>
      </c>
      <c r="Q78" s="9">
        <f t="shared" si="4"/>
        <v>36</v>
      </c>
      <c r="R78" s="10">
        <f t="shared" si="5"/>
        <v>1.791759469228055</v>
      </c>
      <c r="S78" s="5"/>
      <c r="T78" s="5"/>
    </row>
    <row r="79" spans="1:20" ht="45.75" customHeight="1" x14ac:dyDescent="0.3">
      <c r="A79" s="6">
        <v>980000</v>
      </c>
      <c r="B79" s="7">
        <f t="shared" si="0"/>
        <v>960400000000</v>
      </c>
      <c r="C79" s="8">
        <f t="shared" si="1"/>
        <v>13.795307850646754</v>
      </c>
      <c r="D79" s="9">
        <f t="shared" si="2"/>
        <v>980</v>
      </c>
      <c r="E79" s="9">
        <v>1</v>
      </c>
      <c r="F79" s="9">
        <v>0</v>
      </c>
      <c r="G79" s="9">
        <v>1</v>
      </c>
      <c r="H79" s="9">
        <v>0</v>
      </c>
      <c r="I79" s="9">
        <v>0</v>
      </c>
      <c r="J79" s="9">
        <v>0</v>
      </c>
      <c r="K79" s="9">
        <v>32</v>
      </c>
      <c r="L79" s="9">
        <f t="shared" si="3"/>
        <v>1024</v>
      </c>
      <c r="M79" s="9">
        <v>0</v>
      </c>
      <c r="N79" s="9">
        <v>0</v>
      </c>
      <c r="O79" s="9">
        <v>0</v>
      </c>
      <c r="P79" s="9">
        <v>1.3</v>
      </c>
      <c r="Q79" s="9">
        <f t="shared" si="4"/>
        <v>1.6900000000000002</v>
      </c>
      <c r="R79" s="10">
        <f t="shared" si="5"/>
        <v>0.26236426446749106</v>
      </c>
      <c r="S79" s="5"/>
      <c r="T79" s="5"/>
    </row>
    <row r="80" spans="1:20" ht="45.75" customHeight="1" x14ac:dyDescent="0.3">
      <c r="A80" s="6">
        <v>5000000</v>
      </c>
      <c r="B80" s="7">
        <f t="shared" si="0"/>
        <v>25000000000000</v>
      </c>
      <c r="C80" s="8">
        <f t="shared" si="1"/>
        <v>15.424948470398375</v>
      </c>
      <c r="D80" s="9">
        <f t="shared" si="2"/>
        <v>5000</v>
      </c>
      <c r="E80" s="9">
        <v>1</v>
      </c>
      <c r="F80" s="9">
        <v>0</v>
      </c>
      <c r="G80" s="9">
        <v>0</v>
      </c>
      <c r="H80" s="9">
        <v>1</v>
      </c>
      <c r="I80" s="9">
        <v>1</v>
      </c>
      <c r="J80" s="9">
        <v>1</v>
      </c>
      <c r="K80" s="9">
        <v>42</v>
      </c>
      <c r="L80" s="9">
        <f t="shared" si="3"/>
        <v>1764</v>
      </c>
      <c r="M80" s="9">
        <v>1</v>
      </c>
      <c r="N80" s="9">
        <v>2</v>
      </c>
      <c r="O80" s="9">
        <v>1</v>
      </c>
      <c r="P80" s="9">
        <v>15</v>
      </c>
      <c r="Q80" s="9">
        <f t="shared" si="4"/>
        <v>225</v>
      </c>
      <c r="R80" s="10">
        <f t="shared" si="5"/>
        <v>2.7080502011022101</v>
      </c>
      <c r="S80" s="5"/>
      <c r="T80" s="5"/>
    </row>
    <row r="81" spans="1:20" ht="45.75" customHeight="1" x14ac:dyDescent="0.3">
      <c r="A81" s="6">
        <v>600000</v>
      </c>
      <c r="B81" s="7">
        <f t="shared" si="0"/>
        <v>360000000000</v>
      </c>
      <c r="C81" s="8">
        <f t="shared" si="1"/>
        <v>13.304684934198283</v>
      </c>
      <c r="D81" s="9">
        <f t="shared" si="2"/>
        <v>600</v>
      </c>
      <c r="E81" s="9">
        <v>1</v>
      </c>
      <c r="F81" s="9">
        <v>1</v>
      </c>
      <c r="G81" s="9">
        <v>0</v>
      </c>
      <c r="H81" s="9">
        <v>0</v>
      </c>
      <c r="I81" s="9">
        <v>0</v>
      </c>
      <c r="J81" s="9">
        <v>0</v>
      </c>
      <c r="K81" s="9">
        <v>20</v>
      </c>
      <c r="L81" s="9">
        <f t="shared" si="3"/>
        <v>400</v>
      </c>
      <c r="M81" s="9">
        <v>0</v>
      </c>
      <c r="N81" s="9">
        <v>0</v>
      </c>
      <c r="O81" s="9">
        <v>0</v>
      </c>
      <c r="P81" s="9">
        <v>8.3333333333333301E-2</v>
      </c>
      <c r="Q81" s="9">
        <f t="shared" si="4"/>
        <v>6.9444444444444389E-3</v>
      </c>
      <c r="R81" s="10">
        <f t="shared" si="5"/>
        <v>-2.4849066497880008</v>
      </c>
      <c r="S81" s="5"/>
      <c r="T81" s="5"/>
    </row>
    <row r="82" spans="1:20" ht="45.75" customHeight="1" x14ac:dyDescent="0.3">
      <c r="A82" s="6">
        <v>1500000</v>
      </c>
      <c r="B82" s="7">
        <f t="shared" si="0"/>
        <v>2250000000000</v>
      </c>
      <c r="C82" s="8">
        <f t="shared" si="1"/>
        <v>14.220975666072439</v>
      </c>
      <c r="D82" s="9">
        <f t="shared" si="2"/>
        <v>1500</v>
      </c>
      <c r="E82" s="9">
        <v>0</v>
      </c>
      <c r="F82" s="9">
        <v>0</v>
      </c>
      <c r="G82" s="9">
        <v>0</v>
      </c>
      <c r="H82" s="9">
        <v>1</v>
      </c>
      <c r="I82" s="9">
        <v>0</v>
      </c>
      <c r="J82" s="9">
        <v>0</v>
      </c>
      <c r="K82" s="9">
        <v>23</v>
      </c>
      <c r="L82" s="9">
        <f t="shared" si="3"/>
        <v>529</v>
      </c>
      <c r="M82" s="9">
        <v>0</v>
      </c>
      <c r="N82" s="9">
        <v>0</v>
      </c>
      <c r="O82" s="9">
        <v>0</v>
      </c>
      <c r="P82" s="9">
        <v>1</v>
      </c>
      <c r="Q82" s="9">
        <f t="shared" si="4"/>
        <v>1</v>
      </c>
      <c r="R82" s="10">
        <f t="shared" si="5"/>
        <v>0</v>
      </c>
      <c r="S82" s="5"/>
      <c r="T82" s="5"/>
    </row>
    <row r="83" spans="1:20" ht="45.75" customHeight="1" x14ac:dyDescent="0.3">
      <c r="A83" s="6">
        <v>3000000</v>
      </c>
      <c r="B83" s="7">
        <f t="shared" si="0"/>
        <v>9000000000000</v>
      </c>
      <c r="C83" s="8">
        <f t="shared" si="1"/>
        <v>14.914122846632385</v>
      </c>
      <c r="D83" s="9">
        <f t="shared" si="2"/>
        <v>3000</v>
      </c>
      <c r="E83" s="9">
        <v>0</v>
      </c>
      <c r="F83" s="9">
        <v>0</v>
      </c>
      <c r="G83" s="9">
        <v>0</v>
      </c>
      <c r="H83" s="9">
        <v>1</v>
      </c>
      <c r="I83" s="9">
        <v>0</v>
      </c>
      <c r="J83" s="9">
        <v>0</v>
      </c>
      <c r="K83" s="9">
        <v>39</v>
      </c>
      <c r="L83" s="9">
        <f t="shared" si="3"/>
        <v>1521</v>
      </c>
      <c r="M83" s="9">
        <v>1</v>
      </c>
      <c r="N83" s="9">
        <v>1</v>
      </c>
      <c r="O83" s="9">
        <v>1</v>
      </c>
      <c r="P83" s="9">
        <v>30</v>
      </c>
      <c r="Q83" s="9">
        <f t="shared" si="4"/>
        <v>900</v>
      </c>
      <c r="R83" s="10">
        <f t="shared" si="5"/>
        <v>3.4011973816621555</v>
      </c>
      <c r="S83" s="5"/>
      <c r="T83" s="5"/>
    </row>
    <row r="84" spans="1:20" ht="45.75" customHeight="1" x14ac:dyDescent="0.3">
      <c r="A84" s="6">
        <v>908000</v>
      </c>
      <c r="B84" s="7">
        <f t="shared" si="0"/>
        <v>824464000000</v>
      </c>
      <c r="C84" s="8">
        <f t="shared" si="1"/>
        <v>13.71899965758343</v>
      </c>
      <c r="D84" s="9">
        <f t="shared" si="2"/>
        <v>908</v>
      </c>
      <c r="E84" s="9">
        <v>1</v>
      </c>
      <c r="F84" s="9">
        <v>0</v>
      </c>
      <c r="G84" s="9">
        <v>1</v>
      </c>
      <c r="H84" s="9">
        <v>0</v>
      </c>
      <c r="I84" s="9">
        <v>0</v>
      </c>
      <c r="J84" s="9">
        <v>1</v>
      </c>
      <c r="K84" s="9">
        <v>53</v>
      </c>
      <c r="L84" s="9">
        <f t="shared" si="3"/>
        <v>2809</v>
      </c>
      <c r="M84" s="9">
        <v>1</v>
      </c>
      <c r="N84" s="9">
        <v>2</v>
      </c>
      <c r="O84" s="9">
        <v>1</v>
      </c>
      <c r="P84" s="9">
        <v>15</v>
      </c>
      <c r="Q84" s="9">
        <f t="shared" si="4"/>
        <v>225</v>
      </c>
      <c r="R84" s="10">
        <f t="shared" si="5"/>
        <v>2.7080502011022101</v>
      </c>
      <c r="S84" s="5"/>
      <c r="T84" s="5"/>
    </row>
    <row r="85" spans="1:20" ht="45.75" customHeight="1" x14ac:dyDescent="0.3">
      <c r="A85" s="6">
        <v>930000</v>
      </c>
      <c r="B85" s="7">
        <f t="shared" si="0"/>
        <v>864900000000</v>
      </c>
      <c r="C85" s="8">
        <f t="shared" si="1"/>
        <v>13.742939865129438</v>
      </c>
      <c r="D85" s="9">
        <f t="shared" si="2"/>
        <v>930</v>
      </c>
      <c r="E85" s="9">
        <v>1</v>
      </c>
      <c r="F85" s="9">
        <v>1</v>
      </c>
      <c r="G85" s="9">
        <v>0</v>
      </c>
      <c r="H85" s="9">
        <v>0</v>
      </c>
      <c r="I85" s="9">
        <v>0</v>
      </c>
      <c r="J85" s="9">
        <v>0</v>
      </c>
      <c r="K85" s="9">
        <v>30</v>
      </c>
      <c r="L85" s="9">
        <f t="shared" si="3"/>
        <v>900</v>
      </c>
      <c r="M85" s="9">
        <v>0</v>
      </c>
      <c r="N85" s="9">
        <v>1</v>
      </c>
      <c r="O85" s="9">
        <v>1</v>
      </c>
      <c r="P85" s="9">
        <v>4</v>
      </c>
      <c r="Q85" s="9">
        <f t="shared" si="4"/>
        <v>16</v>
      </c>
      <c r="R85" s="10">
        <f t="shared" si="5"/>
        <v>1.3862943611198906</v>
      </c>
      <c r="S85" s="5"/>
      <c r="T85" s="5"/>
    </row>
    <row r="86" spans="1:20" ht="45.75" customHeight="1" x14ac:dyDescent="0.3">
      <c r="A86" s="6">
        <v>1200000</v>
      </c>
      <c r="B86" s="7">
        <f t="shared" si="0"/>
        <v>1440000000000</v>
      </c>
      <c r="C86" s="8">
        <f t="shared" si="1"/>
        <v>13.997832114758229</v>
      </c>
      <c r="D86" s="9">
        <f t="shared" si="2"/>
        <v>1200</v>
      </c>
      <c r="E86" s="9">
        <v>1</v>
      </c>
      <c r="F86" s="9">
        <v>0</v>
      </c>
      <c r="G86" s="9">
        <v>0</v>
      </c>
      <c r="H86" s="9">
        <v>1</v>
      </c>
      <c r="I86" s="9">
        <v>0</v>
      </c>
      <c r="J86" s="9">
        <v>1</v>
      </c>
      <c r="K86" s="9">
        <v>26</v>
      </c>
      <c r="L86" s="9">
        <f t="shared" si="3"/>
        <v>676</v>
      </c>
      <c r="M86" s="9">
        <v>0</v>
      </c>
      <c r="N86" s="9">
        <v>0</v>
      </c>
      <c r="O86" s="9">
        <v>0</v>
      </c>
      <c r="P86" s="9">
        <v>4</v>
      </c>
      <c r="Q86" s="9">
        <f t="shared" si="4"/>
        <v>16</v>
      </c>
      <c r="R86" s="10">
        <f t="shared" si="5"/>
        <v>1.3862943611198906</v>
      </c>
      <c r="S86" s="5"/>
      <c r="T86" s="5"/>
    </row>
    <row r="87" spans="1:20" ht="45.75" customHeight="1" x14ac:dyDescent="0.3">
      <c r="A87" s="6">
        <v>908000</v>
      </c>
      <c r="B87" s="7">
        <f t="shared" si="0"/>
        <v>824464000000</v>
      </c>
      <c r="C87" s="8">
        <f t="shared" si="1"/>
        <v>13.71899965758343</v>
      </c>
      <c r="D87" s="9">
        <f t="shared" si="2"/>
        <v>908</v>
      </c>
      <c r="E87" s="9">
        <v>1</v>
      </c>
      <c r="F87" s="9">
        <v>1</v>
      </c>
      <c r="G87" s="9">
        <v>0</v>
      </c>
      <c r="H87" s="9">
        <v>0</v>
      </c>
      <c r="I87" s="9">
        <v>0</v>
      </c>
      <c r="J87" s="9">
        <v>1</v>
      </c>
      <c r="K87" s="9">
        <v>28</v>
      </c>
      <c r="L87" s="9">
        <f t="shared" si="3"/>
        <v>784</v>
      </c>
      <c r="M87" s="9">
        <v>0</v>
      </c>
      <c r="N87" s="9">
        <v>0</v>
      </c>
      <c r="O87" s="9">
        <v>0</v>
      </c>
      <c r="P87" s="9">
        <v>1</v>
      </c>
      <c r="Q87" s="9">
        <f t="shared" si="4"/>
        <v>1</v>
      </c>
      <c r="R87" s="10">
        <f t="shared" si="5"/>
        <v>0</v>
      </c>
      <c r="S87" s="5"/>
      <c r="T87" s="5"/>
    </row>
    <row r="88" spans="1:20" ht="45.75" customHeight="1" x14ac:dyDescent="0.3">
      <c r="A88" s="6">
        <v>908000</v>
      </c>
      <c r="B88" s="7">
        <f t="shared" si="0"/>
        <v>824464000000</v>
      </c>
      <c r="C88" s="8">
        <f t="shared" si="1"/>
        <v>13.71899965758343</v>
      </c>
      <c r="D88" s="9">
        <f t="shared" si="2"/>
        <v>908</v>
      </c>
      <c r="E88" s="9">
        <v>1</v>
      </c>
      <c r="F88" s="9">
        <v>0</v>
      </c>
      <c r="G88" s="9">
        <v>1</v>
      </c>
      <c r="H88" s="9">
        <v>0</v>
      </c>
      <c r="I88" s="9">
        <v>0</v>
      </c>
      <c r="J88" s="9">
        <v>0</v>
      </c>
      <c r="K88" s="9">
        <v>34</v>
      </c>
      <c r="L88" s="9">
        <f t="shared" si="3"/>
        <v>1156</v>
      </c>
      <c r="M88" s="9">
        <v>1</v>
      </c>
      <c r="N88" s="9">
        <v>0</v>
      </c>
      <c r="O88" s="9">
        <v>0</v>
      </c>
      <c r="P88" s="9">
        <v>7</v>
      </c>
      <c r="Q88" s="9">
        <f t="shared" si="4"/>
        <v>49</v>
      </c>
      <c r="R88" s="10">
        <f t="shared" si="5"/>
        <v>1.9459101490553132</v>
      </c>
      <c r="S88" s="5"/>
      <c r="T88" s="5"/>
    </row>
    <row r="89" spans="1:20" ht="45.75" customHeight="1" x14ac:dyDescent="0.3">
      <c r="A89" s="6">
        <v>1800000</v>
      </c>
      <c r="B89" s="7">
        <f t="shared" si="0"/>
        <v>3240000000000</v>
      </c>
      <c r="C89" s="8">
        <f t="shared" si="1"/>
        <v>14.403297222866392</v>
      </c>
      <c r="D89" s="9">
        <f t="shared" si="2"/>
        <v>1800</v>
      </c>
      <c r="E89" s="9">
        <v>0</v>
      </c>
      <c r="F89" s="9">
        <v>0</v>
      </c>
      <c r="G89" s="9">
        <v>0</v>
      </c>
      <c r="H89" s="9">
        <v>1</v>
      </c>
      <c r="I89" s="9">
        <v>0</v>
      </c>
      <c r="J89" s="9">
        <v>0</v>
      </c>
      <c r="K89" s="9">
        <v>26</v>
      </c>
      <c r="L89" s="9">
        <f t="shared" si="3"/>
        <v>676</v>
      </c>
      <c r="M89" s="9">
        <v>0</v>
      </c>
      <c r="N89" s="9">
        <v>1</v>
      </c>
      <c r="O89" s="9">
        <v>1</v>
      </c>
      <c r="P89" s="9">
        <v>0.5</v>
      </c>
      <c r="Q89" s="9">
        <f t="shared" si="4"/>
        <v>0.25</v>
      </c>
      <c r="R89" s="10">
        <f t="shared" si="5"/>
        <v>-0.69314718055994529</v>
      </c>
      <c r="S89" s="5"/>
      <c r="T89" s="5"/>
    </row>
    <row r="90" spans="1:20" ht="45.75" customHeight="1" x14ac:dyDescent="0.3">
      <c r="A90" s="6">
        <v>1000000</v>
      </c>
      <c r="B90" s="7">
        <f t="shared" si="0"/>
        <v>1000000000000</v>
      </c>
      <c r="C90" s="8">
        <f t="shared" si="1"/>
        <v>13.815510557964274</v>
      </c>
      <c r="D90" s="9">
        <f t="shared" si="2"/>
        <v>1000</v>
      </c>
      <c r="E90" s="9">
        <v>1</v>
      </c>
      <c r="F90" s="9">
        <v>0</v>
      </c>
      <c r="G90" s="9">
        <v>0</v>
      </c>
      <c r="H90" s="9">
        <v>1</v>
      </c>
      <c r="I90" s="9">
        <v>0</v>
      </c>
      <c r="J90" s="9">
        <v>0</v>
      </c>
      <c r="K90" s="9">
        <v>27</v>
      </c>
      <c r="L90" s="9">
        <f t="shared" si="3"/>
        <v>729</v>
      </c>
      <c r="M90" s="9">
        <v>0</v>
      </c>
      <c r="N90" s="9">
        <v>0</v>
      </c>
      <c r="O90" s="9">
        <v>0</v>
      </c>
      <c r="P90" s="9">
        <v>6</v>
      </c>
      <c r="Q90" s="9">
        <f t="shared" si="4"/>
        <v>36</v>
      </c>
      <c r="R90" s="10">
        <f t="shared" si="5"/>
        <v>1.791759469228055</v>
      </c>
      <c r="S90" s="5"/>
      <c r="T90" s="5"/>
    </row>
    <row r="91" spans="1:20" ht="45.75" customHeight="1" x14ac:dyDescent="0.3">
      <c r="A91" s="6">
        <v>1000000</v>
      </c>
      <c r="B91" s="7">
        <f t="shared" si="0"/>
        <v>1000000000000</v>
      </c>
      <c r="C91" s="8">
        <f t="shared" si="1"/>
        <v>13.815510557964274</v>
      </c>
      <c r="D91" s="9">
        <f t="shared" si="2"/>
        <v>1000</v>
      </c>
      <c r="E91" s="9">
        <v>1</v>
      </c>
      <c r="F91" s="9">
        <v>0</v>
      </c>
      <c r="G91" s="9">
        <v>1</v>
      </c>
      <c r="H91" s="9">
        <v>0</v>
      </c>
      <c r="I91" s="9">
        <v>0</v>
      </c>
      <c r="J91" s="9">
        <v>0</v>
      </c>
      <c r="K91" s="9">
        <v>23</v>
      </c>
      <c r="L91" s="9">
        <f t="shared" si="3"/>
        <v>529</v>
      </c>
      <c r="M91" s="9">
        <v>0</v>
      </c>
      <c r="N91" s="9">
        <v>0</v>
      </c>
      <c r="O91" s="9">
        <v>0</v>
      </c>
      <c r="P91" s="9">
        <v>2</v>
      </c>
      <c r="Q91" s="9">
        <f t="shared" si="4"/>
        <v>4</v>
      </c>
      <c r="R91" s="10">
        <f t="shared" si="5"/>
        <v>0.69314718055994529</v>
      </c>
      <c r="S91" s="5"/>
      <c r="T91" s="5"/>
    </row>
    <row r="92" spans="1:20" ht="45.75" customHeight="1" x14ac:dyDescent="0.3">
      <c r="A92" s="6">
        <v>2600000</v>
      </c>
      <c r="B92" s="7">
        <f t="shared" si="0"/>
        <v>6760000000000</v>
      </c>
      <c r="C92" s="8">
        <f t="shared" si="1"/>
        <v>14.77102200299171</v>
      </c>
      <c r="D92" s="9">
        <f t="shared" si="2"/>
        <v>2600</v>
      </c>
      <c r="E92" s="9">
        <v>1</v>
      </c>
      <c r="F92" s="9">
        <v>1</v>
      </c>
      <c r="G92" s="9">
        <v>0</v>
      </c>
      <c r="H92" s="9">
        <v>0</v>
      </c>
      <c r="I92" s="9">
        <v>1</v>
      </c>
      <c r="J92" s="9">
        <v>1</v>
      </c>
      <c r="K92" s="9">
        <v>58</v>
      </c>
      <c r="L92" s="9">
        <f t="shared" si="3"/>
        <v>3364</v>
      </c>
      <c r="M92" s="9">
        <v>1</v>
      </c>
      <c r="N92" s="9">
        <v>3</v>
      </c>
      <c r="O92" s="9">
        <v>1</v>
      </c>
      <c r="P92" s="9">
        <v>34</v>
      </c>
      <c r="Q92" s="9">
        <f t="shared" si="4"/>
        <v>1156</v>
      </c>
      <c r="R92" s="10">
        <f t="shared" si="5"/>
        <v>3.5263605246161616</v>
      </c>
      <c r="S92" s="5"/>
      <c r="T92" s="5"/>
    </row>
    <row r="93" spans="1:20" ht="45.75" customHeight="1" x14ac:dyDescent="0.3">
      <c r="A93" s="6">
        <v>6000000</v>
      </c>
      <c r="B93" s="7">
        <f t="shared" si="0"/>
        <v>36000000000000</v>
      </c>
      <c r="C93" s="8">
        <f t="shared" si="1"/>
        <v>15.60727002719233</v>
      </c>
      <c r="D93" s="9">
        <f t="shared" si="2"/>
        <v>6000</v>
      </c>
      <c r="E93" s="9">
        <v>1</v>
      </c>
      <c r="F93" s="9">
        <v>0</v>
      </c>
      <c r="G93" s="9">
        <v>0</v>
      </c>
      <c r="H93" s="9">
        <v>1</v>
      </c>
      <c r="I93" s="9">
        <v>1</v>
      </c>
      <c r="J93" s="9">
        <v>1</v>
      </c>
      <c r="K93" s="9">
        <v>53</v>
      </c>
      <c r="L93" s="9">
        <f t="shared" si="3"/>
        <v>2809</v>
      </c>
      <c r="M93" s="9">
        <v>1</v>
      </c>
      <c r="N93" s="9">
        <v>2</v>
      </c>
      <c r="O93" s="9">
        <v>1</v>
      </c>
      <c r="P93" s="9">
        <v>14</v>
      </c>
      <c r="Q93" s="9">
        <f t="shared" si="4"/>
        <v>196</v>
      </c>
      <c r="R93" s="10">
        <f t="shared" si="5"/>
        <v>2.6390573296152584</v>
      </c>
      <c r="S93" s="5"/>
      <c r="T93" s="5"/>
    </row>
    <row r="94" spans="1:20" ht="45.75" customHeight="1" x14ac:dyDescent="0.3">
      <c r="A94" s="6">
        <v>3000000</v>
      </c>
      <c r="B94" s="7">
        <f t="shared" si="0"/>
        <v>9000000000000</v>
      </c>
      <c r="C94" s="8">
        <f t="shared" si="1"/>
        <v>14.914122846632385</v>
      </c>
      <c r="D94" s="9">
        <f t="shared" si="2"/>
        <v>3000</v>
      </c>
      <c r="E94" s="9">
        <v>1</v>
      </c>
      <c r="F94" s="9">
        <v>0</v>
      </c>
      <c r="G94" s="9">
        <v>0</v>
      </c>
      <c r="H94" s="9">
        <v>1</v>
      </c>
      <c r="I94" s="9">
        <v>0</v>
      </c>
      <c r="J94" s="9">
        <v>1</v>
      </c>
      <c r="K94" s="9">
        <v>30</v>
      </c>
      <c r="L94" s="9">
        <f t="shared" si="3"/>
        <v>900</v>
      </c>
      <c r="M94" s="9">
        <v>0</v>
      </c>
      <c r="N94" s="9">
        <v>1</v>
      </c>
      <c r="O94" s="9">
        <v>1</v>
      </c>
      <c r="P94" s="9">
        <v>6</v>
      </c>
      <c r="Q94" s="9">
        <f t="shared" si="4"/>
        <v>36</v>
      </c>
      <c r="R94" s="10">
        <f t="shared" si="5"/>
        <v>1.791759469228055</v>
      </c>
      <c r="S94" s="5"/>
      <c r="T94" s="5"/>
    </row>
    <row r="95" spans="1:20" ht="45.75" customHeight="1" x14ac:dyDescent="0.3">
      <c r="A95" s="6">
        <v>600000</v>
      </c>
      <c r="B95" s="7">
        <f t="shared" si="0"/>
        <v>360000000000</v>
      </c>
      <c r="C95" s="8">
        <f t="shared" si="1"/>
        <v>13.304684934198283</v>
      </c>
      <c r="D95" s="9">
        <f t="shared" si="2"/>
        <v>600</v>
      </c>
      <c r="E95" s="9">
        <v>1</v>
      </c>
      <c r="F95" s="9">
        <v>0</v>
      </c>
      <c r="G95" s="9">
        <v>1</v>
      </c>
      <c r="H95" s="9">
        <v>0</v>
      </c>
      <c r="I95" s="9">
        <v>0</v>
      </c>
      <c r="J95" s="9">
        <v>0</v>
      </c>
      <c r="K95" s="9">
        <v>25</v>
      </c>
      <c r="L95" s="9">
        <f t="shared" si="3"/>
        <v>625</v>
      </c>
      <c r="M95" s="9">
        <v>0</v>
      </c>
      <c r="N95" s="9">
        <v>0</v>
      </c>
      <c r="O95" s="9">
        <v>0</v>
      </c>
      <c r="P95" s="9">
        <v>0.75</v>
      </c>
      <c r="Q95" s="9">
        <f t="shared" si="4"/>
        <v>0.5625</v>
      </c>
      <c r="R95" s="10">
        <f t="shared" si="5"/>
        <v>-0.2876820724517809</v>
      </c>
      <c r="S95" s="5"/>
      <c r="T95" s="5"/>
    </row>
    <row r="96" spans="1:20" ht="45.75" customHeight="1" x14ac:dyDescent="0.3">
      <c r="A96" s="6">
        <v>1000000</v>
      </c>
      <c r="B96" s="7">
        <f t="shared" si="0"/>
        <v>1000000000000</v>
      </c>
      <c r="C96" s="8">
        <f t="shared" si="1"/>
        <v>13.815510557964274</v>
      </c>
      <c r="D96" s="9">
        <f t="shared" si="2"/>
        <v>1000</v>
      </c>
      <c r="E96" s="9">
        <v>1</v>
      </c>
      <c r="F96" s="9">
        <v>1</v>
      </c>
      <c r="G96" s="9">
        <v>0</v>
      </c>
      <c r="H96" s="9">
        <v>0</v>
      </c>
      <c r="I96" s="9">
        <v>0</v>
      </c>
      <c r="J96" s="9">
        <v>1</v>
      </c>
      <c r="K96" s="9">
        <v>23</v>
      </c>
      <c r="L96" s="9">
        <f t="shared" si="3"/>
        <v>529</v>
      </c>
      <c r="M96" s="9">
        <v>0</v>
      </c>
      <c r="N96" s="9">
        <v>0</v>
      </c>
      <c r="O96" s="9">
        <v>0</v>
      </c>
      <c r="P96" s="9">
        <v>0.25</v>
      </c>
      <c r="Q96" s="9">
        <f t="shared" si="4"/>
        <v>6.25E-2</v>
      </c>
      <c r="R96" s="10">
        <f t="shared" si="5"/>
        <v>-1.3862943611198906</v>
      </c>
      <c r="S96" s="5"/>
      <c r="T96" s="5"/>
    </row>
    <row r="97" spans="1:20" ht="45.75" customHeight="1" x14ac:dyDescent="0.3">
      <c r="A97" s="6">
        <v>1200000</v>
      </c>
      <c r="B97" s="7">
        <f t="shared" si="0"/>
        <v>1440000000000</v>
      </c>
      <c r="C97" s="8">
        <f t="shared" si="1"/>
        <v>13.997832114758229</v>
      </c>
      <c r="D97" s="9">
        <f t="shared" si="2"/>
        <v>1200</v>
      </c>
      <c r="E97" s="9">
        <v>1</v>
      </c>
      <c r="F97" s="9">
        <v>0</v>
      </c>
      <c r="G97" s="9">
        <v>1</v>
      </c>
      <c r="H97" s="9">
        <v>0</v>
      </c>
      <c r="I97" s="9">
        <v>1</v>
      </c>
      <c r="J97" s="9">
        <v>1</v>
      </c>
      <c r="K97" s="9">
        <v>21</v>
      </c>
      <c r="L97" s="9">
        <f t="shared" si="3"/>
        <v>441</v>
      </c>
      <c r="M97" s="9">
        <v>0</v>
      </c>
      <c r="N97" s="9">
        <v>0</v>
      </c>
      <c r="O97" s="9">
        <v>0</v>
      </c>
      <c r="P97" s="9">
        <v>2</v>
      </c>
      <c r="Q97" s="9">
        <f t="shared" si="4"/>
        <v>4</v>
      </c>
      <c r="R97" s="10">
        <f t="shared" si="5"/>
        <v>0.69314718055994529</v>
      </c>
      <c r="S97" s="5"/>
      <c r="T97" s="5"/>
    </row>
    <row r="98" spans="1:20" ht="45.75" customHeight="1" x14ac:dyDescent="0.3">
      <c r="A98" s="6">
        <v>2500000</v>
      </c>
      <c r="B98" s="7">
        <f t="shared" si="0"/>
        <v>6250000000000</v>
      </c>
      <c r="C98" s="8">
        <f t="shared" si="1"/>
        <v>14.73180128983843</v>
      </c>
      <c r="D98" s="9">
        <f t="shared" si="2"/>
        <v>2500</v>
      </c>
      <c r="E98" s="9">
        <v>0</v>
      </c>
      <c r="F98" s="9">
        <v>1</v>
      </c>
      <c r="G98" s="9">
        <v>0</v>
      </c>
      <c r="H98" s="9">
        <v>0</v>
      </c>
      <c r="I98" s="9">
        <v>0</v>
      </c>
      <c r="J98" s="9">
        <v>0</v>
      </c>
      <c r="K98" s="9">
        <v>25</v>
      </c>
      <c r="L98" s="9">
        <f t="shared" si="3"/>
        <v>625</v>
      </c>
      <c r="M98" s="9">
        <v>1</v>
      </c>
      <c r="N98" s="9">
        <v>3</v>
      </c>
      <c r="O98" s="9">
        <v>1</v>
      </c>
      <c r="P98" s="9">
        <v>3</v>
      </c>
      <c r="Q98" s="9">
        <f t="shared" si="4"/>
        <v>9</v>
      </c>
      <c r="R98" s="10">
        <f t="shared" si="5"/>
        <v>1.0986122886681098</v>
      </c>
      <c r="S98" s="5"/>
      <c r="T98" s="5"/>
    </row>
    <row r="99" spans="1:20" ht="45.75" customHeight="1" x14ac:dyDescent="0.3">
      <c r="A99" s="6">
        <v>1600000</v>
      </c>
      <c r="B99" s="7">
        <f t="shared" si="0"/>
        <v>2560000000000</v>
      </c>
      <c r="C99" s="8">
        <f t="shared" si="1"/>
        <v>14.28551418721001</v>
      </c>
      <c r="D99" s="9">
        <f t="shared" si="2"/>
        <v>1600</v>
      </c>
      <c r="E99" s="9">
        <v>0</v>
      </c>
      <c r="F99" s="9">
        <v>0</v>
      </c>
      <c r="G99" s="9">
        <v>1</v>
      </c>
      <c r="H99" s="9">
        <v>0</v>
      </c>
      <c r="I99" s="9">
        <v>0</v>
      </c>
      <c r="J99" s="9">
        <v>0</v>
      </c>
      <c r="K99" s="9">
        <v>38</v>
      </c>
      <c r="L99" s="9">
        <f t="shared" si="3"/>
        <v>1444</v>
      </c>
      <c r="M99" s="9">
        <v>1</v>
      </c>
      <c r="N99" s="9">
        <v>3</v>
      </c>
      <c r="O99" s="9">
        <v>1</v>
      </c>
      <c r="P99" s="9">
        <v>5</v>
      </c>
      <c r="Q99" s="9">
        <f t="shared" si="4"/>
        <v>25</v>
      </c>
      <c r="R99" s="10">
        <f t="shared" si="5"/>
        <v>1.6094379124341003</v>
      </c>
      <c r="S99" s="5"/>
      <c r="T99" s="5"/>
    </row>
    <row r="100" spans="1:20" ht="45.75" customHeight="1" x14ac:dyDescent="0.3">
      <c r="A100" s="6">
        <v>1400000</v>
      </c>
      <c r="B100" s="7">
        <f t="shared" si="0"/>
        <v>1960000000000</v>
      </c>
      <c r="C100" s="8">
        <f t="shared" si="1"/>
        <v>14.151982794585487</v>
      </c>
      <c r="D100" s="9">
        <f t="shared" si="2"/>
        <v>1400</v>
      </c>
      <c r="E100" s="9">
        <v>1</v>
      </c>
      <c r="F100" s="9">
        <v>1</v>
      </c>
      <c r="G100" s="9">
        <v>0</v>
      </c>
      <c r="H100" s="9">
        <v>0</v>
      </c>
      <c r="I100" s="9">
        <v>1</v>
      </c>
      <c r="J100" s="9">
        <v>0</v>
      </c>
      <c r="K100" s="9">
        <v>25</v>
      </c>
      <c r="L100" s="9">
        <f t="shared" si="3"/>
        <v>625</v>
      </c>
      <c r="M100" s="9">
        <v>1</v>
      </c>
      <c r="N100" s="9">
        <v>0</v>
      </c>
      <c r="O100" s="9">
        <v>0</v>
      </c>
      <c r="P100" s="9">
        <v>4</v>
      </c>
      <c r="Q100" s="9">
        <f t="shared" si="4"/>
        <v>16</v>
      </c>
      <c r="R100" s="10">
        <f t="shared" si="5"/>
        <v>1.3862943611198906</v>
      </c>
      <c r="S100" s="5"/>
      <c r="T100" s="5"/>
    </row>
    <row r="101" spans="1:20" ht="45.75" customHeight="1" x14ac:dyDescent="0.3">
      <c r="A101" s="6">
        <v>1100000</v>
      </c>
      <c r="B101" s="7">
        <f t="shared" si="0"/>
        <v>1210000000000</v>
      </c>
      <c r="C101" s="8">
        <f t="shared" si="1"/>
        <v>13.910820737768599</v>
      </c>
      <c r="D101" s="9">
        <f t="shared" si="2"/>
        <v>1100</v>
      </c>
      <c r="E101" s="9">
        <v>1</v>
      </c>
      <c r="F101" s="9">
        <v>1</v>
      </c>
      <c r="G101" s="9">
        <v>0</v>
      </c>
      <c r="H101" s="9">
        <v>0</v>
      </c>
      <c r="I101" s="9">
        <v>0</v>
      </c>
      <c r="J101" s="9">
        <v>1</v>
      </c>
      <c r="K101" s="9">
        <v>24</v>
      </c>
      <c r="L101" s="9">
        <f t="shared" si="3"/>
        <v>576</v>
      </c>
      <c r="M101" s="9">
        <v>0</v>
      </c>
      <c r="N101" s="9">
        <v>0</v>
      </c>
      <c r="O101" s="9">
        <v>0</v>
      </c>
      <c r="P101" s="9">
        <v>2</v>
      </c>
      <c r="Q101" s="9">
        <f t="shared" si="4"/>
        <v>4</v>
      </c>
      <c r="R101" s="10">
        <f t="shared" si="5"/>
        <v>0.69314718055994529</v>
      </c>
      <c r="S101" s="5"/>
      <c r="T101" s="5"/>
    </row>
    <row r="102" spans="1:20" ht="45.75" customHeight="1" x14ac:dyDescent="0.3">
      <c r="A102" s="6">
        <v>1200000</v>
      </c>
      <c r="B102" s="7">
        <f t="shared" si="0"/>
        <v>1440000000000</v>
      </c>
      <c r="C102" s="8">
        <f t="shared" si="1"/>
        <v>13.997832114758229</v>
      </c>
      <c r="D102" s="9">
        <f t="shared" si="2"/>
        <v>1200</v>
      </c>
      <c r="E102" s="9">
        <v>1</v>
      </c>
      <c r="F102" s="9">
        <v>0</v>
      </c>
      <c r="G102" s="9">
        <v>1</v>
      </c>
      <c r="H102" s="9">
        <v>0</v>
      </c>
      <c r="I102" s="9">
        <v>0</v>
      </c>
      <c r="J102" s="9">
        <v>0</v>
      </c>
      <c r="K102" s="9">
        <v>30</v>
      </c>
      <c r="L102" s="9">
        <f t="shared" si="3"/>
        <v>900</v>
      </c>
      <c r="M102" s="9">
        <v>0</v>
      </c>
      <c r="N102" s="9">
        <v>1</v>
      </c>
      <c r="O102" s="9">
        <v>1</v>
      </c>
      <c r="P102" s="9">
        <v>5</v>
      </c>
      <c r="Q102" s="9">
        <f t="shared" si="4"/>
        <v>25</v>
      </c>
      <c r="R102" s="10">
        <f t="shared" si="5"/>
        <v>1.6094379124341003</v>
      </c>
      <c r="S102" s="5"/>
      <c r="T102" s="5"/>
    </row>
    <row r="103" spans="1:20" ht="45.75" customHeight="1" x14ac:dyDescent="0.3">
      <c r="A103" s="6">
        <v>2500000</v>
      </c>
      <c r="B103" s="7">
        <f t="shared" si="0"/>
        <v>6250000000000</v>
      </c>
      <c r="C103" s="8">
        <f t="shared" si="1"/>
        <v>14.73180128983843</v>
      </c>
      <c r="D103" s="9">
        <f t="shared" si="2"/>
        <v>2500</v>
      </c>
      <c r="E103" s="9">
        <v>0</v>
      </c>
      <c r="F103" s="9">
        <v>0</v>
      </c>
      <c r="G103" s="9">
        <v>0</v>
      </c>
      <c r="H103" s="9">
        <v>1</v>
      </c>
      <c r="I103" s="9">
        <v>0</v>
      </c>
      <c r="J103" s="9">
        <v>0</v>
      </c>
      <c r="K103" s="9">
        <v>38</v>
      </c>
      <c r="L103" s="9">
        <f t="shared" si="3"/>
        <v>1444</v>
      </c>
      <c r="M103" s="9">
        <v>1</v>
      </c>
      <c r="N103" s="9">
        <v>0</v>
      </c>
      <c r="O103" s="9">
        <v>0</v>
      </c>
      <c r="P103" s="9">
        <v>25</v>
      </c>
      <c r="Q103" s="9">
        <f t="shared" si="4"/>
        <v>625</v>
      </c>
      <c r="R103" s="10">
        <f t="shared" si="5"/>
        <v>3.2188758248682006</v>
      </c>
      <c r="S103" s="5"/>
      <c r="T103" s="5"/>
    </row>
    <row r="104" spans="1:20" ht="45.75" customHeight="1" x14ac:dyDescent="0.3">
      <c r="A104" s="6">
        <v>1112000</v>
      </c>
      <c r="B104" s="7">
        <f t="shared" si="0"/>
        <v>1236544000000</v>
      </c>
      <c r="C104" s="8">
        <f t="shared" si="1"/>
        <v>13.921670753792664</v>
      </c>
      <c r="D104" s="9">
        <f t="shared" si="2"/>
        <v>1112</v>
      </c>
      <c r="E104" s="9">
        <v>1</v>
      </c>
      <c r="F104" s="9">
        <v>0</v>
      </c>
      <c r="G104" s="9">
        <v>1</v>
      </c>
      <c r="H104" s="9">
        <v>0</v>
      </c>
      <c r="I104" s="9">
        <v>0</v>
      </c>
      <c r="J104" s="9">
        <v>0</v>
      </c>
      <c r="K104" s="9">
        <v>23</v>
      </c>
      <c r="L104" s="9">
        <f t="shared" si="3"/>
        <v>529</v>
      </c>
      <c r="M104" s="9">
        <v>0</v>
      </c>
      <c r="N104" s="9">
        <v>0</v>
      </c>
      <c r="O104" s="9">
        <v>0</v>
      </c>
      <c r="P104" s="9">
        <v>4</v>
      </c>
      <c r="Q104" s="9">
        <f t="shared" si="4"/>
        <v>16</v>
      </c>
      <c r="R104" s="10">
        <f t="shared" si="5"/>
        <v>1.3862943611198906</v>
      </c>
      <c r="S104" s="5"/>
      <c r="T104" s="5"/>
    </row>
    <row r="105" spans="1:20" ht="45.75" customHeight="1" x14ac:dyDescent="0.3">
      <c r="A105" s="6">
        <v>1300000</v>
      </c>
      <c r="B105" s="7">
        <f t="shared" si="0"/>
        <v>1690000000000</v>
      </c>
      <c r="C105" s="8">
        <f t="shared" si="1"/>
        <v>14.077874822431765</v>
      </c>
      <c r="D105" s="9">
        <f t="shared" si="2"/>
        <v>1300</v>
      </c>
      <c r="E105" s="9">
        <v>1</v>
      </c>
      <c r="F105" s="9">
        <v>1</v>
      </c>
      <c r="G105" s="9">
        <v>0</v>
      </c>
      <c r="H105" s="9">
        <v>0</v>
      </c>
      <c r="I105" s="9">
        <v>1</v>
      </c>
      <c r="J105" s="9">
        <v>0</v>
      </c>
      <c r="K105" s="9">
        <v>31</v>
      </c>
      <c r="L105" s="9">
        <f t="shared" si="3"/>
        <v>961</v>
      </c>
      <c r="M105" s="9">
        <v>0</v>
      </c>
      <c r="N105" s="9">
        <v>2</v>
      </c>
      <c r="O105" s="9">
        <v>1</v>
      </c>
      <c r="P105" s="9">
        <v>5</v>
      </c>
      <c r="Q105" s="9">
        <f t="shared" si="4"/>
        <v>25</v>
      </c>
      <c r="R105" s="10">
        <f t="shared" si="5"/>
        <v>1.6094379124341003</v>
      </c>
      <c r="S105" s="5"/>
      <c r="T105" s="5"/>
    </row>
    <row r="106" spans="1:20" ht="45.75" customHeight="1" x14ac:dyDescent="0.3">
      <c r="A106" s="6">
        <v>980000</v>
      </c>
      <c r="B106" s="7">
        <f t="shared" si="0"/>
        <v>960400000000</v>
      </c>
      <c r="C106" s="8">
        <f t="shared" si="1"/>
        <v>13.795307850646754</v>
      </c>
      <c r="D106" s="9">
        <f t="shared" si="2"/>
        <v>980</v>
      </c>
      <c r="E106" s="9">
        <v>0</v>
      </c>
      <c r="F106" s="9">
        <v>0</v>
      </c>
      <c r="G106" s="9">
        <v>0</v>
      </c>
      <c r="H106" s="9">
        <v>1</v>
      </c>
      <c r="I106" s="9">
        <v>1</v>
      </c>
      <c r="J106" s="9">
        <v>1</v>
      </c>
      <c r="K106" s="9">
        <v>31</v>
      </c>
      <c r="L106" s="9">
        <f t="shared" si="3"/>
        <v>961</v>
      </c>
      <c r="M106" s="9">
        <v>0</v>
      </c>
      <c r="N106" s="9">
        <v>2</v>
      </c>
      <c r="O106" s="9">
        <v>1</v>
      </c>
      <c r="P106" s="9">
        <v>5</v>
      </c>
      <c r="Q106" s="9">
        <f t="shared" si="4"/>
        <v>25</v>
      </c>
      <c r="R106" s="10">
        <f t="shared" si="5"/>
        <v>1.6094379124341003</v>
      </c>
      <c r="S106" s="5"/>
      <c r="T106" s="5"/>
    </row>
    <row r="107" spans="1:20" ht="45.75" customHeight="1" x14ac:dyDescent="0.3">
      <c r="A107" s="6">
        <v>5000000</v>
      </c>
      <c r="B107" s="7">
        <f t="shared" si="0"/>
        <v>25000000000000</v>
      </c>
      <c r="C107" s="8">
        <f t="shared" si="1"/>
        <v>15.424948470398375</v>
      </c>
      <c r="D107" s="9">
        <f t="shared" si="2"/>
        <v>5000</v>
      </c>
      <c r="E107" s="9">
        <v>1</v>
      </c>
      <c r="F107" s="9">
        <v>1</v>
      </c>
      <c r="G107" s="9">
        <v>0</v>
      </c>
      <c r="H107" s="9">
        <v>0</v>
      </c>
      <c r="I107" s="9">
        <v>1</v>
      </c>
      <c r="J107" s="9">
        <v>1</v>
      </c>
      <c r="K107" s="9">
        <v>58</v>
      </c>
      <c r="L107" s="9">
        <f t="shared" si="3"/>
        <v>3364</v>
      </c>
      <c r="M107" s="9">
        <v>1</v>
      </c>
      <c r="N107" s="9">
        <v>4</v>
      </c>
      <c r="O107" s="9">
        <v>1</v>
      </c>
      <c r="P107" s="9">
        <v>28</v>
      </c>
      <c r="Q107" s="9">
        <f t="shared" si="4"/>
        <v>784</v>
      </c>
      <c r="R107" s="10">
        <f t="shared" si="5"/>
        <v>3.3322045101752038</v>
      </c>
      <c r="S107" s="5"/>
      <c r="T107" s="5"/>
    </row>
    <row r="108" spans="1:20" ht="45.75" customHeight="1" x14ac:dyDescent="0.3">
      <c r="A108" s="6">
        <v>1000000</v>
      </c>
      <c r="B108" s="7">
        <f t="shared" si="0"/>
        <v>1000000000000</v>
      </c>
      <c r="C108" s="8">
        <f t="shared" si="1"/>
        <v>13.815510557964274</v>
      </c>
      <c r="D108" s="9">
        <f t="shared" si="2"/>
        <v>1000</v>
      </c>
      <c r="E108" s="9">
        <v>1</v>
      </c>
      <c r="F108" s="9">
        <v>1</v>
      </c>
      <c r="G108" s="9">
        <v>0</v>
      </c>
      <c r="H108" s="9">
        <v>0</v>
      </c>
      <c r="I108" s="9">
        <v>0</v>
      </c>
      <c r="J108" s="9">
        <v>0</v>
      </c>
      <c r="K108" s="9">
        <v>20</v>
      </c>
      <c r="L108" s="9">
        <f t="shared" si="3"/>
        <v>400</v>
      </c>
      <c r="M108" s="9">
        <v>0</v>
      </c>
      <c r="N108" s="9">
        <v>0</v>
      </c>
      <c r="O108" s="9">
        <v>0</v>
      </c>
      <c r="P108" s="9">
        <v>2</v>
      </c>
      <c r="Q108" s="9">
        <f t="shared" si="4"/>
        <v>4</v>
      </c>
      <c r="R108" s="10">
        <f t="shared" si="5"/>
        <v>0.69314718055994529</v>
      </c>
      <c r="S108" s="5"/>
      <c r="T108" s="5"/>
    </row>
    <row r="109" spans="1:20" ht="45.75" customHeight="1" x14ac:dyDescent="0.3">
      <c r="A109" s="6">
        <v>900000</v>
      </c>
      <c r="B109" s="7">
        <f t="shared" si="0"/>
        <v>810000000000</v>
      </c>
      <c r="C109" s="8">
        <f t="shared" si="1"/>
        <v>13.710150042306449</v>
      </c>
      <c r="D109" s="9">
        <f t="shared" si="2"/>
        <v>900</v>
      </c>
      <c r="E109" s="9">
        <v>0</v>
      </c>
      <c r="F109" s="9">
        <v>1</v>
      </c>
      <c r="G109" s="9">
        <v>0</v>
      </c>
      <c r="H109" s="9">
        <v>0</v>
      </c>
      <c r="I109" s="9">
        <v>0</v>
      </c>
      <c r="J109" s="9">
        <v>0</v>
      </c>
      <c r="K109" s="9">
        <v>47</v>
      </c>
      <c r="L109" s="9">
        <f t="shared" si="3"/>
        <v>2209</v>
      </c>
      <c r="M109" s="9">
        <v>1</v>
      </c>
      <c r="N109" s="9">
        <v>2</v>
      </c>
      <c r="O109" s="9">
        <v>1</v>
      </c>
      <c r="P109" s="9">
        <v>15</v>
      </c>
      <c r="Q109" s="9">
        <f t="shared" si="4"/>
        <v>225</v>
      </c>
      <c r="R109" s="10">
        <f t="shared" si="5"/>
        <v>2.7080502011022101</v>
      </c>
      <c r="S109" s="5"/>
      <c r="T109" s="5"/>
    </row>
    <row r="110" spans="1:20" ht="45.75" customHeight="1" x14ac:dyDescent="0.3">
      <c r="A110" s="6">
        <v>1000000</v>
      </c>
      <c r="B110" s="7">
        <f t="shared" si="0"/>
        <v>1000000000000</v>
      </c>
      <c r="C110" s="8">
        <f t="shared" si="1"/>
        <v>13.815510557964274</v>
      </c>
      <c r="D110" s="9">
        <f t="shared" si="2"/>
        <v>1000</v>
      </c>
      <c r="E110" s="9">
        <v>1</v>
      </c>
      <c r="F110" s="9">
        <v>1</v>
      </c>
      <c r="G110" s="9">
        <v>0</v>
      </c>
      <c r="H110" s="9">
        <v>0</v>
      </c>
      <c r="I110" s="9">
        <v>1</v>
      </c>
      <c r="J110" s="9">
        <v>0</v>
      </c>
      <c r="K110" s="9">
        <v>43</v>
      </c>
      <c r="L110" s="9">
        <f t="shared" si="3"/>
        <v>1849</v>
      </c>
      <c r="M110" s="9">
        <v>0</v>
      </c>
      <c r="N110" s="9">
        <v>1</v>
      </c>
      <c r="O110" s="9">
        <v>1</v>
      </c>
      <c r="P110" s="9">
        <v>1</v>
      </c>
      <c r="Q110" s="9">
        <f t="shared" si="4"/>
        <v>1</v>
      </c>
      <c r="R110" s="10">
        <f t="shared" si="5"/>
        <v>0</v>
      </c>
      <c r="S110" s="5"/>
      <c r="T110" s="5"/>
    </row>
    <row r="111" spans="1:20" ht="45.75" customHeight="1" x14ac:dyDescent="0.3">
      <c r="A111" s="6">
        <v>1500000</v>
      </c>
      <c r="B111" s="7">
        <f t="shared" si="0"/>
        <v>2250000000000</v>
      </c>
      <c r="C111" s="8">
        <f t="shared" si="1"/>
        <v>14.220975666072439</v>
      </c>
      <c r="D111" s="9">
        <f t="shared" si="2"/>
        <v>1500</v>
      </c>
      <c r="E111" s="9">
        <v>1</v>
      </c>
      <c r="F111" s="9">
        <v>0</v>
      </c>
      <c r="G111" s="9">
        <v>1</v>
      </c>
      <c r="H111" s="9">
        <v>0</v>
      </c>
      <c r="I111" s="9">
        <v>0</v>
      </c>
      <c r="J111" s="9">
        <v>1</v>
      </c>
      <c r="K111" s="9">
        <v>25</v>
      </c>
      <c r="L111" s="9">
        <f t="shared" si="3"/>
        <v>625</v>
      </c>
      <c r="M111" s="9">
        <v>1</v>
      </c>
      <c r="N111" s="9">
        <v>1</v>
      </c>
      <c r="O111" s="9">
        <v>1</v>
      </c>
      <c r="P111" s="9">
        <v>6</v>
      </c>
      <c r="Q111" s="9">
        <f t="shared" si="4"/>
        <v>36</v>
      </c>
      <c r="R111" s="10">
        <f t="shared" si="5"/>
        <v>1.791759469228055</v>
      </c>
      <c r="S111" s="5"/>
      <c r="T111" s="5"/>
    </row>
    <row r="112" spans="1:20" ht="45.75" customHeight="1" x14ac:dyDescent="0.3">
      <c r="A112" s="6">
        <v>1600000</v>
      </c>
      <c r="B112" s="7">
        <f t="shared" si="0"/>
        <v>2560000000000</v>
      </c>
      <c r="C112" s="8">
        <f t="shared" si="1"/>
        <v>14.28551418721001</v>
      </c>
      <c r="D112" s="9">
        <f t="shared" si="2"/>
        <v>1600</v>
      </c>
      <c r="E112" s="9">
        <v>1</v>
      </c>
      <c r="F112" s="9">
        <v>0</v>
      </c>
      <c r="G112" s="9">
        <v>1</v>
      </c>
      <c r="H112" s="9">
        <v>0</v>
      </c>
      <c r="I112" s="9">
        <v>0</v>
      </c>
      <c r="J112" s="9">
        <v>1</v>
      </c>
      <c r="K112" s="9">
        <v>38</v>
      </c>
      <c r="L112" s="9">
        <f t="shared" si="3"/>
        <v>1444</v>
      </c>
      <c r="M112" s="9">
        <v>1</v>
      </c>
      <c r="N112" s="9">
        <v>3</v>
      </c>
      <c r="O112" s="9">
        <v>1</v>
      </c>
      <c r="P112" s="9">
        <v>15</v>
      </c>
      <c r="Q112" s="9">
        <f t="shared" si="4"/>
        <v>225</v>
      </c>
      <c r="R112" s="10">
        <f t="shared" si="5"/>
        <v>2.7080502011022101</v>
      </c>
      <c r="S112" s="5"/>
      <c r="T112" s="5"/>
    </row>
    <row r="113" spans="1:20" ht="45.75" customHeight="1" x14ac:dyDescent="0.3">
      <c r="A113" s="6">
        <v>1700000</v>
      </c>
      <c r="B113" s="7">
        <f t="shared" si="0"/>
        <v>2890000000000</v>
      </c>
      <c r="C113" s="8">
        <f t="shared" si="1"/>
        <v>14.346138809026444</v>
      </c>
      <c r="D113" s="9">
        <f t="shared" si="2"/>
        <v>1700</v>
      </c>
      <c r="E113" s="9">
        <v>1</v>
      </c>
      <c r="F113" s="9">
        <v>1</v>
      </c>
      <c r="G113" s="9">
        <v>0</v>
      </c>
      <c r="H113" s="9">
        <v>0</v>
      </c>
      <c r="I113" s="9">
        <v>0</v>
      </c>
      <c r="J113" s="9">
        <v>0</v>
      </c>
      <c r="K113" s="9">
        <v>24</v>
      </c>
      <c r="L113" s="9">
        <f t="shared" si="3"/>
        <v>576</v>
      </c>
      <c r="M113" s="9">
        <v>0</v>
      </c>
      <c r="N113" s="9">
        <v>1</v>
      </c>
      <c r="O113" s="9">
        <v>1</v>
      </c>
      <c r="P113" s="9">
        <v>0.58333333333333337</v>
      </c>
      <c r="Q113" s="9">
        <f t="shared" si="4"/>
        <v>0.34027777777777785</v>
      </c>
      <c r="R113" s="10">
        <f t="shared" si="5"/>
        <v>-0.5389965007326869</v>
      </c>
      <c r="S113" s="5"/>
      <c r="T113" s="5"/>
    </row>
    <row r="114" spans="1:20" ht="45.75" customHeight="1" x14ac:dyDescent="0.3">
      <c r="A114" s="6">
        <v>2000000</v>
      </c>
      <c r="B114" s="7">
        <f t="shared" si="0"/>
        <v>4000000000000</v>
      </c>
      <c r="C114" s="8">
        <f t="shared" si="1"/>
        <v>14.508657738524219</v>
      </c>
      <c r="D114" s="9">
        <f t="shared" si="2"/>
        <v>2000</v>
      </c>
      <c r="E114" s="9">
        <v>1</v>
      </c>
      <c r="F114" s="9">
        <v>1</v>
      </c>
      <c r="G114" s="9">
        <v>0</v>
      </c>
      <c r="H114" s="9">
        <v>0</v>
      </c>
      <c r="I114" s="9">
        <v>1</v>
      </c>
      <c r="J114" s="9">
        <v>1</v>
      </c>
      <c r="K114" s="9">
        <v>22</v>
      </c>
      <c r="L114" s="9">
        <f t="shared" si="3"/>
        <v>484</v>
      </c>
      <c r="M114" s="9">
        <v>0</v>
      </c>
      <c r="N114" s="9">
        <v>2</v>
      </c>
      <c r="O114" s="9">
        <v>1</v>
      </c>
      <c r="P114" s="9">
        <v>1</v>
      </c>
      <c r="Q114" s="9">
        <f t="shared" si="4"/>
        <v>1</v>
      </c>
      <c r="R114" s="10">
        <f t="shared" si="5"/>
        <v>0</v>
      </c>
      <c r="S114" s="5"/>
      <c r="T114" s="5"/>
    </row>
    <row r="115" spans="1:20" ht="45.75" customHeight="1" x14ac:dyDescent="0.3">
      <c r="A115" s="6">
        <v>1600000</v>
      </c>
      <c r="B115" s="7">
        <f t="shared" si="0"/>
        <v>2560000000000</v>
      </c>
      <c r="C115" s="8">
        <f t="shared" si="1"/>
        <v>14.28551418721001</v>
      </c>
      <c r="D115" s="9">
        <f t="shared" si="2"/>
        <v>1600</v>
      </c>
      <c r="E115" s="9">
        <v>0</v>
      </c>
      <c r="F115" s="9">
        <v>0</v>
      </c>
      <c r="G115" s="9">
        <v>1</v>
      </c>
      <c r="H115" s="9">
        <v>0</v>
      </c>
      <c r="I115" s="9">
        <v>0</v>
      </c>
      <c r="J115" s="9">
        <v>0</v>
      </c>
      <c r="K115" s="9">
        <v>34</v>
      </c>
      <c r="L115" s="9">
        <f t="shared" si="3"/>
        <v>1156</v>
      </c>
      <c r="M115" s="9">
        <v>1</v>
      </c>
      <c r="N115" s="9">
        <v>3</v>
      </c>
      <c r="O115" s="9">
        <v>1</v>
      </c>
      <c r="P115" s="9">
        <v>0.5</v>
      </c>
      <c r="Q115" s="9">
        <f t="shared" si="4"/>
        <v>0.25</v>
      </c>
      <c r="R115" s="10">
        <f t="shared" si="5"/>
        <v>-0.69314718055994529</v>
      </c>
      <c r="S115" s="5"/>
      <c r="T115" s="5"/>
    </row>
    <row r="116" spans="1:20" ht="45.75" customHeight="1" x14ac:dyDescent="0.3">
      <c r="A116" s="6">
        <v>1400000</v>
      </c>
      <c r="B116" s="7">
        <f t="shared" si="0"/>
        <v>1960000000000</v>
      </c>
      <c r="C116" s="8">
        <f t="shared" si="1"/>
        <v>14.151982794585487</v>
      </c>
      <c r="D116" s="9">
        <f t="shared" si="2"/>
        <v>1400</v>
      </c>
      <c r="E116" s="9">
        <v>1</v>
      </c>
      <c r="F116" s="9">
        <v>0</v>
      </c>
      <c r="G116" s="9">
        <v>0</v>
      </c>
      <c r="H116" s="9">
        <v>1</v>
      </c>
      <c r="I116" s="9">
        <v>0</v>
      </c>
      <c r="J116" s="9">
        <v>1</v>
      </c>
      <c r="K116" s="9">
        <v>24</v>
      </c>
      <c r="L116" s="9">
        <f t="shared" si="3"/>
        <v>576</v>
      </c>
      <c r="M116" s="9">
        <v>1</v>
      </c>
      <c r="N116" s="9">
        <v>0</v>
      </c>
      <c r="O116" s="9">
        <v>0</v>
      </c>
      <c r="P116" s="9">
        <v>10</v>
      </c>
      <c r="Q116" s="9">
        <f t="shared" si="4"/>
        <v>100</v>
      </c>
      <c r="R116" s="10">
        <f t="shared" si="5"/>
        <v>2.3025850929940459</v>
      </c>
      <c r="S116" s="5"/>
      <c r="T116" s="5"/>
    </row>
    <row r="117" spans="1:20" ht="45.75" customHeight="1" x14ac:dyDescent="0.3">
      <c r="A117" s="6">
        <v>2200000</v>
      </c>
      <c r="B117" s="7">
        <f t="shared" si="0"/>
        <v>4840000000000</v>
      </c>
      <c r="C117" s="8">
        <f t="shared" si="1"/>
        <v>14.603967918328545</v>
      </c>
      <c r="D117" s="9">
        <f t="shared" si="2"/>
        <v>2200</v>
      </c>
      <c r="E117" s="9">
        <v>1</v>
      </c>
      <c r="F117" s="9">
        <v>0</v>
      </c>
      <c r="G117" s="9">
        <v>0</v>
      </c>
      <c r="H117" s="9">
        <v>1</v>
      </c>
      <c r="I117" s="9">
        <v>1</v>
      </c>
      <c r="J117" s="9">
        <v>1</v>
      </c>
      <c r="K117" s="9">
        <v>40</v>
      </c>
      <c r="L117" s="9">
        <f t="shared" si="3"/>
        <v>1600</v>
      </c>
      <c r="M117" s="9">
        <v>0</v>
      </c>
      <c r="N117" s="9">
        <v>0</v>
      </c>
      <c r="O117" s="9">
        <v>0</v>
      </c>
      <c r="P117" s="9">
        <v>2</v>
      </c>
      <c r="Q117" s="9">
        <f t="shared" si="4"/>
        <v>4</v>
      </c>
      <c r="R117" s="10">
        <f t="shared" si="5"/>
        <v>0.69314718055994529</v>
      </c>
      <c r="S117" s="5"/>
      <c r="T117" s="5"/>
    </row>
    <row r="118" spans="1:20" ht="45.75" customHeight="1" x14ac:dyDescent="0.3">
      <c r="A118" s="6">
        <v>1000000</v>
      </c>
      <c r="B118" s="7">
        <f t="shared" si="0"/>
        <v>1000000000000</v>
      </c>
      <c r="C118" s="8">
        <f t="shared" si="1"/>
        <v>13.815510557964274</v>
      </c>
      <c r="D118" s="9">
        <f t="shared" si="2"/>
        <v>1000</v>
      </c>
      <c r="E118" s="9">
        <v>1</v>
      </c>
      <c r="F118" s="9">
        <v>1</v>
      </c>
      <c r="G118" s="9">
        <v>0</v>
      </c>
      <c r="H118" s="9">
        <v>0</v>
      </c>
      <c r="I118" s="9">
        <v>0</v>
      </c>
      <c r="J118" s="9">
        <v>0</v>
      </c>
      <c r="K118" s="9">
        <v>27</v>
      </c>
      <c r="L118" s="9">
        <f t="shared" si="3"/>
        <v>729</v>
      </c>
      <c r="M118" s="9">
        <v>0</v>
      </c>
      <c r="N118" s="9">
        <v>3</v>
      </c>
      <c r="O118" s="9">
        <v>1</v>
      </c>
      <c r="P118" s="9">
        <v>2</v>
      </c>
      <c r="Q118" s="9">
        <f t="shared" si="4"/>
        <v>4</v>
      </c>
      <c r="R118" s="10">
        <f t="shared" si="5"/>
        <v>0.69314718055994529</v>
      </c>
      <c r="S118" s="5"/>
      <c r="T118" s="5"/>
    </row>
    <row r="119" spans="1:20" ht="45.75" customHeight="1" x14ac:dyDescent="0.3">
      <c r="A119" s="6">
        <v>1014980</v>
      </c>
      <c r="B119" s="7">
        <f t="shared" si="0"/>
        <v>1030184400400</v>
      </c>
      <c r="C119" s="8">
        <f t="shared" si="1"/>
        <v>13.830379465830392</v>
      </c>
      <c r="D119" s="9">
        <f t="shared" si="2"/>
        <v>1014.98</v>
      </c>
      <c r="E119" s="9">
        <v>1</v>
      </c>
      <c r="F119" s="9">
        <v>0</v>
      </c>
      <c r="G119" s="9">
        <v>1</v>
      </c>
      <c r="H119" s="9">
        <v>0</v>
      </c>
      <c r="I119" s="9">
        <v>0</v>
      </c>
      <c r="J119" s="9">
        <v>0</v>
      </c>
      <c r="K119" s="9">
        <v>35</v>
      </c>
      <c r="L119" s="9">
        <f t="shared" si="3"/>
        <v>1225</v>
      </c>
      <c r="M119" s="9">
        <v>1</v>
      </c>
      <c r="N119" s="9">
        <v>0</v>
      </c>
      <c r="O119" s="9">
        <v>0</v>
      </c>
      <c r="P119" s="9">
        <v>15</v>
      </c>
      <c r="Q119" s="9">
        <f t="shared" si="4"/>
        <v>225</v>
      </c>
      <c r="R119" s="10">
        <f t="shared" si="5"/>
        <v>2.7080502011022101</v>
      </c>
      <c r="S119" s="5"/>
      <c r="T119" s="5"/>
    </row>
    <row r="120" spans="1:20" ht="45.75" customHeight="1" x14ac:dyDescent="0.3">
      <c r="A120" s="6">
        <v>1200000</v>
      </c>
      <c r="B120" s="7">
        <f t="shared" si="0"/>
        <v>1440000000000</v>
      </c>
      <c r="C120" s="8">
        <f t="shared" si="1"/>
        <v>13.997832114758229</v>
      </c>
      <c r="D120" s="9">
        <f t="shared" si="2"/>
        <v>1200</v>
      </c>
      <c r="E120" s="9">
        <v>1</v>
      </c>
      <c r="F120" s="9">
        <v>0</v>
      </c>
      <c r="G120" s="9">
        <v>1</v>
      </c>
      <c r="H120" s="9">
        <v>0</v>
      </c>
      <c r="I120" s="9">
        <v>0</v>
      </c>
      <c r="J120" s="9">
        <v>0</v>
      </c>
      <c r="K120" s="9">
        <v>34</v>
      </c>
      <c r="L120" s="9">
        <f t="shared" si="3"/>
        <v>1156</v>
      </c>
      <c r="M120" s="9">
        <v>0</v>
      </c>
      <c r="N120" s="9">
        <v>2</v>
      </c>
      <c r="O120" s="9">
        <v>1</v>
      </c>
      <c r="P120" s="9">
        <v>5</v>
      </c>
      <c r="Q120" s="9">
        <f t="shared" si="4"/>
        <v>25</v>
      </c>
      <c r="R120" s="10">
        <f t="shared" si="5"/>
        <v>1.6094379124341003</v>
      </c>
      <c r="S120" s="5"/>
      <c r="T120" s="5"/>
    </row>
    <row r="121" spans="1:20" ht="45.75" customHeight="1" x14ac:dyDescent="0.3">
      <c r="A121" s="6">
        <v>1500000</v>
      </c>
      <c r="B121" s="7">
        <f t="shared" si="0"/>
        <v>2250000000000</v>
      </c>
      <c r="C121" s="8">
        <f t="shared" si="1"/>
        <v>14.220975666072439</v>
      </c>
      <c r="D121" s="9">
        <f t="shared" si="2"/>
        <v>1500</v>
      </c>
      <c r="E121" s="9">
        <v>0</v>
      </c>
      <c r="F121" s="9">
        <v>0</v>
      </c>
      <c r="G121" s="9">
        <v>1</v>
      </c>
      <c r="H121" s="9">
        <v>0</v>
      </c>
      <c r="I121" s="9">
        <v>1</v>
      </c>
      <c r="J121" s="9">
        <v>0</v>
      </c>
      <c r="K121" s="9">
        <v>30</v>
      </c>
      <c r="L121" s="9">
        <f t="shared" si="3"/>
        <v>900</v>
      </c>
      <c r="M121" s="9">
        <v>0</v>
      </c>
      <c r="N121" s="9">
        <v>0</v>
      </c>
      <c r="O121" s="9">
        <v>0</v>
      </c>
      <c r="P121" s="9">
        <v>8.3333333333333301E-2</v>
      </c>
      <c r="Q121" s="9">
        <f t="shared" si="4"/>
        <v>6.9444444444444389E-3</v>
      </c>
      <c r="R121" s="10">
        <f t="shared" si="5"/>
        <v>-2.4849066497880008</v>
      </c>
      <c r="S121" s="5"/>
      <c r="T121" s="5"/>
    </row>
    <row r="122" spans="1:20" ht="45.75" customHeight="1" x14ac:dyDescent="0.3">
      <c r="A122" s="6">
        <v>1014980</v>
      </c>
      <c r="B122" s="7">
        <f t="shared" si="0"/>
        <v>1030184400400</v>
      </c>
      <c r="C122" s="8">
        <f t="shared" si="1"/>
        <v>13.830379465830392</v>
      </c>
      <c r="D122" s="9">
        <f t="shared" si="2"/>
        <v>1014.98</v>
      </c>
      <c r="E122" s="9">
        <v>0</v>
      </c>
      <c r="F122" s="9">
        <v>0</v>
      </c>
      <c r="G122" s="9">
        <v>1</v>
      </c>
      <c r="H122" s="9">
        <v>0</v>
      </c>
      <c r="I122" s="9">
        <v>0</v>
      </c>
      <c r="J122" s="9">
        <v>0</v>
      </c>
      <c r="K122" s="9">
        <v>35</v>
      </c>
      <c r="L122" s="9">
        <f t="shared" si="3"/>
        <v>1225</v>
      </c>
      <c r="M122" s="9">
        <v>0</v>
      </c>
      <c r="N122" s="9">
        <v>0</v>
      </c>
      <c r="O122" s="9">
        <v>0</v>
      </c>
      <c r="P122" s="9">
        <v>18</v>
      </c>
      <c r="Q122" s="9">
        <f t="shared" si="4"/>
        <v>324</v>
      </c>
      <c r="R122" s="10">
        <f t="shared" si="5"/>
        <v>2.8903717578961645</v>
      </c>
      <c r="S122" s="5"/>
      <c r="T122" s="5"/>
    </row>
    <row r="123" spans="1:20" ht="45.75" customHeight="1" x14ac:dyDescent="0.3">
      <c r="A123" s="6">
        <v>2029960</v>
      </c>
      <c r="B123" s="7">
        <f t="shared" si="0"/>
        <v>4120737601600</v>
      </c>
      <c r="C123" s="8">
        <f t="shared" si="1"/>
        <v>14.523526646390337</v>
      </c>
      <c r="D123" s="9">
        <f t="shared" si="2"/>
        <v>2029.96</v>
      </c>
      <c r="E123" s="9">
        <v>0</v>
      </c>
      <c r="F123" s="9">
        <v>1</v>
      </c>
      <c r="G123" s="9">
        <v>0</v>
      </c>
      <c r="H123" s="9">
        <v>0</v>
      </c>
      <c r="I123" s="9">
        <v>0</v>
      </c>
      <c r="J123" s="9">
        <v>0</v>
      </c>
      <c r="K123" s="9">
        <v>18</v>
      </c>
      <c r="L123" s="9">
        <f t="shared" si="3"/>
        <v>324</v>
      </c>
      <c r="M123" s="9">
        <v>0</v>
      </c>
      <c r="N123" s="9">
        <v>0</v>
      </c>
      <c r="O123" s="9">
        <v>0</v>
      </c>
      <c r="P123" s="9">
        <v>0.5</v>
      </c>
      <c r="Q123" s="9">
        <f t="shared" si="4"/>
        <v>0.25</v>
      </c>
      <c r="R123" s="10">
        <f t="shared" si="5"/>
        <v>-0.69314718055994529</v>
      </c>
      <c r="S123" s="5"/>
      <c r="T123" s="5"/>
    </row>
    <row r="124" spans="1:20" ht="45.75" customHeight="1" x14ac:dyDescent="0.3">
      <c r="A124" s="6">
        <v>1200000</v>
      </c>
      <c r="B124" s="7">
        <f t="shared" si="0"/>
        <v>1440000000000</v>
      </c>
      <c r="C124" s="8">
        <f t="shared" si="1"/>
        <v>13.997832114758229</v>
      </c>
      <c r="D124" s="9">
        <f t="shared" si="2"/>
        <v>1200</v>
      </c>
      <c r="E124" s="9">
        <v>1</v>
      </c>
      <c r="F124" s="9">
        <v>0</v>
      </c>
      <c r="G124" s="9">
        <v>1</v>
      </c>
      <c r="H124" s="9">
        <v>0</v>
      </c>
      <c r="I124" s="9">
        <v>1</v>
      </c>
      <c r="J124" s="9">
        <v>0</v>
      </c>
      <c r="K124" s="9">
        <v>20</v>
      </c>
      <c r="L124" s="9">
        <f t="shared" si="3"/>
        <v>400</v>
      </c>
      <c r="M124" s="9">
        <v>0</v>
      </c>
      <c r="N124" s="9">
        <v>0</v>
      </c>
      <c r="O124" s="9">
        <v>0</v>
      </c>
      <c r="P124" s="9">
        <v>0.33333333333333331</v>
      </c>
      <c r="Q124" s="9">
        <f t="shared" si="4"/>
        <v>0.1111111111111111</v>
      </c>
      <c r="R124" s="10">
        <f t="shared" si="5"/>
        <v>-1.0986122886681098</v>
      </c>
      <c r="S124" s="5"/>
      <c r="T124" s="5"/>
    </row>
    <row r="125" spans="1:20" ht="45.75" customHeight="1" x14ac:dyDescent="0.3">
      <c r="A125" s="6">
        <v>1014980</v>
      </c>
      <c r="B125" s="7">
        <f t="shared" si="0"/>
        <v>1030184400400</v>
      </c>
      <c r="C125" s="8">
        <f t="shared" si="1"/>
        <v>13.830379465830392</v>
      </c>
      <c r="D125" s="9">
        <f t="shared" si="2"/>
        <v>1014.98</v>
      </c>
      <c r="E125" s="9">
        <v>1</v>
      </c>
      <c r="F125" s="9">
        <v>1</v>
      </c>
      <c r="G125" s="9">
        <v>0</v>
      </c>
      <c r="H125" s="9">
        <v>0</v>
      </c>
      <c r="I125" s="9">
        <v>0</v>
      </c>
      <c r="J125" s="9">
        <v>0</v>
      </c>
      <c r="K125" s="9">
        <v>54</v>
      </c>
      <c r="L125" s="9">
        <f t="shared" si="3"/>
        <v>2916</v>
      </c>
      <c r="M125" s="9">
        <v>1</v>
      </c>
      <c r="N125" s="9">
        <v>3</v>
      </c>
      <c r="O125" s="9">
        <v>1</v>
      </c>
      <c r="P125" s="9">
        <v>25</v>
      </c>
      <c r="Q125" s="9">
        <f t="shared" si="4"/>
        <v>625</v>
      </c>
      <c r="R125" s="10">
        <f t="shared" si="5"/>
        <v>3.2188758248682006</v>
      </c>
      <c r="S125" s="5"/>
      <c r="T125" s="5"/>
    </row>
    <row r="126" spans="1:20" ht="45.75" customHeight="1" x14ac:dyDescent="0.3">
      <c r="A126" s="6">
        <v>1200000</v>
      </c>
      <c r="B126" s="7">
        <f t="shared" si="0"/>
        <v>1440000000000</v>
      </c>
      <c r="C126" s="8">
        <f t="shared" si="1"/>
        <v>13.997832114758229</v>
      </c>
      <c r="D126" s="9">
        <f t="shared" si="2"/>
        <v>1200</v>
      </c>
      <c r="E126" s="9">
        <v>1</v>
      </c>
      <c r="F126" s="9">
        <v>1</v>
      </c>
      <c r="G126" s="9">
        <v>0</v>
      </c>
      <c r="H126" s="9">
        <v>0</v>
      </c>
      <c r="I126" s="9">
        <v>1</v>
      </c>
      <c r="J126" s="9">
        <v>0</v>
      </c>
      <c r="K126" s="9">
        <v>45</v>
      </c>
      <c r="L126" s="9">
        <f t="shared" si="3"/>
        <v>2025</v>
      </c>
      <c r="M126" s="9">
        <v>0</v>
      </c>
      <c r="N126" s="9">
        <v>2</v>
      </c>
      <c r="O126" s="9">
        <v>1</v>
      </c>
      <c r="P126" s="9">
        <v>8</v>
      </c>
      <c r="Q126" s="9">
        <f t="shared" si="4"/>
        <v>64</v>
      </c>
      <c r="R126" s="10">
        <f t="shared" si="5"/>
        <v>2.0794415416798357</v>
      </c>
      <c r="S126" s="5"/>
      <c r="T126" s="5"/>
    </row>
    <row r="127" spans="1:20" ht="45.75" customHeight="1" x14ac:dyDescent="0.3">
      <c r="A127" s="6">
        <v>1200000</v>
      </c>
      <c r="B127" s="7">
        <f t="shared" si="0"/>
        <v>1440000000000</v>
      </c>
      <c r="C127" s="8">
        <f t="shared" si="1"/>
        <v>13.997832114758229</v>
      </c>
      <c r="D127" s="9">
        <f t="shared" si="2"/>
        <v>1200</v>
      </c>
      <c r="E127" s="9">
        <v>1</v>
      </c>
      <c r="F127" s="9">
        <v>0</v>
      </c>
      <c r="G127" s="9">
        <v>1</v>
      </c>
      <c r="H127" s="9">
        <v>0</v>
      </c>
      <c r="I127" s="9">
        <v>0</v>
      </c>
      <c r="J127" s="9">
        <v>0</v>
      </c>
      <c r="K127" s="9">
        <v>21</v>
      </c>
      <c r="L127" s="9">
        <f t="shared" si="3"/>
        <v>441</v>
      </c>
      <c r="M127" s="9">
        <v>0</v>
      </c>
      <c r="N127" s="9">
        <v>0</v>
      </c>
      <c r="O127" s="9">
        <v>0</v>
      </c>
      <c r="P127" s="9">
        <v>3</v>
      </c>
      <c r="Q127" s="9">
        <f t="shared" si="4"/>
        <v>9</v>
      </c>
      <c r="R127" s="10">
        <f t="shared" si="5"/>
        <v>1.0986122886681098</v>
      </c>
      <c r="S127" s="5"/>
      <c r="T127" s="5"/>
    </row>
    <row r="128" spans="1:20" ht="45.75" customHeight="1" x14ac:dyDescent="0.3">
      <c r="A128" s="6">
        <v>2000000</v>
      </c>
      <c r="B128" s="7">
        <f t="shared" si="0"/>
        <v>4000000000000</v>
      </c>
      <c r="C128" s="8">
        <f t="shared" si="1"/>
        <v>14.508657738524219</v>
      </c>
      <c r="D128" s="9">
        <f t="shared" si="2"/>
        <v>2000</v>
      </c>
      <c r="E128" s="9">
        <v>0</v>
      </c>
      <c r="F128" s="9">
        <v>0</v>
      </c>
      <c r="G128" s="9">
        <v>1</v>
      </c>
      <c r="H128" s="9">
        <v>0</v>
      </c>
      <c r="I128" s="9">
        <v>1</v>
      </c>
      <c r="J128" s="9">
        <v>1</v>
      </c>
      <c r="K128" s="9">
        <v>29</v>
      </c>
      <c r="L128" s="9">
        <f t="shared" si="3"/>
        <v>841</v>
      </c>
      <c r="M128" s="9">
        <v>0</v>
      </c>
      <c r="N128" s="9">
        <v>0</v>
      </c>
      <c r="O128" s="9">
        <v>0</v>
      </c>
      <c r="P128" s="9">
        <v>5</v>
      </c>
      <c r="Q128" s="9">
        <f t="shared" si="4"/>
        <v>25</v>
      </c>
      <c r="R128" s="10">
        <f t="shared" si="5"/>
        <v>1.6094379124341003</v>
      </c>
      <c r="S128" s="5"/>
      <c r="T128" s="5"/>
    </row>
    <row r="129" spans="1:20" ht="45.75" customHeight="1" x14ac:dyDescent="0.3">
      <c r="A129" s="6">
        <v>1500000</v>
      </c>
      <c r="B129" s="7">
        <f t="shared" si="0"/>
        <v>2250000000000</v>
      </c>
      <c r="C129" s="8">
        <f t="shared" si="1"/>
        <v>14.220975666072439</v>
      </c>
      <c r="D129" s="9">
        <f t="shared" si="2"/>
        <v>1500</v>
      </c>
      <c r="E129" s="9">
        <v>1</v>
      </c>
      <c r="F129" s="9">
        <v>1</v>
      </c>
      <c r="G129" s="9">
        <v>0</v>
      </c>
      <c r="H129" s="9">
        <v>0</v>
      </c>
      <c r="I129" s="9">
        <v>1</v>
      </c>
      <c r="J129" s="9">
        <v>1</v>
      </c>
      <c r="K129" s="9">
        <v>62</v>
      </c>
      <c r="L129" s="9">
        <f t="shared" si="3"/>
        <v>3844</v>
      </c>
      <c r="M129" s="9">
        <v>1</v>
      </c>
      <c r="N129" s="9">
        <v>1</v>
      </c>
      <c r="O129" s="9">
        <v>1</v>
      </c>
      <c r="P129" s="9">
        <v>27</v>
      </c>
      <c r="Q129" s="9">
        <f t="shared" si="4"/>
        <v>729</v>
      </c>
      <c r="R129" s="10">
        <f t="shared" si="5"/>
        <v>3.2958368660043291</v>
      </c>
      <c r="S129" s="5"/>
      <c r="T129" s="5"/>
    </row>
    <row r="130" spans="1:20" ht="45.75" customHeight="1" x14ac:dyDescent="0.3">
      <c r="A130" s="6">
        <v>1200000</v>
      </c>
      <c r="B130" s="7">
        <f t="shared" si="0"/>
        <v>1440000000000</v>
      </c>
      <c r="C130" s="8">
        <f t="shared" si="1"/>
        <v>13.997832114758229</v>
      </c>
      <c r="D130" s="9">
        <f t="shared" si="2"/>
        <v>1200</v>
      </c>
      <c r="E130" s="9">
        <v>1</v>
      </c>
      <c r="F130" s="9">
        <v>0</v>
      </c>
      <c r="G130" s="9">
        <v>0</v>
      </c>
      <c r="H130" s="9">
        <v>1</v>
      </c>
      <c r="I130" s="9">
        <v>0</v>
      </c>
      <c r="J130" s="9">
        <v>0</v>
      </c>
      <c r="K130" s="9">
        <v>24</v>
      </c>
      <c r="L130" s="9">
        <f t="shared" si="3"/>
        <v>576</v>
      </c>
      <c r="M130" s="9">
        <v>1</v>
      </c>
      <c r="N130" s="9">
        <v>1</v>
      </c>
      <c r="O130" s="9">
        <v>1</v>
      </c>
      <c r="P130" s="9">
        <v>2</v>
      </c>
      <c r="Q130" s="9">
        <f t="shared" si="4"/>
        <v>4</v>
      </c>
      <c r="R130" s="10">
        <f t="shared" si="5"/>
        <v>0.69314718055994529</v>
      </c>
      <c r="S130" s="5"/>
      <c r="T130" s="5"/>
    </row>
    <row r="131" spans="1:20" ht="45.75" customHeight="1" x14ac:dyDescent="0.3">
      <c r="A131" s="6">
        <v>908000</v>
      </c>
      <c r="B131" s="7">
        <f t="shared" si="0"/>
        <v>824464000000</v>
      </c>
      <c r="C131" s="8">
        <f t="shared" si="1"/>
        <v>13.71899965758343</v>
      </c>
      <c r="D131" s="9">
        <f t="shared" si="2"/>
        <v>908</v>
      </c>
      <c r="E131" s="9">
        <v>0</v>
      </c>
      <c r="F131" s="9">
        <v>1</v>
      </c>
      <c r="G131" s="9">
        <v>0</v>
      </c>
      <c r="H131" s="9">
        <v>0</v>
      </c>
      <c r="I131" s="9">
        <v>0</v>
      </c>
      <c r="J131" s="9">
        <v>1</v>
      </c>
      <c r="K131" s="9">
        <v>58</v>
      </c>
      <c r="L131" s="9">
        <f t="shared" si="3"/>
        <v>3364</v>
      </c>
      <c r="M131" s="9">
        <v>1</v>
      </c>
      <c r="N131" s="9">
        <v>2</v>
      </c>
      <c r="O131" s="9">
        <v>1</v>
      </c>
      <c r="P131" s="9">
        <v>35</v>
      </c>
      <c r="Q131" s="9">
        <f t="shared" si="4"/>
        <v>1225</v>
      </c>
      <c r="R131" s="10">
        <f t="shared" si="5"/>
        <v>3.5553480614894135</v>
      </c>
      <c r="S131" s="5"/>
      <c r="T131" s="5"/>
    </row>
    <row r="132" spans="1:20" ht="45.75" customHeight="1" x14ac:dyDescent="0.3">
      <c r="A132" s="6">
        <v>2500000</v>
      </c>
      <c r="B132" s="7">
        <f t="shared" si="0"/>
        <v>6250000000000</v>
      </c>
      <c r="C132" s="8">
        <f t="shared" si="1"/>
        <v>14.73180128983843</v>
      </c>
      <c r="D132" s="9">
        <f t="shared" si="2"/>
        <v>2500</v>
      </c>
      <c r="E132" s="9">
        <v>1</v>
      </c>
      <c r="F132" s="9">
        <v>1</v>
      </c>
      <c r="G132" s="9">
        <v>0</v>
      </c>
      <c r="H132" s="9">
        <v>0</v>
      </c>
      <c r="I132" s="9">
        <v>1</v>
      </c>
      <c r="J132" s="9">
        <v>0</v>
      </c>
      <c r="K132" s="9">
        <v>20</v>
      </c>
      <c r="L132" s="9">
        <f t="shared" si="3"/>
        <v>400</v>
      </c>
      <c r="M132" s="9">
        <v>1</v>
      </c>
      <c r="N132" s="9">
        <v>0</v>
      </c>
      <c r="O132" s="9">
        <v>0</v>
      </c>
      <c r="P132" s="9">
        <v>1.5</v>
      </c>
      <c r="Q132" s="9">
        <f t="shared" si="4"/>
        <v>2.25</v>
      </c>
      <c r="R132" s="10">
        <f t="shared" si="5"/>
        <v>0.40546510810816438</v>
      </c>
      <c r="S132" s="5"/>
      <c r="T132" s="5"/>
    </row>
    <row r="133" spans="1:20" ht="45.75" customHeight="1" x14ac:dyDescent="0.3">
      <c r="A133" s="6">
        <v>2500000</v>
      </c>
      <c r="B133" s="7">
        <f t="shared" si="0"/>
        <v>6250000000000</v>
      </c>
      <c r="C133" s="8">
        <f t="shared" si="1"/>
        <v>14.73180128983843</v>
      </c>
      <c r="D133" s="9">
        <f t="shared" si="2"/>
        <v>2500</v>
      </c>
      <c r="E133" s="9">
        <v>1</v>
      </c>
      <c r="F133" s="9">
        <v>1</v>
      </c>
      <c r="G133" s="9">
        <v>0</v>
      </c>
      <c r="H133" s="9">
        <v>0</v>
      </c>
      <c r="I133" s="9">
        <v>1</v>
      </c>
      <c r="J133" s="9">
        <v>0</v>
      </c>
      <c r="K133" s="9">
        <v>21</v>
      </c>
      <c r="L133" s="9">
        <f t="shared" si="3"/>
        <v>441</v>
      </c>
      <c r="M133" s="9">
        <v>1</v>
      </c>
      <c r="N133" s="9">
        <v>1</v>
      </c>
      <c r="O133" s="9">
        <v>1</v>
      </c>
      <c r="P133" s="9">
        <v>1</v>
      </c>
      <c r="Q133" s="9">
        <f t="shared" si="4"/>
        <v>1</v>
      </c>
      <c r="R133" s="10">
        <f t="shared" si="5"/>
        <v>0</v>
      </c>
      <c r="S133" s="5"/>
      <c r="T133" s="5"/>
    </row>
    <row r="134" spans="1:20" ht="45.75" customHeight="1" x14ac:dyDescent="0.3">
      <c r="A134" s="6">
        <v>1500000</v>
      </c>
      <c r="B134" s="7">
        <f t="shared" si="0"/>
        <v>2250000000000</v>
      </c>
      <c r="C134" s="8">
        <f t="shared" si="1"/>
        <v>14.220975666072439</v>
      </c>
      <c r="D134" s="9">
        <f t="shared" si="2"/>
        <v>1500</v>
      </c>
      <c r="E134" s="9">
        <v>1</v>
      </c>
      <c r="F134" s="9">
        <v>1</v>
      </c>
      <c r="G134" s="9">
        <v>0</v>
      </c>
      <c r="H134" s="9">
        <v>0</v>
      </c>
      <c r="I134" s="9">
        <v>1</v>
      </c>
      <c r="J134" s="9">
        <v>1</v>
      </c>
      <c r="K134" s="9">
        <v>53</v>
      </c>
      <c r="L134" s="9">
        <f t="shared" si="3"/>
        <v>2809</v>
      </c>
      <c r="M134" s="9">
        <v>1</v>
      </c>
      <c r="N134" s="9">
        <v>2</v>
      </c>
      <c r="O134" s="9">
        <v>1</v>
      </c>
      <c r="P134" s="9">
        <v>10</v>
      </c>
      <c r="Q134" s="9">
        <f t="shared" si="4"/>
        <v>100</v>
      </c>
      <c r="R134" s="10">
        <f t="shared" si="5"/>
        <v>2.3025850929940459</v>
      </c>
      <c r="S134" s="5"/>
      <c r="T134" s="5"/>
    </row>
    <row r="135" spans="1:20" ht="45.75" customHeight="1" x14ac:dyDescent="0.3">
      <c r="A135" s="6">
        <v>1200000</v>
      </c>
      <c r="B135" s="7">
        <f t="shared" si="0"/>
        <v>1440000000000</v>
      </c>
      <c r="C135" s="8">
        <f t="shared" si="1"/>
        <v>13.997832114758229</v>
      </c>
      <c r="D135" s="9">
        <f t="shared" si="2"/>
        <v>1200</v>
      </c>
      <c r="E135" s="9">
        <v>1</v>
      </c>
      <c r="F135" s="9">
        <v>1</v>
      </c>
      <c r="G135" s="9">
        <v>0</v>
      </c>
      <c r="H135" s="9">
        <v>0</v>
      </c>
      <c r="I135" s="9">
        <v>0</v>
      </c>
      <c r="J135" s="9">
        <v>0</v>
      </c>
      <c r="K135" s="9">
        <v>20</v>
      </c>
      <c r="L135" s="9">
        <f t="shared" si="3"/>
        <v>400</v>
      </c>
      <c r="M135" s="9">
        <v>0</v>
      </c>
      <c r="N135" s="9">
        <v>0</v>
      </c>
      <c r="O135" s="9">
        <v>0</v>
      </c>
      <c r="P135" s="9">
        <v>0.58333333333333337</v>
      </c>
      <c r="Q135" s="9">
        <f t="shared" si="4"/>
        <v>0.34027777777777785</v>
      </c>
      <c r="R135" s="10">
        <f t="shared" si="5"/>
        <v>-0.5389965007326869</v>
      </c>
      <c r="S135" s="5"/>
      <c r="T135" s="5"/>
    </row>
    <row r="136" spans="1:20" ht="45.75" customHeight="1" x14ac:dyDescent="0.3">
      <c r="A136" s="6">
        <v>3000000</v>
      </c>
      <c r="B136" s="7">
        <f t="shared" si="0"/>
        <v>9000000000000</v>
      </c>
      <c r="C136" s="8">
        <f t="shared" si="1"/>
        <v>14.914122846632385</v>
      </c>
      <c r="D136" s="9">
        <f t="shared" si="2"/>
        <v>3000</v>
      </c>
      <c r="E136" s="9">
        <v>0</v>
      </c>
      <c r="F136" s="9">
        <v>0</v>
      </c>
      <c r="G136" s="9">
        <v>0</v>
      </c>
      <c r="H136" s="9">
        <v>1</v>
      </c>
      <c r="I136" s="9">
        <v>1</v>
      </c>
      <c r="J136" s="9">
        <v>1</v>
      </c>
      <c r="K136" s="9">
        <v>62</v>
      </c>
      <c r="L136" s="9">
        <f t="shared" si="3"/>
        <v>3844</v>
      </c>
      <c r="M136" s="9">
        <v>0</v>
      </c>
      <c r="N136" s="9">
        <v>2</v>
      </c>
      <c r="O136" s="9">
        <v>1</v>
      </c>
      <c r="P136" s="9">
        <v>30</v>
      </c>
      <c r="Q136" s="9">
        <f t="shared" si="4"/>
        <v>900</v>
      </c>
      <c r="R136" s="10">
        <f t="shared" si="5"/>
        <v>3.4011973816621555</v>
      </c>
      <c r="S136" s="5"/>
      <c r="T136" s="5"/>
    </row>
    <row r="137" spans="1:20" ht="45.75" customHeight="1" x14ac:dyDescent="0.3">
      <c r="A137" s="6">
        <v>1200000</v>
      </c>
      <c r="B137" s="7">
        <f t="shared" si="0"/>
        <v>1440000000000</v>
      </c>
      <c r="C137" s="8">
        <f t="shared" si="1"/>
        <v>13.997832114758229</v>
      </c>
      <c r="D137" s="9">
        <f t="shared" si="2"/>
        <v>1200</v>
      </c>
      <c r="E137" s="9">
        <v>1</v>
      </c>
      <c r="F137" s="9">
        <v>0</v>
      </c>
      <c r="G137" s="9">
        <v>0</v>
      </c>
      <c r="H137" s="9">
        <v>1</v>
      </c>
      <c r="I137" s="9">
        <v>0</v>
      </c>
      <c r="J137" s="9">
        <v>0</v>
      </c>
      <c r="K137" s="9">
        <v>40</v>
      </c>
      <c r="L137" s="9">
        <f t="shared" si="3"/>
        <v>1600</v>
      </c>
      <c r="M137" s="9">
        <v>0</v>
      </c>
      <c r="N137" s="9">
        <v>6</v>
      </c>
      <c r="O137" s="9">
        <v>1</v>
      </c>
      <c r="P137" s="9">
        <v>15</v>
      </c>
      <c r="Q137" s="9">
        <f t="shared" si="4"/>
        <v>225</v>
      </c>
      <c r="R137" s="10">
        <f t="shared" si="5"/>
        <v>2.7080502011022101</v>
      </c>
      <c r="S137" s="5"/>
      <c r="T137" s="5"/>
    </row>
    <row r="138" spans="1:20" ht="45.75" customHeight="1" x14ac:dyDescent="0.3">
      <c r="A138" s="6">
        <v>800000</v>
      </c>
      <c r="B138" s="7">
        <f t="shared" si="0"/>
        <v>640000000000</v>
      </c>
      <c r="C138" s="8">
        <f t="shared" si="1"/>
        <v>13.592367006650065</v>
      </c>
      <c r="D138" s="9">
        <f t="shared" si="2"/>
        <v>800</v>
      </c>
      <c r="E138" s="9">
        <v>1</v>
      </c>
      <c r="F138" s="9">
        <v>1</v>
      </c>
      <c r="G138" s="9">
        <v>0</v>
      </c>
      <c r="H138" s="9">
        <v>0</v>
      </c>
      <c r="I138" s="9">
        <v>0</v>
      </c>
      <c r="J138" s="9">
        <v>1</v>
      </c>
      <c r="K138" s="9">
        <v>21</v>
      </c>
      <c r="L138" s="9">
        <f t="shared" si="3"/>
        <v>441</v>
      </c>
      <c r="M138" s="9">
        <v>0</v>
      </c>
      <c r="N138" s="9">
        <v>0</v>
      </c>
      <c r="O138" s="9">
        <v>0</v>
      </c>
      <c r="P138" s="9">
        <v>1</v>
      </c>
      <c r="Q138" s="9">
        <f t="shared" si="4"/>
        <v>1</v>
      </c>
      <c r="R138" s="10">
        <f t="shared" si="5"/>
        <v>0</v>
      </c>
      <c r="S138" s="5"/>
      <c r="T138" s="5"/>
    </row>
    <row r="139" spans="1:20" ht="45.75" customHeight="1" x14ac:dyDescent="0.3">
      <c r="A139" s="6">
        <v>908000</v>
      </c>
      <c r="B139" s="7">
        <f t="shared" si="0"/>
        <v>824464000000</v>
      </c>
      <c r="C139" s="8">
        <f t="shared" si="1"/>
        <v>13.71899965758343</v>
      </c>
      <c r="D139" s="9">
        <f t="shared" si="2"/>
        <v>908</v>
      </c>
      <c r="E139" s="9">
        <v>1</v>
      </c>
      <c r="F139" s="9">
        <v>0</v>
      </c>
      <c r="G139" s="9">
        <v>1</v>
      </c>
      <c r="H139" s="9">
        <v>0</v>
      </c>
      <c r="I139" s="9">
        <v>0</v>
      </c>
      <c r="J139" s="9">
        <v>1</v>
      </c>
      <c r="K139" s="9">
        <v>17</v>
      </c>
      <c r="L139" s="9">
        <f t="shared" si="3"/>
        <v>289</v>
      </c>
      <c r="M139" s="9">
        <v>0</v>
      </c>
      <c r="N139" s="9">
        <v>0</v>
      </c>
      <c r="O139" s="9">
        <v>0</v>
      </c>
      <c r="P139" s="9">
        <v>1</v>
      </c>
      <c r="Q139" s="9">
        <f t="shared" si="4"/>
        <v>1</v>
      </c>
      <c r="R139" s="10">
        <f t="shared" si="5"/>
        <v>0</v>
      </c>
      <c r="S139" s="5"/>
      <c r="T139" s="5"/>
    </row>
    <row r="140" spans="1:20" ht="45.75" customHeight="1" x14ac:dyDescent="0.3">
      <c r="A140" s="6">
        <v>908000</v>
      </c>
      <c r="B140" s="7">
        <f t="shared" si="0"/>
        <v>824464000000</v>
      </c>
      <c r="C140" s="8">
        <f t="shared" si="1"/>
        <v>13.71899965758343</v>
      </c>
      <c r="D140" s="9">
        <f t="shared" si="2"/>
        <v>908</v>
      </c>
      <c r="E140" s="9">
        <v>1</v>
      </c>
      <c r="F140" s="9">
        <v>0</v>
      </c>
      <c r="G140" s="9">
        <v>0</v>
      </c>
      <c r="H140" s="9">
        <v>1</v>
      </c>
      <c r="I140" s="9">
        <v>0</v>
      </c>
      <c r="J140" s="9">
        <v>0</v>
      </c>
      <c r="K140" s="9">
        <v>25</v>
      </c>
      <c r="L140" s="9">
        <f t="shared" si="3"/>
        <v>625</v>
      </c>
      <c r="M140" s="9">
        <v>0</v>
      </c>
      <c r="N140" s="9">
        <v>0</v>
      </c>
      <c r="O140" s="9">
        <v>0</v>
      </c>
      <c r="P140" s="9">
        <v>3</v>
      </c>
      <c r="Q140" s="9">
        <f t="shared" si="4"/>
        <v>9</v>
      </c>
      <c r="R140" s="10">
        <f t="shared" si="5"/>
        <v>1.0986122886681098</v>
      </c>
      <c r="S140" s="5"/>
      <c r="T140" s="5"/>
    </row>
    <row r="141" spans="1:20" ht="45.75" customHeight="1" x14ac:dyDescent="0.3">
      <c r="A141" s="6">
        <v>908000</v>
      </c>
      <c r="B141" s="7">
        <f t="shared" si="0"/>
        <v>824464000000</v>
      </c>
      <c r="C141" s="8">
        <f t="shared" si="1"/>
        <v>13.71899965758343</v>
      </c>
      <c r="D141" s="9">
        <f t="shared" si="2"/>
        <v>908</v>
      </c>
      <c r="E141" s="9">
        <v>1</v>
      </c>
      <c r="F141" s="9">
        <v>1</v>
      </c>
      <c r="G141" s="9">
        <v>0</v>
      </c>
      <c r="H141" s="9">
        <v>0</v>
      </c>
      <c r="I141" s="9">
        <v>0</v>
      </c>
      <c r="J141" s="9">
        <v>0</v>
      </c>
      <c r="K141" s="9">
        <v>18</v>
      </c>
      <c r="L141" s="9">
        <f t="shared" si="3"/>
        <v>324</v>
      </c>
      <c r="M141" s="9">
        <v>0</v>
      </c>
      <c r="N141" s="9">
        <v>0</v>
      </c>
      <c r="O141" s="9">
        <v>0</v>
      </c>
      <c r="P141" s="9">
        <v>0.16666666669999999</v>
      </c>
      <c r="Q141" s="9">
        <f t="shared" si="4"/>
        <v>2.7777777788888888E-2</v>
      </c>
      <c r="R141" s="10">
        <f t="shared" si="5"/>
        <v>-1.7917594690280549</v>
      </c>
      <c r="S141" s="5"/>
      <c r="T141" s="5"/>
    </row>
    <row r="142" spans="1:20" ht="45.75" customHeight="1" x14ac:dyDescent="0.3">
      <c r="A142" s="6">
        <v>2000000</v>
      </c>
      <c r="B142" s="7">
        <f t="shared" si="0"/>
        <v>4000000000000</v>
      </c>
      <c r="C142" s="8">
        <f t="shared" si="1"/>
        <v>14.508657738524219</v>
      </c>
      <c r="D142" s="9">
        <f t="shared" si="2"/>
        <v>2000</v>
      </c>
      <c r="E142" s="9">
        <v>1</v>
      </c>
      <c r="F142" s="9">
        <v>0</v>
      </c>
      <c r="G142" s="9">
        <v>0</v>
      </c>
      <c r="H142" s="9">
        <v>1</v>
      </c>
      <c r="I142" s="9">
        <v>0</v>
      </c>
      <c r="J142" s="9">
        <v>0</v>
      </c>
      <c r="K142" s="9">
        <v>25</v>
      </c>
      <c r="L142" s="9">
        <f t="shared" si="3"/>
        <v>625</v>
      </c>
      <c r="M142" s="9">
        <v>0</v>
      </c>
      <c r="N142" s="9">
        <v>0</v>
      </c>
      <c r="O142" s="9">
        <v>0</v>
      </c>
      <c r="P142" s="9">
        <v>8.3333333300000006E-2</v>
      </c>
      <c r="Q142" s="9">
        <f t="shared" si="4"/>
        <v>6.9444444388888898E-3</v>
      </c>
      <c r="R142" s="10">
        <f t="shared" si="5"/>
        <v>-2.4849066501880004</v>
      </c>
      <c r="S142" s="5"/>
      <c r="T142" s="5"/>
    </row>
    <row r="143" spans="1:20" ht="45.75" customHeight="1" x14ac:dyDescent="0.3">
      <c r="A143" s="6">
        <v>908000</v>
      </c>
      <c r="B143" s="7">
        <f t="shared" si="0"/>
        <v>824464000000</v>
      </c>
      <c r="C143" s="8">
        <f t="shared" si="1"/>
        <v>13.71899965758343</v>
      </c>
      <c r="D143" s="9">
        <f t="shared" si="2"/>
        <v>908</v>
      </c>
      <c r="E143" s="9">
        <v>1</v>
      </c>
      <c r="F143" s="9">
        <v>1</v>
      </c>
      <c r="G143" s="9">
        <v>0</v>
      </c>
      <c r="H143" s="9">
        <v>0</v>
      </c>
      <c r="I143" s="9">
        <v>0</v>
      </c>
      <c r="J143" s="9">
        <v>0</v>
      </c>
      <c r="K143" s="9">
        <v>21</v>
      </c>
      <c r="L143" s="9">
        <f t="shared" si="3"/>
        <v>441</v>
      </c>
      <c r="M143" s="9">
        <v>0</v>
      </c>
      <c r="N143" s="9">
        <v>0</v>
      </c>
      <c r="O143" s="9">
        <v>0</v>
      </c>
      <c r="P143" s="9">
        <v>8.3333333300000006E-2</v>
      </c>
      <c r="Q143" s="9">
        <f t="shared" si="4"/>
        <v>6.9444444388888898E-3</v>
      </c>
      <c r="R143" s="10">
        <f t="shared" si="5"/>
        <v>-2.4849066501880004</v>
      </c>
      <c r="S143" s="5"/>
      <c r="T143" s="5"/>
    </row>
    <row r="144" spans="1:20" ht="45.75" customHeight="1" x14ac:dyDescent="0.3">
      <c r="A144" s="6">
        <v>1000000</v>
      </c>
      <c r="B144" s="7">
        <f t="shared" si="0"/>
        <v>1000000000000</v>
      </c>
      <c r="C144" s="8">
        <f t="shared" si="1"/>
        <v>13.815510557964274</v>
      </c>
      <c r="D144" s="9">
        <f t="shared" si="2"/>
        <v>1000</v>
      </c>
      <c r="E144" s="9">
        <v>1</v>
      </c>
      <c r="F144" s="9">
        <v>1</v>
      </c>
      <c r="G144" s="9">
        <v>0</v>
      </c>
      <c r="H144" s="9">
        <v>0</v>
      </c>
      <c r="I144" s="9">
        <v>1</v>
      </c>
      <c r="J144" s="9">
        <v>0</v>
      </c>
      <c r="K144" s="9">
        <v>46</v>
      </c>
      <c r="L144" s="9">
        <f t="shared" si="3"/>
        <v>2116</v>
      </c>
      <c r="M144" s="9">
        <v>0</v>
      </c>
      <c r="N144" s="9">
        <v>1</v>
      </c>
      <c r="O144" s="9">
        <v>1</v>
      </c>
      <c r="P144" s="9">
        <v>3</v>
      </c>
      <c r="Q144" s="9">
        <f t="shared" si="4"/>
        <v>9</v>
      </c>
      <c r="R144" s="10">
        <f t="shared" si="5"/>
        <v>1.0986122886681098</v>
      </c>
      <c r="S144" s="5"/>
      <c r="T144" s="5"/>
    </row>
    <row r="145" spans="1:20" ht="45.75" customHeight="1" x14ac:dyDescent="0.3">
      <c r="A145" s="6">
        <v>2000000</v>
      </c>
      <c r="B145" s="7">
        <f t="shared" si="0"/>
        <v>4000000000000</v>
      </c>
      <c r="C145" s="8">
        <f t="shared" si="1"/>
        <v>14.508657738524219</v>
      </c>
      <c r="D145" s="9">
        <f t="shared" si="2"/>
        <v>2000</v>
      </c>
      <c r="E145" s="9">
        <v>1</v>
      </c>
      <c r="F145" s="9">
        <v>0</v>
      </c>
      <c r="G145" s="9">
        <v>1</v>
      </c>
      <c r="H145" s="9">
        <v>0</v>
      </c>
      <c r="I145" s="9">
        <v>1</v>
      </c>
      <c r="J145" s="9">
        <v>1</v>
      </c>
      <c r="K145" s="9">
        <v>41</v>
      </c>
      <c r="L145" s="9">
        <f t="shared" si="3"/>
        <v>1681</v>
      </c>
      <c r="M145" s="9">
        <v>1</v>
      </c>
      <c r="N145" s="9">
        <v>2</v>
      </c>
      <c r="O145" s="9">
        <v>1</v>
      </c>
      <c r="P145" s="9">
        <v>1.5</v>
      </c>
      <c r="Q145" s="9">
        <f t="shared" si="4"/>
        <v>2.25</v>
      </c>
      <c r="R145" s="10">
        <f t="shared" si="5"/>
        <v>0.40546510810816438</v>
      </c>
      <c r="S145" s="5"/>
      <c r="T145" s="5"/>
    </row>
    <row r="146" spans="1:20" ht="45.75" customHeight="1" x14ac:dyDescent="0.3">
      <c r="A146" s="6">
        <v>1100000</v>
      </c>
      <c r="B146" s="7">
        <f t="shared" si="0"/>
        <v>1210000000000</v>
      </c>
      <c r="C146" s="8">
        <f t="shared" si="1"/>
        <v>13.910820737768599</v>
      </c>
      <c r="D146" s="9">
        <f t="shared" si="2"/>
        <v>1100</v>
      </c>
      <c r="E146" s="9">
        <v>1</v>
      </c>
      <c r="F146" s="9">
        <v>1</v>
      </c>
      <c r="G146" s="9">
        <v>0</v>
      </c>
      <c r="H146" s="9">
        <v>0</v>
      </c>
      <c r="I146" s="9">
        <v>1</v>
      </c>
      <c r="J146" s="9">
        <v>0</v>
      </c>
      <c r="K146" s="9">
        <v>22</v>
      </c>
      <c r="L146" s="9">
        <f t="shared" si="3"/>
        <v>484</v>
      </c>
      <c r="M146" s="9">
        <v>1</v>
      </c>
      <c r="N146" s="9">
        <v>0</v>
      </c>
      <c r="O146" s="9">
        <v>0</v>
      </c>
      <c r="P146" s="9">
        <v>3</v>
      </c>
      <c r="Q146" s="9">
        <f t="shared" si="4"/>
        <v>9</v>
      </c>
      <c r="R146" s="10">
        <f t="shared" si="5"/>
        <v>1.0986122886681098</v>
      </c>
      <c r="S146" s="5"/>
      <c r="T146" s="5"/>
    </row>
    <row r="147" spans="1:20" ht="45.75" customHeight="1" x14ac:dyDescent="0.3">
      <c r="A147" s="6">
        <v>1800000</v>
      </c>
      <c r="B147" s="7">
        <f t="shared" si="0"/>
        <v>3240000000000</v>
      </c>
      <c r="C147" s="8">
        <f t="shared" si="1"/>
        <v>14.403297222866392</v>
      </c>
      <c r="D147" s="9">
        <f t="shared" si="2"/>
        <v>1800</v>
      </c>
      <c r="E147" s="9">
        <v>1</v>
      </c>
      <c r="F147" s="9">
        <v>0</v>
      </c>
      <c r="G147" s="9">
        <v>0</v>
      </c>
      <c r="H147" s="9">
        <v>1</v>
      </c>
      <c r="I147" s="9">
        <v>0</v>
      </c>
      <c r="J147" s="9">
        <v>0</v>
      </c>
      <c r="K147" s="9">
        <v>24</v>
      </c>
      <c r="L147" s="9">
        <f t="shared" si="3"/>
        <v>576</v>
      </c>
      <c r="M147" s="9">
        <v>0</v>
      </c>
      <c r="N147" s="9">
        <v>0</v>
      </c>
      <c r="O147" s="9">
        <v>0</v>
      </c>
      <c r="P147" s="9">
        <v>1</v>
      </c>
      <c r="Q147" s="9">
        <f t="shared" si="4"/>
        <v>1</v>
      </c>
      <c r="R147" s="10">
        <f t="shared" si="5"/>
        <v>0</v>
      </c>
      <c r="S147" s="5"/>
      <c r="T147" s="5"/>
    </row>
    <row r="148" spans="1:20" ht="45.75" customHeight="1" x14ac:dyDescent="0.3">
      <c r="A148" s="6">
        <v>2500000</v>
      </c>
      <c r="B148" s="7">
        <f t="shared" si="0"/>
        <v>6250000000000</v>
      </c>
      <c r="C148" s="8">
        <f t="shared" si="1"/>
        <v>14.73180128983843</v>
      </c>
      <c r="D148" s="9">
        <f t="shared" si="2"/>
        <v>2500</v>
      </c>
      <c r="E148" s="9">
        <v>1</v>
      </c>
      <c r="F148" s="9">
        <v>0</v>
      </c>
      <c r="G148" s="9">
        <v>0</v>
      </c>
      <c r="H148" s="9">
        <v>1</v>
      </c>
      <c r="I148" s="9">
        <v>0</v>
      </c>
      <c r="J148" s="9">
        <v>0</v>
      </c>
      <c r="K148" s="9">
        <v>28</v>
      </c>
      <c r="L148" s="9">
        <f t="shared" si="3"/>
        <v>784</v>
      </c>
      <c r="M148" s="9">
        <v>1</v>
      </c>
      <c r="N148" s="9">
        <v>1</v>
      </c>
      <c r="O148" s="9">
        <v>1</v>
      </c>
      <c r="P148" s="9">
        <v>4</v>
      </c>
      <c r="Q148" s="9">
        <f t="shared" si="4"/>
        <v>16</v>
      </c>
      <c r="R148" s="10">
        <f t="shared" si="5"/>
        <v>1.3862943611198906</v>
      </c>
      <c r="S148" s="5"/>
      <c r="T148" s="5"/>
    </row>
    <row r="149" spans="1:20" ht="45.75" customHeight="1" x14ac:dyDescent="0.3">
      <c r="A149" s="6">
        <v>908000</v>
      </c>
      <c r="B149" s="7">
        <f t="shared" si="0"/>
        <v>824464000000</v>
      </c>
      <c r="C149" s="8">
        <f t="shared" si="1"/>
        <v>13.71899965758343</v>
      </c>
      <c r="D149" s="9">
        <f t="shared" si="2"/>
        <v>908</v>
      </c>
      <c r="E149" s="9">
        <v>0</v>
      </c>
      <c r="F149" s="9">
        <v>1</v>
      </c>
      <c r="G149" s="9">
        <v>0</v>
      </c>
      <c r="H149" s="9">
        <v>0</v>
      </c>
      <c r="I149" s="9">
        <v>1</v>
      </c>
      <c r="J149" s="9">
        <v>0</v>
      </c>
      <c r="K149" s="9">
        <v>29</v>
      </c>
      <c r="L149" s="9">
        <f t="shared" si="3"/>
        <v>841</v>
      </c>
      <c r="M149" s="9">
        <v>0</v>
      </c>
      <c r="N149" s="9">
        <v>1</v>
      </c>
      <c r="O149" s="9">
        <v>1</v>
      </c>
      <c r="P149" s="9">
        <v>1</v>
      </c>
      <c r="Q149" s="9">
        <f t="shared" si="4"/>
        <v>1</v>
      </c>
      <c r="R149" s="10">
        <f t="shared" si="5"/>
        <v>0</v>
      </c>
      <c r="S149" s="5"/>
      <c r="T149" s="5"/>
    </row>
    <row r="150" spans="1:20" ht="45.75" customHeight="1" x14ac:dyDescent="0.3">
      <c r="A150" s="6">
        <v>1132000</v>
      </c>
      <c r="B150" s="7">
        <f t="shared" si="0"/>
        <v>1281424000000</v>
      </c>
      <c r="C150" s="8">
        <f t="shared" si="1"/>
        <v>13.939496537745265</v>
      </c>
      <c r="D150" s="9">
        <f t="shared" si="2"/>
        <v>1132</v>
      </c>
      <c r="E150" s="9">
        <v>1</v>
      </c>
      <c r="F150" s="9">
        <v>1</v>
      </c>
      <c r="G150" s="9">
        <v>0</v>
      </c>
      <c r="H150" s="9">
        <v>0</v>
      </c>
      <c r="I150" s="9">
        <v>1</v>
      </c>
      <c r="J150" s="9">
        <v>0</v>
      </c>
      <c r="K150" s="9">
        <v>24</v>
      </c>
      <c r="L150" s="9">
        <f t="shared" si="3"/>
        <v>576</v>
      </c>
      <c r="M150" s="9">
        <v>0</v>
      </c>
      <c r="N150" s="9">
        <v>0</v>
      </c>
      <c r="O150" s="9">
        <v>0</v>
      </c>
      <c r="P150" s="9">
        <v>3</v>
      </c>
      <c r="Q150" s="9">
        <f t="shared" si="4"/>
        <v>9</v>
      </c>
      <c r="R150" s="10">
        <f t="shared" si="5"/>
        <v>1.0986122886681098</v>
      </c>
      <c r="S150" s="5"/>
      <c r="T150" s="5"/>
    </row>
    <row r="151" spans="1:20" ht="45.75" customHeight="1" x14ac:dyDescent="0.3">
      <c r="A151" s="6">
        <v>1800000</v>
      </c>
      <c r="B151" s="7">
        <f t="shared" si="0"/>
        <v>3240000000000</v>
      </c>
      <c r="C151" s="8">
        <f t="shared" si="1"/>
        <v>14.403297222866392</v>
      </c>
      <c r="D151" s="9">
        <f t="shared" si="2"/>
        <v>1800</v>
      </c>
      <c r="E151" s="9">
        <v>0</v>
      </c>
      <c r="F151" s="9">
        <v>0</v>
      </c>
      <c r="G151" s="9">
        <v>1</v>
      </c>
      <c r="H151" s="9">
        <v>0</v>
      </c>
      <c r="I151" s="9">
        <v>1</v>
      </c>
      <c r="J151" s="9">
        <v>1</v>
      </c>
      <c r="K151" s="9">
        <v>28</v>
      </c>
      <c r="L151" s="9">
        <f t="shared" si="3"/>
        <v>784</v>
      </c>
      <c r="M151" s="9">
        <v>0</v>
      </c>
      <c r="N151" s="9">
        <v>0</v>
      </c>
      <c r="O151" s="9">
        <v>0</v>
      </c>
      <c r="P151" s="9">
        <v>3</v>
      </c>
      <c r="Q151" s="9">
        <f t="shared" si="4"/>
        <v>9</v>
      </c>
      <c r="R151" s="10">
        <f t="shared" si="5"/>
        <v>1.0986122886681098</v>
      </c>
      <c r="S151" s="5"/>
      <c r="T151" s="5"/>
    </row>
    <row r="152" spans="1:20" ht="45.75" customHeight="1" x14ac:dyDescent="0.3">
      <c r="A152" s="6">
        <v>908000</v>
      </c>
      <c r="B152" s="7">
        <f t="shared" si="0"/>
        <v>824464000000</v>
      </c>
      <c r="C152" s="8">
        <f t="shared" si="1"/>
        <v>13.71899965758343</v>
      </c>
      <c r="D152" s="9">
        <f t="shared" si="2"/>
        <v>908</v>
      </c>
      <c r="E152" s="9">
        <v>0</v>
      </c>
      <c r="F152" s="9">
        <v>1</v>
      </c>
      <c r="G152" s="9">
        <v>0</v>
      </c>
      <c r="H152" s="9">
        <v>0</v>
      </c>
      <c r="I152" s="9">
        <v>0</v>
      </c>
      <c r="J152" s="9">
        <v>0</v>
      </c>
      <c r="K152" s="9">
        <v>27</v>
      </c>
      <c r="L152" s="9">
        <f t="shared" si="3"/>
        <v>729</v>
      </c>
      <c r="M152" s="9">
        <v>0</v>
      </c>
      <c r="N152" s="9">
        <v>1</v>
      </c>
      <c r="O152" s="9">
        <v>1</v>
      </c>
      <c r="P152" s="9">
        <v>0.16666666669999999</v>
      </c>
      <c r="Q152" s="9">
        <f t="shared" si="4"/>
        <v>2.7777777788888888E-2</v>
      </c>
      <c r="R152" s="10">
        <f t="shared" si="5"/>
        <v>-1.7917594690280549</v>
      </c>
      <c r="S152" s="5"/>
      <c r="T152" s="5"/>
    </row>
    <row r="153" spans="1:20" ht="45.75" customHeight="1" x14ac:dyDescent="0.3">
      <c r="A153" s="6">
        <v>908000</v>
      </c>
      <c r="B153" s="7">
        <f t="shared" si="0"/>
        <v>824464000000</v>
      </c>
      <c r="C153" s="8">
        <f t="shared" si="1"/>
        <v>13.71899965758343</v>
      </c>
      <c r="D153" s="9">
        <f t="shared" si="2"/>
        <v>908</v>
      </c>
      <c r="E153" s="9">
        <v>1</v>
      </c>
      <c r="F153" s="9">
        <v>0</v>
      </c>
      <c r="G153" s="9">
        <v>1</v>
      </c>
      <c r="H153" s="9">
        <v>0</v>
      </c>
      <c r="I153" s="9">
        <v>0</v>
      </c>
      <c r="J153" s="9">
        <v>0</v>
      </c>
      <c r="K153" s="9">
        <v>23</v>
      </c>
      <c r="L153" s="9">
        <f t="shared" si="3"/>
        <v>529</v>
      </c>
      <c r="M153" s="9">
        <v>0</v>
      </c>
      <c r="N153" s="9">
        <v>1</v>
      </c>
      <c r="O153" s="9">
        <v>1</v>
      </c>
      <c r="P153" s="9">
        <v>0.5</v>
      </c>
      <c r="Q153" s="9">
        <f t="shared" si="4"/>
        <v>0.25</v>
      </c>
      <c r="R153" s="10">
        <f t="shared" si="5"/>
        <v>-0.69314718055994529</v>
      </c>
      <c r="S153" s="5"/>
      <c r="T153" s="5"/>
    </row>
    <row r="154" spans="1:20" ht="45.75" customHeight="1" x14ac:dyDescent="0.3">
      <c r="A154" s="6">
        <v>908000</v>
      </c>
      <c r="B154" s="7">
        <f t="shared" si="0"/>
        <v>824464000000</v>
      </c>
      <c r="C154" s="8">
        <f t="shared" si="1"/>
        <v>13.71899965758343</v>
      </c>
      <c r="D154" s="9">
        <f t="shared" si="2"/>
        <v>908</v>
      </c>
      <c r="E154" s="9">
        <v>0</v>
      </c>
      <c r="F154" s="9">
        <v>0</v>
      </c>
      <c r="G154" s="9">
        <v>1</v>
      </c>
      <c r="H154" s="9">
        <v>0</v>
      </c>
      <c r="I154" s="9">
        <v>1</v>
      </c>
      <c r="J154" s="9">
        <v>0</v>
      </c>
      <c r="K154" s="9">
        <v>34</v>
      </c>
      <c r="L154" s="9">
        <f t="shared" si="3"/>
        <v>1156</v>
      </c>
      <c r="M154" s="9">
        <v>0</v>
      </c>
      <c r="N154" s="9">
        <v>1</v>
      </c>
      <c r="O154" s="9">
        <v>1</v>
      </c>
      <c r="P154" s="9">
        <v>6</v>
      </c>
      <c r="Q154" s="9">
        <f t="shared" si="4"/>
        <v>36</v>
      </c>
      <c r="R154" s="10">
        <f t="shared" si="5"/>
        <v>1.791759469228055</v>
      </c>
      <c r="S154" s="5"/>
      <c r="T154" s="5"/>
    </row>
    <row r="155" spans="1:20" ht="45.75" customHeight="1" x14ac:dyDescent="0.3">
      <c r="A155" s="6">
        <v>1000000</v>
      </c>
      <c r="B155" s="7">
        <f t="shared" si="0"/>
        <v>1000000000000</v>
      </c>
      <c r="C155" s="8">
        <f t="shared" si="1"/>
        <v>13.815510557964274</v>
      </c>
      <c r="D155" s="9">
        <f t="shared" si="2"/>
        <v>1000</v>
      </c>
      <c r="E155" s="9">
        <v>0</v>
      </c>
      <c r="F155" s="9">
        <v>0</v>
      </c>
      <c r="G155" s="9">
        <v>1</v>
      </c>
      <c r="H155" s="9">
        <v>0</v>
      </c>
      <c r="I155" s="9">
        <v>0</v>
      </c>
      <c r="J155" s="9">
        <v>0</v>
      </c>
      <c r="K155" s="9">
        <v>23</v>
      </c>
      <c r="L155" s="9">
        <f t="shared" si="3"/>
        <v>529</v>
      </c>
      <c r="M155" s="9">
        <v>0</v>
      </c>
      <c r="N155" s="9">
        <v>0</v>
      </c>
      <c r="O155" s="9">
        <v>0</v>
      </c>
      <c r="P155" s="9">
        <v>2</v>
      </c>
      <c r="Q155" s="9">
        <f t="shared" si="4"/>
        <v>4</v>
      </c>
      <c r="R155" s="10">
        <f t="shared" si="5"/>
        <v>0.69314718055994529</v>
      </c>
      <c r="S155" s="5"/>
      <c r="T155" s="5"/>
    </row>
    <row r="156" spans="1:20" ht="45.75" customHeight="1" x14ac:dyDescent="0.3">
      <c r="A156" s="6">
        <v>1000000</v>
      </c>
      <c r="B156" s="7">
        <f t="shared" si="0"/>
        <v>1000000000000</v>
      </c>
      <c r="C156" s="8">
        <f t="shared" si="1"/>
        <v>13.815510557964274</v>
      </c>
      <c r="D156" s="9">
        <f t="shared" si="2"/>
        <v>1000</v>
      </c>
      <c r="E156" s="9">
        <v>1</v>
      </c>
      <c r="F156" s="9">
        <v>0</v>
      </c>
      <c r="G156" s="9">
        <v>1</v>
      </c>
      <c r="H156" s="9">
        <v>0</v>
      </c>
      <c r="I156" s="9">
        <v>0</v>
      </c>
      <c r="J156" s="9">
        <v>0</v>
      </c>
      <c r="K156" s="9">
        <v>26</v>
      </c>
      <c r="L156" s="9">
        <f t="shared" si="3"/>
        <v>676</v>
      </c>
      <c r="M156" s="9">
        <v>0</v>
      </c>
      <c r="N156" s="9">
        <v>0</v>
      </c>
      <c r="O156" s="9">
        <v>0</v>
      </c>
      <c r="P156" s="9">
        <v>5</v>
      </c>
      <c r="Q156" s="9">
        <f t="shared" si="4"/>
        <v>25</v>
      </c>
      <c r="R156" s="10">
        <f t="shared" si="5"/>
        <v>1.6094379124341003</v>
      </c>
      <c r="S156" s="5"/>
      <c r="T156" s="5"/>
    </row>
    <row r="157" spans="1:20" ht="45.75" customHeight="1" x14ac:dyDescent="0.3">
      <c r="A157" s="6">
        <v>1200000</v>
      </c>
      <c r="B157" s="7">
        <f t="shared" si="0"/>
        <v>1440000000000</v>
      </c>
      <c r="C157" s="8">
        <f t="shared" si="1"/>
        <v>13.997832114758229</v>
      </c>
      <c r="D157" s="9">
        <f t="shared" si="2"/>
        <v>1200</v>
      </c>
      <c r="E157" s="9">
        <v>1</v>
      </c>
      <c r="F157" s="9">
        <v>0</v>
      </c>
      <c r="G157" s="9">
        <v>1</v>
      </c>
      <c r="H157" s="9">
        <v>0</v>
      </c>
      <c r="I157" s="9">
        <v>0</v>
      </c>
      <c r="J157" s="9">
        <v>0</v>
      </c>
      <c r="K157" s="9">
        <v>30</v>
      </c>
      <c r="L157" s="9">
        <f t="shared" si="3"/>
        <v>900</v>
      </c>
      <c r="M157" s="9">
        <v>0</v>
      </c>
      <c r="N157" s="9">
        <v>0</v>
      </c>
      <c r="O157" s="9">
        <v>0</v>
      </c>
      <c r="P157" s="9">
        <v>11</v>
      </c>
      <c r="Q157" s="9">
        <f t="shared" si="4"/>
        <v>121</v>
      </c>
      <c r="R157" s="10">
        <f t="shared" si="5"/>
        <v>2.3978952727983707</v>
      </c>
      <c r="S157" s="5"/>
      <c r="T157" s="5"/>
    </row>
    <row r="158" spans="1:20" ht="45.75" customHeight="1" x14ac:dyDescent="0.3">
      <c r="A158" s="6">
        <v>908000</v>
      </c>
      <c r="B158" s="7">
        <f t="shared" si="0"/>
        <v>824464000000</v>
      </c>
      <c r="C158" s="8">
        <f t="shared" si="1"/>
        <v>13.71899965758343</v>
      </c>
      <c r="D158" s="9">
        <f t="shared" si="2"/>
        <v>908</v>
      </c>
      <c r="E158" s="9">
        <v>1</v>
      </c>
      <c r="F158" s="9">
        <v>1</v>
      </c>
      <c r="G158" s="9">
        <v>0</v>
      </c>
      <c r="H158" s="9">
        <v>0</v>
      </c>
      <c r="I158" s="9">
        <v>0</v>
      </c>
      <c r="J158" s="9">
        <v>0</v>
      </c>
      <c r="K158" s="9">
        <v>29</v>
      </c>
      <c r="L158" s="9">
        <f t="shared" si="3"/>
        <v>841</v>
      </c>
      <c r="M158" s="9">
        <v>1</v>
      </c>
      <c r="N158" s="9">
        <v>1</v>
      </c>
      <c r="O158" s="9">
        <v>1</v>
      </c>
      <c r="P158" s="9">
        <v>3</v>
      </c>
      <c r="Q158" s="9">
        <f t="shared" si="4"/>
        <v>9</v>
      </c>
      <c r="R158" s="10">
        <f t="shared" si="5"/>
        <v>1.0986122886681098</v>
      </c>
      <c r="S158" s="5"/>
      <c r="T158" s="5"/>
    </row>
    <row r="159" spans="1:20" ht="45.75" customHeight="1" x14ac:dyDescent="0.3">
      <c r="A159" s="6">
        <v>1000000</v>
      </c>
      <c r="B159" s="7">
        <f t="shared" si="0"/>
        <v>1000000000000</v>
      </c>
      <c r="C159" s="8">
        <f t="shared" si="1"/>
        <v>13.815510557964274</v>
      </c>
      <c r="D159" s="9">
        <f t="shared" si="2"/>
        <v>1000</v>
      </c>
      <c r="E159" s="9">
        <v>1</v>
      </c>
      <c r="F159" s="9">
        <v>0</v>
      </c>
      <c r="G159" s="9">
        <v>1</v>
      </c>
      <c r="H159" s="9">
        <v>0</v>
      </c>
      <c r="I159" s="9">
        <v>0</v>
      </c>
      <c r="J159" s="9">
        <v>0</v>
      </c>
      <c r="K159" s="9">
        <v>31</v>
      </c>
      <c r="L159" s="9">
        <f t="shared" si="3"/>
        <v>961</v>
      </c>
      <c r="M159" s="9">
        <v>0</v>
      </c>
      <c r="N159" s="9">
        <v>0</v>
      </c>
      <c r="O159" s="9">
        <v>0</v>
      </c>
      <c r="P159" s="9">
        <v>10</v>
      </c>
      <c r="Q159" s="9">
        <f t="shared" si="4"/>
        <v>100</v>
      </c>
      <c r="R159" s="10">
        <f t="shared" si="5"/>
        <v>2.3025850929940459</v>
      </c>
      <c r="S159" s="5"/>
      <c r="T159" s="5"/>
    </row>
    <row r="160" spans="1:20" ht="45.75" customHeight="1" x14ac:dyDescent="0.3">
      <c r="A160" s="6">
        <v>1500000</v>
      </c>
      <c r="B160" s="7">
        <f t="shared" si="0"/>
        <v>2250000000000</v>
      </c>
      <c r="C160" s="8">
        <f t="shared" si="1"/>
        <v>14.220975666072439</v>
      </c>
      <c r="D160" s="9">
        <f t="shared" si="2"/>
        <v>1500</v>
      </c>
      <c r="E160" s="9">
        <v>1</v>
      </c>
      <c r="F160" s="9">
        <v>0</v>
      </c>
      <c r="G160" s="9">
        <v>1</v>
      </c>
      <c r="H160" s="9">
        <v>0</v>
      </c>
      <c r="I160" s="9">
        <v>1</v>
      </c>
      <c r="J160" s="9">
        <v>1</v>
      </c>
      <c r="K160" s="9">
        <v>26</v>
      </c>
      <c r="L160" s="9">
        <f t="shared" si="3"/>
        <v>676</v>
      </c>
      <c r="M160" s="9">
        <v>0</v>
      </c>
      <c r="N160" s="9">
        <v>0</v>
      </c>
      <c r="O160" s="9">
        <v>0</v>
      </c>
      <c r="P160" s="9">
        <v>0.33333333300000001</v>
      </c>
      <c r="Q160" s="9">
        <f t="shared" si="4"/>
        <v>0.11111111088888889</v>
      </c>
      <c r="R160" s="10">
        <f t="shared" si="5"/>
        <v>-1.0986122896681096</v>
      </c>
      <c r="S160" s="5"/>
      <c r="T160" s="5"/>
    </row>
    <row r="161" spans="1:20" ht="45.75" customHeight="1" x14ac:dyDescent="0.3">
      <c r="A161" s="6">
        <v>3500000</v>
      </c>
      <c r="B161" s="7">
        <f t="shared" si="0"/>
        <v>12250000000000</v>
      </c>
      <c r="C161" s="8">
        <f t="shared" si="1"/>
        <v>15.068273526459642</v>
      </c>
      <c r="D161" s="9">
        <f t="shared" si="2"/>
        <v>3500</v>
      </c>
      <c r="E161" s="9">
        <v>1</v>
      </c>
      <c r="F161" s="9">
        <v>0</v>
      </c>
      <c r="G161" s="9">
        <v>1</v>
      </c>
      <c r="H161" s="9">
        <v>0</v>
      </c>
      <c r="I161" s="9">
        <v>1</v>
      </c>
      <c r="J161" s="9">
        <v>0</v>
      </c>
      <c r="K161" s="9">
        <v>21</v>
      </c>
      <c r="L161" s="9">
        <f t="shared" si="3"/>
        <v>441</v>
      </c>
      <c r="M161" s="9">
        <v>0</v>
      </c>
      <c r="N161" s="9">
        <v>0</v>
      </c>
      <c r="O161" s="9">
        <v>0</v>
      </c>
      <c r="P161" s="9">
        <v>5</v>
      </c>
      <c r="Q161" s="9">
        <f t="shared" si="4"/>
        <v>25</v>
      </c>
      <c r="R161" s="10">
        <f t="shared" si="5"/>
        <v>1.6094379124341003</v>
      </c>
      <c r="S161" s="5"/>
      <c r="T161" s="5"/>
    </row>
    <row r="162" spans="1:20" ht="45.75" customHeight="1" x14ac:dyDescent="0.3">
      <c r="A162" s="6">
        <v>960000</v>
      </c>
      <c r="B162" s="7">
        <f t="shared" si="0"/>
        <v>921600000000</v>
      </c>
      <c r="C162" s="8">
        <f t="shared" si="1"/>
        <v>13.77468856344402</v>
      </c>
      <c r="D162" s="9">
        <f t="shared" si="2"/>
        <v>960</v>
      </c>
      <c r="E162" s="9">
        <v>1</v>
      </c>
      <c r="F162" s="9">
        <v>0</v>
      </c>
      <c r="G162" s="9">
        <v>1</v>
      </c>
      <c r="H162" s="9">
        <v>0</v>
      </c>
      <c r="I162" s="9">
        <v>0</v>
      </c>
      <c r="J162" s="9">
        <v>0</v>
      </c>
      <c r="K162" s="9">
        <v>21</v>
      </c>
      <c r="L162" s="9">
        <f t="shared" si="3"/>
        <v>441</v>
      </c>
      <c r="M162" s="9">
        <v>0</v>
      </c>
      <c r="N162" s="9">
        <v>1</v>
      </c>
      <c r="O162" s="9">
        <v>1</v>
      </c>
      <c r="P162" s="9">
        <v>8.3333333300000006E-2</v>
      </c>
      <c r="Q162" s="9">
        <f t="shared" si="4"/>
        <v>6.9444444388888898E-3</v>
      </c>
      <c r="R162" s="10">
        <f t="shared" si="5"/>
        <v>-2.4849066501880004</v>
      </c>
      <c r="S162" s="5"/>
      <c r="T162" s="5"/>
    </row>
    <row r="163" spans="1:20" ht="45.75" customHeight="1" x14ac:dyDescent="0.3">
      <c r="A163" s="6">
        <v>1800000</v>
      </c>
      <c r="B163" s="7">
        <f t="shared" si="0"/>
        <v>3240000000000</v>
      </c>
      <c r="C163" s="8">
        <f t="shared" si="1"/>
        <v>14.403297222866392</v>
      </c>
      <c r="D163" s="9">
        <f t="shared" si="2"/>
        <v>1800</v>
      </c>
      <c r="E163" s="9">
        <v>1</v>
      </c>
      <c r="F163" s="9">
        <v>0</v>
      </c>
      <c r="G163" s="9">
        <v>0</v>
      </c>
      <c r="H163" s="9">
        <v>1</v>
      </c>
      <c r="I163" s="9">
        <v>0</v>
      </c>
      <c r="J163" s="9">
        <v>0</v>
      </c>
      <c r="K163" s="9">
        <v>33</v>
      </c>
      <c r="L163" s="9">
        <f t="shared" si="3"/>
        <v>1089</v>
      </c>
      <c r="M163" s="9">
        <v>1</v>
      </c>
      <c r="N163" s="9">
        <v>1</v>
      </c>
      <c r="O163" s="9">
        <v>1</v>
      </c>
      <c r="P163" s="9">
        <v>5</v>
      </c>
      <c r="Q163" s="9">
        <f t="shared" si="4"/>
        <v>25</v>
      </c>
      <c r="R163" s="10">
        <f t="shared" si="5"/>
        <v>1.6094379124341003</v>
      </c>
      <c r="S163" s="5"/>
      <c r="T163" s="5"/>
    </row>
    <row r="164" spans="1:20" ht="45.75" customHeight="1" x14ac:dyDescent="0.3">
      <c r="A164" s="6">
        <v>1000000</v>
      </c>
      <c r="B164" s="7">
        <f t="shared" si="0"/>
        <v>1000000000000</v>
      </c>
      <c r="C164" s="8">
        <f t="shared" si="1"/>
        <v>13.815510557964274</v>
      </c>
      <c r="D164" s="9">
        <f t="shared" si="2"/>
        <v>1000</v>
      </c>
      <c r="E164" s="9">
        <v>1</v>
      </c>
      <c r="F164" s="9">
        <v>0</v>
      </c>
      <c r="G164" s="9">
        <v>1</v>
      </c>
      <c r="H164" s="9">
        <v>0</v>
      </c>
      <c r="I164" s="9">
        <v>0</v>
      </c>
      <c r="J164" s="9">
        <v>0</v>
      </c>
      <c r="K164" s="9">
        <v>18</v>
      </c>
      <c r="L164" s="9">
        <f t="shared" si="3"/>
        <v>324</v>
      </c>
      <c r="M164" s="9">
        <v>0</v>
      </c>
      <c r="N164" s="9">
        <v>0</v>
      </c>
      <c r="O164" s="9">
        <v>0</v>
      </c>
      <c r="P164" s="9">
        <v>4</v>
      </c>
      <c r="Q164" s="9">
        <f t="shared" si="4"/>
        <v>16</v>
      </c>
      <c r="R164" s="10">
        <f t="shared" si="5"/>
        <v>1.3862943611198906</v>
      </c>
      <c r="S164" s="5"/>
      <c r="T164" s="5"/>
    </row>
    <row r="165" spans="1:20" ht="45.75" customHeight="1" x14ac:dyDescent="0.3">
      <c r="A165" s="6">
        <v>1200000</v>
      </c>
      <c r="B165" s="7">
        <f t="shared" si="0"/>
        <v>1440000000000</v>
      </c>
      <c r="C165" s="8">
        <f t="shared" si="1"/>
        <v>13.997832114758229</v>
      </c>
      <c r="D165" s="9">
        <f t="shared" si="2"/>
        <v>1200</v>
      </c>
      <c r="E165" s="9">
        <v>1</v>
      </c>
      <c r="F165" s="9">
        <v>0</v>
      </c>
      <c r="G165" s="9">
        <v>1</v>
      </c>
      <c r="H165" s="9">
        <v>0</v>
      </c>
      <c r="I165" s="9">
        <v>0</v>
      </c>
      <c r="J165" s="9">
        <v>1</v>
      </c>
      <c r="K165" s="9">
        <v>24</v>
      </c>
      <c r="L165" s="9">
        <f t="shared" si="3"/>
        <v>576</v>
      </c>
      <c r="M165" s="9">
        <v>1</v>
      </c>
      <c r="N165" s="9">
        <v>0</v>
      </c>
      <c r="O165" s="9">
        <v>0</v>
      </c>
      <c r="P165" s="9">
        <v>5</v>
      </c>
      <c r="Q165" s="9">
        <f t="shared" si="4"/>
        <v>25</v>
      </c>
      <c r="R165" s="10">
        <f t="shared" si="5"/>
        <v>1.6094379124341003</v>
      </c>
      <c r="S165" s="5"/>
      <c r="T165" s="5"/>
    </row>
    <row r="166" spans="1:20" ht="45.75" customHeight="1" x14ac:dyDescent="0.3">
      <c r="A166" s="6">
        <v>900000</v>
      </c>
      <c r="B166" s="7">
        <f t="shared" si="0"/>
        <v>810000000000</v>
      </c>
      <c r="C166" s="8">
        <f t="shared" si="1"/>
        <v>13.710150042306449</v>
      </c>
      <c r="D166" s="9">
        <f t="shared" si="2"/>
        <v>900</v>
      </c>
      <c r="E166" s="9">
        <v>1</v>
      </c>
      <c r="F166" s="9">
        <v>1</v>
      </c>
      <c r="G166" s="9">
        <v>0</v>
      </c>
      <c r="H166" s="9">
        <v>0</v>
      </c>
      <c r="I166" s="9">
        <v>0</v>
      </c>
      <c r="J166" s="9">
        <v>1</v>
      </c>
      <c r="K166" s="9">
        <v>20</v>
      </c>
      <c r="L166" s="9">
        <f t="shared" si="3"/>
        <v>400</v>
      </c>
      <c r="M166" s="9">
        <v>0</v>
      </c>
      <c r="N166" s="9">
        <v>0</v>
      </c>
      <c r="O166" s="9">
        <v>0</v>
      </c>
      <c r="P166" s="9">
        <v>8.3333333300000006E-2</v>
      </c>
      <c r="Q166" s="9">
        <f t="shared" si="4"/>
        <v>6.9444444388888898E-3</v>
      </c>
      <c r="R166" s="10">
        <f t="shared" si="5"/>
        <v>-2.4849066501880004</v>
      </c>
      <c r="S166" s="5"/>
      <c r="T166" s="5"/>
    </row>
    <row r="167" spans="1:20" ht="45.75" customHeight="1" x14ac:dyDescent="0.3">
      <c r="A167" s="6">
        <v>900000</v>
      </c>
      <c r="B167" s="7">
        <f t="shared" si="0"/>
        <v>810000000000</v>
      </c>
      <c r="C167" s="8">
        <f t="shared" si="1"/>
        <v>13.710150042306449</v>
      </c>
      <c r="D167" s="9">
        <f t="shared" si="2"/>
        <v>900</v>
      </c>
      <c r="E167" s="9">
        <v>1</v>
      </c>
      <c r="F167" s="9">
        <v>1</v>
      </c>
      <c r="G167" s="9">
        <v>0</v>
      </c>
      <c r="H167" s="9">
        <v>0</v>
      </c>
      <c r="I167" s="9">
        <v>1</v>
      </c>
      <c r="J167" s="9">
        <v>0</v>
      </c>
      <c r="K167" s="9">
        <v>21</v>
      </c>
      <c r="L167" s="9">
        <f t="shared" si="3"/>
        <v>441</v>
      </c>
      <c r="M167" s="9">
        <v>0</v>
      </c>
      <c r="N167" s="9">
        <v>0</v>
      </c>
      <c r="O167" s="9">
        <v>0</v>
      </c>
      <c r="P167" s="9">
        <v>3</v>
      </c>
      <c r="Q167" s="9">
        <f t="shared" si="4"/>
        <v>9</v>
      </c>
      <c r="R167" s="10">
        <f t="shared" si="5"/>
        <v>1.0986122886681098</v>
      </c>
      <c r="S167" s="5"/>
      <c r="T167" s="5"/>
    </row>
    <row r="168" spans="1:20" ht="45.75" customHeight="1" x14ac:dyDescent="0.3">
      <c r="A168" s="6">
        <v>950000</v>
      </c>
      <c r="B168" s="7">
        <f t="shared" si="0"/>
        <v>902500000000</v>
      </c>
      <c r="C168" s="8">
        <f t="shared" si="1"/>
        <v>13.764217263576723</v>
      </c>
      <c r="D168" s="9">
        <f t="shared" si="2"/>
        <v>950</v>
      </c>
      <c r="E168" s="9">
        <v>1</v>
      </c>
      <c r="F168" s="9">
        <v>0</v>
      </c>
      <c r="G168" s="9">
        <v>1</v>
      </c>
      <c r="H168" s="9">
        <v>0</v>
      </c>
      <c r="I168" s="9">
        <v>0</v>
      </c>
      <c r="J168" s="9">
        <v>0</v>
      </c>
      <c r="K168" s="9">
        <v>19</v>
      </c>
      <c r="L168" s="9">
        <f t="shared" si="3"/>
        <v>361</v>
      </c>
      <c r="M168" s="9">
        <v>0</v>
      </c>
      <c r="N168" s="9">
        <v>0</v>
      </c>
      <c r="O168" s="9">
        <v>0</v>
      </c>
      <c r="P168" s="9">
        <v>0.16666666669999999</v>
      </c>
      <c r="Q168" s="9">
        <f t="shared" si="4"/>
        <v>2.7777777788888888E-2</v>
      </c>
      <c r="R168" s="10">
        <f t="shared" si="5"/>
        <v>-1.7917594690280549</v>
      </c>
      <c r="S168" s="5"/>
      <c r="T168" s="5"/>
    </row>
    <row r="169" spans="1:20" ht="45.75" customHeight="1" x14ac:dyDescent="0.3">
      <c r="A169" s="6">
        <v>1000000</v>
      </c>
      <c r="B169" s="7">
        <f t="shared" si="0"/>
        <v>1000000000000</v>
      </c>
      <c r="C169" s="8">
        <f t="shared" si="1"/>
        <v>13.815510557964274</v>
      </c>
      <c r="D169" s="9">
        <f t="shared" si="2"/>
        <v>1000</v>
      </c>
      <c r="E169" s="9">
        <v>0</v>
      </c>
      <c r="F169" s="9">
        <v>0</v>
      </c>
      <c r="G169" s="9">
        <v>1</v>
      </c>
      <c r="H169" s="9">
        <v>0</v>
      </c>
      <c r="I169" s="9">
        <v>0</v>
      </c>
      <c r="J169" s="9">
        <v>1</v>
      </c>
      <c r="K169" s="9">
        <v>24</v>
      </c>
      <c r="L169" s="9">
        <f t="shared" si="3"/>
        <v>576</v>
      </c>
      <c r="M169" s="9">
        <v>0</v>
      </c>
      <c r="N169" s="9">
        <v>0</v>
      </c>
      <c r="O169" s="9">
        <v>0</v>
      </c>
      <c r="P169" s="9">
        <v>1</v>
      </c>
      <c r="Q169" s="9">
        <f t="shared" si="4"/>
        <v>1</v>
      </c>
      <c r="R169" s="10">
        <f t="shared" si="5"/>
        <v>0</v>
      </c>
      <c r="S169" s="5"/>
      <c r="T169" s="5"/>
    </row>
    <row r="170" spans="1:20" ht="45.75" customHeight="1" x14ac:dyDescent="0.3">
      <c r="A170" s="6">
        <v>1100000</v>
      </c>
      <c r="B170" s="7">
        <f t="shared" si="0"/>
        <v>1210000000000</v>
      </c>
      <c r="C170" s="8">
        <f t="shared" si="1"/>
        <v>13.910820737768599</v>
      </c>
      <c r="D170" s="9">
        <f t="shared" si="2"/>
        <v>1100</v>
      </c>
      <c r="E170" s="9">
        <v>1</v>
      </c>
      <c r="F170" s="9">
        <v>0</v>
      </c>
      <c r="G170" s="9">
        <v>1</v>
      </c>
      <c r="H170" s="9">
        <v>0</v>
      </c>
      <c r="I170" s="9">
        <v>1</v>
      </c>
      <c r="J170" s="9">
        <v>0</v>
      </c>
      <c r="K170" s="9">
        <v>21</v>
      </c>
      <c r="L170" s="9">
        <f t="shared" si="3"/>
        <v>441</v>
      </c>
      <c r="M170" s="9">
        <v>0</v>
      </c>
      <c r="N170" s="9">
        <v>0</v>
      </c>
      <c r="O170" s="9">
        <v>0</v>
      </c>
      <c r="P170" s="9">
        <v>8.3333333300000006E-2</v>
      </c>
      <c r="Q170" s="9">
        <f t="shared" si="4"/>
        <v>6.9444444388888898E-3</v>
      </c>
      <c r="R170" s="10">
        <f t="shared" si="5"/>
        <v>-2.4849066501880004</v>
      </c>
      <c r="S170" s="5"/>
      <c r="T170" s="5"/>
    </row>
    <row r="171" spans="1:20" ht="45.75" customHeight="1" x14ac:dyDescent="0.3">
      <c r="A171" s="6">
        <v>800000</v>
      </c>
      <c r="B171" s="7">
        <f t="shared" si="0"/>
        <v>640000000000</v>
      </c>
      <c r="C171" s="8">
        <f t="shared" si="1"/>
        <v>13.592367006650065</v>
      </c>
      <c r="D171" s="9">
        <f t="shared" si="2"/>
        <v>800</v>
      </c>
      <c r="E171" s="9">
        <v>1</v>
      </c>
      <c r="F171" s="9">
        <v>0</v>
      </c>
      <c r="G171" s="9">
        <v>0</v>
      </c>
      <c r="H171" s="9">
        <v>1</v>
      </c>
      <c r="I171" s="9">
        <v>1</v>
      </c>
      <c r="J171" s="9">
        <v>0</v>
      </c>
      <c r="K171" s="9">
        <v>21</v>
      </c>
      <c r="L171" s="9">
        <f t="shared" si="3"/>
        <v>441</v>
      </c>
      <c r="M171" s="9">
        <v>0</v>
      </c>
      <c r="N171" s="9">
        <v>0</v>
      </c>
      <c r="O171" s="9">
        <v>0</v>
      </c>
      <c r="P171" s="9">
        <v>5</v>
      </c>
      <c r="Q171" s="9">
        <f t="shared" si="4"/>
        <v>25</v>
      </c>
      <c r="R171" s="10">
        <f t="shared" si="5"/>
        <v>1.6094379124341003</v>
      </c>
      <c r="S171" s="5"/>
      <c r="T171" s="5"/>
    </row>
    <row r="172" spans="1:20" ht="45.75" customHeight="1" x14ac:dyDescent="0.3">
      <c r="A172" s="6">
        <v>1500000</v>
      </c>
      <c r="B172" s="7">
        <f t="shared" si="0"/>
        <v>2250000000000</v>
      </c>
      <c r="C172" s="8">
        <f t="shared" si="1"/>
        <v>14.220975666072439</v>
      </c>
      <c r="D172" s="9">
        <f t="shared" si="2"/>
        <v>1500</v>
      </c>
      <c r="E172" s="9">
        <v>1</v>
      </c>
      <c r="F172" s="9">
        <v>0</v>
      </c>
      <c r="G172" s="9">
        <v>1</v>
      </c>
      <c r="H172" s="9">
        <v>0</v>
      </c>
      <c r="I172" s="9">
        <v>0</v>
      </c>
      <c r="J172" s="9">
        <v>0</v>
      </c>
      <c r="K172" s="9">
        <v>30</v>
      </c>
      <c r="L172" s="9">
        <f t="shared" si="3"/>
        <v>900</v>
      </c>
      <c r="M172" s="9">
        <v>1</v>
      </c>
      <c r="N172" s="9">
        <v>1</v>
      </c>
      <c r="O172" s="9">
        <v>1</v>
      </c>
      <c r="P172" s="9">
        <v>8.3333333300000006E-2</v>
      </c>
      <c r="Q172" s="9">
        <f t="shared" si="4"/>
        <v>6.9444444388888898E-3</v>
      </c>
      <c r="R172" s="10">
        <f t="shared" si="5"/>
        <v>-2.4849066501880004</v>
      </c>
      <c r="S172" s="5"/>
      <c r="T172" s="5"/>
    </row>
    <row r="173" spans="1:20" ht="45.75" customHeight="1" x14ac:dyDescent="0.3">
      <c r="A173" s="6">
        <v>2500000</v>
      </c>
      <c r="B173" s="7">
        <f t="shared" si="0"/>
        <v>6250000000000</v>
      </c>
      <c r="C173" s="8">
        <f t="shared" si="1"/>
        <v>14.73180128983843</v>
      </c>
      <c r="D173" s="9">
        <f t="shared" si="2"/>
        <v>2500</v>
      </c>
      <c r="E173" s="9">
        <v>0</v>
      </c>
      <c r="F173" s="9">
        <v>0</v>
      </c>
      <c r="G173" s="9">
        <v>0</v>
      </c>
      <c r="H173" s="9">
        <v>1</v>
      </c>
      <c r="I173" s="9">
        <v>0</v>
      </c>
      <c r="J173" s="9">
        <v>1</v>
      </c>
      <c r="K173" s="9">
        <v>24</v>
      </c>
      <c r="L173" s="9">
        <f t="shared" si="3"/>
        <v>576</v>
      </c>
      <c r="M173" s="9">
        <v>0</v>
      </c>
      <c r="N173" s="9">
        <v>0</v>
      </c>
      <c r="O173" s="9">
        <v>0</v>
      </c>
      <c r="P173" s="9">
        <v>6</v>
      </c>
      <c r="Q173" s="9">
        <f t="shared" si="4"/>
        <v>36</v>
      </c>
      <c r="R173" s="10">
        <f t="shared" si="5"/>
        <v>1.791759469228055</v>
      </c>
      <c r="S173" s="5"/>
      <c r="T173" s="5"/>
    </row>
    <row r="174" spans="1:20" ht="45.75" customHeight="1" x14ac:dyDescent="0.3">
      <c r="A174" s="6">
        <v>1100000</v>
      </c>
      <c r="B174" s="7">
        <f t="shared" si="0"/>
        <v>1210000000000</v>
      </c>
      <c r="C174" s="8">
        <f t="shared" si="1"/>
        <v>13.910820737768599</v>
      </c>
      <c r="D174" s="9">
        <f t="shared" si="2"/>
        <v>1100</v>
      </c>
      <c r="E174" s="9">
        <v>0</v>
      </c>
      <c r="F174" s="9">
        <v>0</v>
      </c>
      <c r="G174" s="9">
        <v>1</v>
      </c>
      <c r="H174" s="9">
        <v>0</v>
      </c>
      <c r="I174" s="9">
        <v>0</v>
      </c>
      <c r="J174" s="9">
        <v>1</v>
      </c>
      <c r="K174" s="9">
        <v>28</v>
      </c>
      <c r="L174" s="9">
        <f t="shared" si="3"/>
        <v>784</v>
      </c>
      <c r="M174" s="9">
        <v>0</v>
      </c>
      <c r="N174" s="9">
        <v>0</v>
      </c>
      <c r="O174" s="9">
        <v>0</v>
      </c>
      <c r="P174" s="9">
        <v>4.5</v>
      </c>
      <c r="Q174" s="9">
        <f t="shared" si="4"/>
        <v>20.25</v>
      </c>
      <c r="R174" s="10">
        <f t="shared" si="5"/>
        <v>1.5040773967762742</v>
      </c>
      <c r="S174" s="5"/>
      <c r="T174" s="5"/>
    </row>
    <row r="175" spans="1:20" ht="45.75" customHeight="1" x14ac:dyDescent="0.3">
      <c r="A175" s="6">
        <v>1000000</v>
      </c>
      <c r="B175" s="7">
        <f t="shared" si="0"/>
        <v>1000000000000</v>
      </c>
      <c r="C175" s="8">
        <f t="shared" si="1"/>
        <v>13.815510557964274</v>
      </c>
      <c r="D175" s="9">
        <f t="shared" si="2"/>
        <v>1000</v>
      </c>
      <c r="E175" s="9">
        <v>1</v>
      </c>
      <c r="F175" s="9">
        <v>0</v>
      </c>
      <c r="G175" s="9">
        <v>1</v>
      </c>
      <c r="H175" s="9">
        <v>0</v>
      </c>
      <c r="I175" s="9">
        <v>0</v>
      </c>
      <c r="J175" s="9">
        <v>0</v>
      </c>
      <c r="K175" s="9">
        <v>18</v>
      </c>
      <c r="L175" s="9">
        <f t="shared" si="3"/>
        <v>324</v>
      </c>
      <c r="M175" s="9">
        <v>0</v>
      </c>
      <c r="N175" s="9">
        <v>0</v>
      </c>
      <c r="O175" s="9">
        <v>0</v>
      </c>
      <c r="P175" s="9">
        <v>0.5</v>
      </c>
      <c r="Q175" s="9">
        <f t="shared" si="4"/>
        <v>0.25</v>
      </c>
      <c r="R175" s="10">
        <f t="shared" si="5"/>
        <v>-0.69314718055994529</v>
      </c>
      <c r="S175" s="5"/>
      <c r="T175" s="5"/>
    </row>
    <row r="176" spans="1:20" ht="45.75" customHeight="1" x14ac:dyDescent="0.3">
      <c r="A176" s="6">
        <v>908000</v>
      </c>
      <c r="B176" s="7">
        <f t="shared" si="0"/>
        <v>824464000000</v>
      </c>
      <c r="C176" s="8">
        <f t="shared" si="1"/>
        <v>13.71899965758343</v>
      </c>
      <c r="D176" s="9">
        <f t="shared" si="2"/>
        <v>908</v>
      </c>
      <c r="E176" s="9">
        <v>1</v>
      </c>
      <c r="F176" s="9">
        <v>0</v>
      </c>
      <c r="G176" s="9">
        <v>1</v>
      </c>
      <c r="H176" s="9">
        <v>0</v>
      </c>
      <c r="I176" s="9">
        <v>0</v>
      </c>
      <c r="J176" s="9">
        <v>0</v>
      </c>
      <c r="K176" s="9">
        <v>22</v>
      </c>
      <c r="L176" s="9">
        <f t="shared" si="3"/>
        <v>484</v>
      </c>
      <c r="M176" s="9">
        <v>1</v>
      </c>
      <c r="N176" s="9">
        <v>0</v>
      </c>
      <c r="O176" s="9">
        <v>0</v>
      </c>
      <c r="P176" s="9">
        <v>2</v>
      </c>
      <c r="Q176" s="9">
        <f t="shared" si="4"/>
        <v>4</v>
      </c>
      <c r="R176" s="10">
        <f t="shared" si="5"/>
        <v>0.69314718055994529</v>
      </c>
      <c r="S176" s="5"/>
      <c r="T176" s="5"/>
    </row>
    <row r="177" spans="1:20" ht="45.75" customHeight="1" x14ac:dyDescent="0.3">
      <c r="A177" s="6">
        <v>908000</v>
      </c>
      <c r="B177" s="7">
        <f t="shared" si="0"/>
        <v>824464000000</v>
      </c>
      <c r="C177" s="8">
        <f t="shared" si="1"/>
        <v>13.71899965758343</v>
      </c>
      <c r="D177" s="9">
        <f t="shared" si="2"/>
        <v>908</v>
      </c>
      <c r="E177" s="9">
        <v>1</v>
      </c>
      <c r="F177" s="9">
        <v>0</v>
      </c>
      <c r="G177" s="9">
        <v>0</v>
      </c>
      <c r="H177" s="9">
        <v>1</v>
      </c>
      <c r="I177" s="9">
        <v>1</v>
      </c>
      <c r="J177" s="9">
        <v>1</v>
      </c>
      <c r="K177" s="9">
        <v>24</v>
      </c>
      <c r="L177" s="9">
        <f t="shared" si="3"/>
        <v>576</v>
      </c>
      <c r="M177" s="9">
        <v>1</v>
      </c>
      <c r="N177" s="9">
        <v>0</v>
      </c>
      <c r="O177" s="9">
        <v>0</v>
      </c>
      <c r="P177" s="9">
        <v>8.3333333300000006E-2</v>
      </c>
      <c r="Q177" s="9">
        <f t="shared" si="4"/>
        <v>6.9444444388888898E-3</v>
      </c>
      <c r="R177" s="10">
        <f t="shared" si="5"/>
        <v>-2.4849066501880004</v>
      </c>
      <c r="S177" s="5"/>
      <c r="T177" s="5"/>
    </row>
    <row r="178" spans="1:20" ht="45.75" customHeight="1" x14ac:dyDescent="0.3">
      <c r="A178" s="6">
        <v>1000000</v>
      </c>
      <c r="B178" s="7">
        <f t="shared" si="0"/>
        <v>1000000000000</v>
      </c>
      <c r="C178" s="8">
        <f t="shared" si="1"/>
        <v>13.815510557964274</v>
      </c>
      <c r="D178" s="9">
        <f t="shared" si="2"/>
        <v>1000</v>
      </c>
      <c r="E178" s="9">
        <v>0</v>
      </c>
      <c r="F178" s="9">
        <v>0</v>
      </c>
      <c r="G178" s="9">
        <v>1</v>
      </c>
      <c r="H178" s="9">
        <v>0</v>
      </c>
      <c r="I178" s="9">
        <v>0</v>
      </c>
      <c r="J178" s="9">
        <v>0</v>
      </c>
      <c r="K178" s="9">
        <v>21</v>
      </c>
      <c r="L178" s="9">
        <f t="shared" si="3"/>
        <v>441</v>
      </c>
      <c r="M178" s="9">
        <v>0</v>
      </c>
      <c r="N178" s="9">
        <v>0</v>
      </c>
      <c r="O178" s="9">
        <v>0</v>
      </c>
      <c r="P178" s="9">
        <v>2</v>
      </c>
      <c r="Q178" s="9">
        <f t="shared" si="4"/>
        <v>4</v>
      </c>
      <c r="R178" s="10">
        <f t="shared" si="5"/>
        <v>0.69314718055994529</v>
      </c>
      <c r="S178" s="5"/>
      <c r="T178" s="5"/>
    </row>
    <row r="179" spans="1:20" ht="45.75" customHeight="1" x14ac:dyDescent="0.3">
      <c r="A179" s="6">
        <v>1800000</v>
      </c>
      <c r="B179" s="7">
        <f t="shared" si="0"/>
        <v>3240000000000</v>
      </c>
      <c r="C179" s="8">
        <f t="shared" si="1"/>
        <v>14.403297222866392</v>
      </c>
      <c r="D179" s="9">
        <f t="shared" si="2"/>
        <v>1800</v>
      </c>
      <c r="E179" s="9">
        <v>1</v>
      </c>
      <c r="F179" s="9">
        <v>0</v>
      </c>
      <c r="G179" s="9">
        <v>0</v>
      </c>
      <c r="H179" s="9">
        <v>1</v>
      </c>
      <c r="I179" s="9">
        <v>0</v>
      </c>
      <c r="J179" s="9">
        <v>1</v>
      </c>
      <c r="K179" s="9">
        <v>25</v>
      </c>
      <c r="L179" s="9">
        <f t="shared" si="3"/>
        <v>625</v>
      </c>
      <c r="M179" s="9">
        <v>0</v>
      </c>
      <c r="N179" s="9">
        <v>0</v>
      </c>
      <c r="O179" s="9">
        <v>0</v>
      </c>
      <c r="P179" s="9">
        <v>4</v>
      </c>
      <c r="Q179" s="9">
        <f t="shared" si="4"/>
        <v>16</v>
      </c>
      <c r="R179" s="10">
        <f t="shared" si="5"/>
        <v>1.3862943611198906</v>
      </c>
      <c r="S179" s="5"/>
      <c r="T179" s="5"/>
    </row>
    <row r="180" spans="1:20" ht="45.75" customHeight="1" x14ac:dyDescent="0.3">
      <c r="A180" s="6">
        <v>5000000</v>
      </c>
      <c r="B180" s="7">
        <f t="shared" si="0"/>
        <v>25000000000000</v>
      </c>
      <c r="C180" s="8">
        <f t="shared" si="1"/>
        <v>15.424948470398375</v>
      </c>
      <c r="D180" s="9">
        <f t="shared" si="2"/>
        <v>5000</v>
      </c>
      <c r="E180" s="9">
        <v>0</v>
      </c>
      <c r="F180" s="9">
        <v>0</v>
      </c>
      <c r="G180" s="9">
        <v>0</v>
      </c>
      <c r="H180" s="9">
        <v>1</v>
      </c>
      <c r="I180" s="9">
        <v>1</v>
      </c>
      <c r="J180" s="9">
        <v>0</v>
      </c>
      <c r="K180" s="9">
        <v>38</v>
      </c>
      <c r="L180" s="9">
        <f t="shared" si="3"/>
        <v>1444</v>
      </c>
      <c r="M180" s="9">
        <v>0</v>
      </c>
      <c r="N180" s="9">
        <v>0</v>
      </c>
      <c r="O180" s="9">
        <v>0</v>
      </c>
      <c r="P180" s="9">
        <v>1</v>
      </c>
      <c r="Q180" s="9">
        <f t="shared" si="4"/>
        <v>1</v>
      </c>
      <c r="R180" s="10">
        <f t="shared" si="5"/>
        <v>0</v>
      </c>
      <c r="S180" s="5"/>
      <c r="T180" s="5"/>
    </row>
    <row r="181" spans="1:20" ht="45.75" customHeight="1" x14ac:dyDescent="0.3">
      <c r="A181" s="6">
        <v>2500000</v>
      </c>
      <c r="B181" s="7">
        <f t="shared" si="0"/>
        <v>6250000000000</v>
      </c>
      <c r="C181" s="8">
        <f t="shared" si="1"/>
        <v>14.73180128983843</v>
      </c>
      <c r="D181" s="9">
        <f t="shared" si="2"/>
        <v>2500</v>
      </c>
      <c r="E181" s="9">
        <v>1</v>
      </c>
      <c r="F181" s="9">
        <v>0</v>
      </c>
      <c r="G181" s="9">
        <v>1</v>
      </c>
      <c r="H181" s="9">
        <v>0</v>
      </c>
      <c r="I181" s="9">
        <v>0</v>
      </c>
      <c r="J181" s="9">
        <v>1</v>
      </c>
      <c r="K181" s="9">
        <v>22</v>
      </c>
      <c r="L181" s="9">
        <f t="shared" si="3"/>
        <v>484</v>
      </c>
      <c r="M181" s="9">
        <v>0</v>
      </c>
      <c r="N181" s="9">
        <v>0</v>
      </c>
      <c r="O181" s="9">
        <v>0</v>
      </c>
      <c r="P181" s="9">
        <v>2</v>
      </c>
      <c r="Q181" s="9">
        <f t="shared" si="4"/>
        <v>4</v>
      </c>
      <c r="R181" s="10">
        <f t="shared" si="5"/>
        <v>0.69314718055994529</v>
      </c>
      <c r="S181" s="5"/>
      <c r="T181" s="5"/>
    </row>
    <row r="182" spans="1:20" ht="45.75" customHeight="1" x14ac:dyDescent="0.3">
      <c r="A182" s="6">
        <v>2500000</v>
      </c>
      <c r="B182" s="7">
        <f t="shared" si="0"/>
        <v>6250000000000</v>
      </c>
      <c r="C182" s="8">
        <f t="shared" si="1"/>
        <v>14.73180128983843</v>
      </c>
      <c r="D182" s="9">
        <f t="shared" si="2"/>
        <v>2500</v>
      </c>
      <c r="E182" s="9">
        <v>0</v>
      </c>
      <c r="F182" s="9">
        <v>0</v>
      </c>
      <c r="G182" s="9">
        <v>0</v>
      </c>
      <c r="H182" s="9">
        <v>1</v>
      </c>
      <c r="I182" s="9">
        <v>1</v>
      </c>
      <c r="J182" s="9">
        <v>1</v>
      </c>
      <c r="K182" s="9">
        <v>25</v>
      </c>
      <c r="L182" s="9">
        <f t="shared" si="3"/>
        <v>625</v>
      </c>
      <c r="M182" s="9">
        <v>0</v>
      </c>
      <c r="N182" s="9">
        <v>0</v>
      </c>
      <c r="O182" s="9">
        <v>0</v>
      </c>
      <c r="P182" s="9">
        <v>0.16666666669999999</v>
      </c>
      <c r="Q182" s="9">
        <f t="shared" si="4"/>
        <v>2.7777777788888888E-2</v>
      </c>
      <c r="R182" s="10">
        <f t="shared" si="5"/>
        <v>-1.7917594690280549</v>
      </c>
      <c r="S182" s="5"/>
      <c r="T182" s="5"/>
    </row>
    <row r="183" spans="1:20" ht="45.75" customHeight="1" x14ac:dyDescent="0.3">
      <c r="A183" s="6">
        <v>908000</v>
      </c>
      <c r="B183" s="7">
        <f t="shared" si="0"/>
        <v>824464000000</v>
      </c>
      <c r="C183" s="8">
        <f t="shared" si="1"/>
        <v>13.71899965758343</v>
      </c>
      <c r="D183" s="9">
        <f t="shared" si="2"/>
        <v>908</v>
      </c>
      <c r="E183" s="9">
        <v>0</v>
      </c>
      <c r="F183" s="9">
        <v>0</v>
      </c>
      <c r="G183" s="9">
        <v>1</v>
      </c>
      <c r="H183" s="9">
        <v>0</v>
      </c>
      <c r="I183" s="9">
        <v>0</v>
      </c>
      <c r="J183" s="9">
        <v>0</v>
      </c>
      <c r="K183" s="9">
        <v>20</v>
      </c>
      <c r="L183" s="9">
        <f t="shared" si="3"/>
        <v>400</v>
      </c>
      <c r="M183" s="9">
        <v>0</v>
      </c>
      <c r="N183" s="9">
        <v>0</v>
      </c>
      <c r="O183" s="9">
        <v>0</v>
      </c>
      <c r="P183" s="9">
        <v>1</v>
      </c>
      <c r="Q183" s="9">
        <f t="shared" si="4"/>
        <v>1</v>
      </c>
      <c r="R183" s="10">
        <f t="shared" si="5"/>
        <v>0</v>
      </c>
      <c r="S183" s="5"/>
      <c r="T183" s="5"/>
    </row>
    <row r="184" spans="1:20" ht="45.75" customHeight="1" x14ac:dyDescent="0.3">
      <c r="A184" s="6">
        <v>2000000</v>
      </c>
      <c r="B184" s="7">
        <f t="shared" si="0"/>
        <v>4000000000000</v>
      </c>
      <c r="C184" s="8">
        <f t="shared" si="1"/>
        <v>14.508657738524219</v>
      </c>
      <c r="D184" s="9">
        <f t="shared" si="2"/>
        <v>2000</v>
      </c>
      <c r="E184" s="9">
        <v>0</v>
      </c>
      <c r="F184" s="9">
        <v>0</v>
      </c>
      <c r="G184" s="9">
        <v>1</v>
      </c>
      <c r="H184" s="9">
        <v>0</v>
      </c>
      <c r="I184" s="9">
        <v>1</v>
      </c>
      <c r="J184" s="9">
        <v>1</v>
      </c>
      <c r="K184" s="9">
        <v>50</v>
      </c>
      <c r="L184" s="9">
        <f t="shared" si="3"/>
        <v>2500</v>
      </c>
      <c r="M184" s="9">
        <v>1</v>
      </c>
      <c r="N184" s="9">
        <v>2</v>
      </c>
      <c r="O184" s="9">
        <v>1</v>
      </c>
      <c r="P184" s="9">
        <v>20</v>
      </c>
      <c r="Q184" s="9">
        <f t="shared" si="4"/>
        <v>400</v>
      </c>
      <c r="R184" s="10">
        <f t="shared" si="5"/>
        <v>2.9957322735539909</v>
      </c>
      <c r="S184" s="5"/>
      <c r="T184" s="5"/>
    </row>
    <row r="185" spans="1:20" ht="45.75" customHeight="1" x14ac:dyDescent="0.3">
      <c r="A185" s="6">
        <v>1500000</v>
      </c>
      <c r="B185" s="7">
        <f t="shared" si="0"/>
        <v>2250000000000</v>
      </c>
      <c r="C185" s="8">
        <f t="shared" si="1"/>
        <v>14.220975666072439</v>
      </c>
      <c r="D185" s="9">
        <f t="shared" si="2"/>
        <v>1500</v>
      </c>
      <c r="E185" s="9">
        <v>1</v>
      </c>
      <c r="F185" s="9">
        <v>1</v>
      </c>
      <c r="G185" s="9">
        <v>0</v>
      </c>
      <c r="H185" s="9">
        <v>0</v>
      </c>
      <c r="I185" s="9">
        <v>0</v>
      </c>
      <c r="J185" s="9">
        <v>1</v>
      </c>
      <c r="K185" s="9">
        <v>60</v>
      </c>
      <c r="L185" s="9">
        <f t="shared" si="3"/>
        <v>3600</v>
      </c>
      <c r="M185" s="9">
        <v>0</v>
      </c>
      <c r="N185" s="9">
        <v>0</v>
      </c>
      <c r="O185" s="9">
        <v>0</v>
      </c>
      <c r="P185" s="9">
        <v>13</v>
      </c>
      <c r="Q185" s="9">
        <f t="shared" si="4"/>
        <v>169</v>
      </c>
      <c r="R185" s="10">
        <f t="shared" si="5"/>
        <v>2.5649493574615367</v>
      </c>
      <c r="S185" s="5"/>
      <c r="T185" s="5"/>
    </row>
    <row r="186" spans="1:20" ht="45.75" customHeight="1" x14ac:dyDescent="0.3">
      <c r="A186" s="6">
        <v>1000000</v>
      </c>
      <c r="B186" s="7">
        <f t="shared" si="0"/>
        <v>1000000000000</v>
      </c>
      <c r="C186" s="8">
        <f t="shared" si="1"/>
        <v>13.815510557964274</v>
      </c>
      <c r="D186" s="9">
        <f t="shared" si="2"/>
        <v>1000</v>
      </c>
      <c r="E186" s="9">
        <v>1</v>
      </c>
      <c r="F186" s="9">
        <v>1</v>
      </c>
      <c r="G186" s="9">
        <v>0</v>
      </c>
      <c r="H186" s="9">
        <v>0</v>
      </c>
      <c r="I186" s="9">
        <v>0</v>
      </c>
      <c r="J186" s="9">
        <v>0</v>
      </c>
      <c r="K186" s="9">
        <v>30</v>
      </c>
      <c r="L186" s="9">
        <f t="shared" si="3"/>
        <v>900</v>
      </c>
      <c r="M186" s="9">
        <v>0</v>
      </c>
      <c r="N186" s="9">
        <v>0</v>
      </c>
      <c r="O186" s="9">
        <v>0</v>
      </c>
      <c r="P186" s="9">
        <v>1.5</v>
      </c>
      <c r="Q186" s="9">
        <f t="shared" si="4"/>
        <v>2.25</v>
      </c>
      <c r="R186" s="10">
        <f t="shared" si="5"/>
        <v>0.40546510810816438</v>
      </c>
      <c r="S186" s="5"/>
      <c r="T186" s="5"/>
    </row>
    <row r="187" spans="1:20" ht="45.75" customHeight="1" x14ac:dyDescent="0.3">
      <c r="A187" s="6">
        <v>1200000</v>
      </c>
      <c r="B187" s="7">
        <f t="shared" si="0"/>
        <v>1440000000000</v>
      </c>
      <c r="C187" s="8">
        <f t="shared" si="1"/>
        <v>13.997832114758229</v>
      </c>
      <c r="D187" s="9">
        <f t="shared" si="2"/>
        <v>1200</v>
      </c>
      <c r="E187" s="9">
        <v>1</v>
      </c>
      <c r="F187" s="9">
        <v>1</v>
      </c>
      <c r="G187" s="9">
        <v>0</v>
      </c>
      <c r="H187" s="9">
        <v>0</v>
      </c>
      <c r="I187" s="9">
        <v>0</v>
      </c>
      <c r="J187" s="9">
        <v>1</v>
      </c>
      <c r="K187" s="9">
        <v>24</v>
      </c>
      <c r="L187" s="9">
        <f t="shared" si="3"/>
        <v>576</v>
      </c>
      <c r="M187" s="9">
        <v>0</v>
      </c>
      <c r="N187" s="9">
        <v>0</v>
      </c>
      <c r="O187" s="9">
        <v>0</v>
      </c>
      <c r="P187" s="9">
        <v>1</v>
      </c>
      <c r="Q187" s="9">
        <f t="shared" si="4"/>
        <v>1</v>
      </c>
      <c r="R187" s="10">
        <f t="shared" si="5"/>
        <v>0</v>
      </c>
      <c r="S187" s="5"/>
      <c r="T187" s="5"/>
    </row>
    <row r="188" spans="1:20" ht="45.75" customHeight="1" x14ac:dyDescent="0.3">
      <c r="A188" s="6">
        <v>1500000</v>
      </c>
      <c r="B188" s="7">
        <f t="shared" si="0"/>
        <v>2250000000000</v>
      </c>
      <c r="C188" s="8">
        <f t="shared" si="1"/>
        <v>14.220975666072439</v>
      </c>
      <c r="D188" s="9">
        <f t="shared" si="2"/>
        <v>1500</v>
      </c>
      <c r="E188" s="9">
        <v>1</v>
      </c>
      <c r="F188" s="9">
        <v>1</v>
      </c>
      <c r="G188" s="9">
        <v>0</v>
      </c>
      <c r="H188" s="9">
        <v>0</v>
      </c>
      <c r="I188" s="9">
        <v>0</v>
      </c>
      <c r="J188" s="9">
        <v>1</v>
      </c>
      <c r="K188" s="9">
        <v>60</v>
      </c>
      <c r="L188" s="9">
        <f t="shared" si="3"/>
        <v>3600</v>
      </c>
      <c r="M188" s="9">
        <v>1</v>
      </c>
      <c r="N188" s="9">
        <v>5</v>
      </c>
      <c r="O188" s="9">
        <v>1</v>
      </c>
      <c r="P188" s="9">
        <v>10</v>
      </c>
      <c r="Q188" s="9">
        <f t="shared" si="4"/>
        <v>100</v>
      </c>
      <c r="R188" s="10">
        <f t="shared" si="5"/>
        <v>2.3025850929940459</v>
      </c>
      <c r="S188" s="5"/>
      <c r="T188" s="5"/>
    </row>
    <row r="189" spans="1:20" ht="45.75" customHeight="1" x14ac:dyDescent="0.3">
      <c r="A189" s="6">
        <v>1300000</v>
      </c>
      <c r="B189" s="7">
        <f t="shared" si="0"/>
        <v>1690000000000</v>
      </c>
      <c r="C189" s="8">
        <f t="shared" si="1"/>
        <v>14.077874822431765</v>
      </c>
      <c r="D189" s="9">
        <f t="shared" si="2"/>
        <v>1300</v>
      </c>
      <c r="E189" s="9">
        <v>1</v>
      </c>
      <c r="F189" s="9">
        <v>1</v>
      </c>
      <c r="G189" s="9">
        <v>0</v>
      </c>
      <c r="H189" s="9">
        <v>0</v>
      </c>
      <c r="I189" s="9">
        <v>0</v>
      </c>
      <c r="J189" s="9">
        <v>1</v>
      </c>
      <c r="K189" s="9">
        <v>32</v>
      </c>
      <c r="L189" s="9">
        <f t="shared" si="3"/>
        <v>1024</v>
      </c>
      <c r="M189" s="9">
        <v>1</v>
      </c>
      <c r="N189" s="9">
        <v>1</v>
      </c>
      <c r="O189" s="9">
        <v>1</v>
      </c>
      <c r="P189" s="9">
        <v>3</v>
      </c>
      <c r="Q189" s="9">
        <f t="shared" si="4"/>
        <v>9</v>
      </c>
      <c r="R189" s="10">
        <f t="shared" si="5"/>
        <v>1.0986122886681098</v>
      </c>
      <c r="S189" s="5"/>
      <c r="T189" s="5"/>
    </row>
    <row r="190" spans="1:20" ht="45.75" customHeight="1" x14ac:dyDescent="0.3">
      <c r="A190" s="6">
        <v>1100000</v>
      </c>
      <c r="B190" s="7">
        <f t="shared" si="0"/>
        <v>1210000000000</v>
      </c>
      <c r="C190" s="8">
        <f t="shared" si="1"/>
        <v>13.910820737768599</v>
      </c>
      <c r="D190" s="9">
        <f t="shared" si="2"/>
        <v>1100</v>
      </c>
      <c r="E190" s="9">
        <v>1</v>
      </c>
      <c r="F190" s="9">
        <v>0</v>
      </c>
      <c r="G190" s="9">
        <v>0</v>
      </c>
      <c r="H190" s="9">
        <v>1</v>
      </c>
      <c r="I190" s="9">
        <v>1</v>
      </c>
      <c r="J190" s="9">
        <v>1</v>
      </c>
      <c r="K190" s="9">
        <v>40</v>
      </c>
      <c r="L190" s="9">
        <f t="shared" si="3"/>
        <v>1600</v>
      </c>
      <c r="M190" s="9">
        <v>1</v>
      </c>
      <c r="N190" s="9">
        <v>1</v>
      </c>
      <c r="O190" s="9">
        <v>1</v>
      </c>
      <c r="P190" s="9">
        <v>1</v>
      </c>
      <c r="Q190" s="9">
        <f t="shared" si="4"/>
        <v>1</v>
      </c>
      <c r="R190" s="10">
        <f t="shared" si="5"/>
        <v>0</v>
      </c>
      <c r="S190" s="5"/>
      <c r="T190" s="5"/>
    </row>
    <row r="191" spans="1:20" ht="45.75" customHeight="1" x14ac:dyDescent="0.3">
      <c r="A191" s="6">
        <v>1015000</v>
      </c>
      <c r="B191" s="7">
        <f t="shared" si="0"/>
        <v>1030225000000</v>
      </c>
      <c r="C191" s="8">
        <f t="shared" si="1"/>
        <v>13.830399170458024</v>
      </c>
      <c r="D191" s="9">
        <f t="shared" si="2"/>
        <v>1015</v>
      </c>
      <c r="E191" s="9">
        <v>1</v>
      </c>
      <c r="F191" s="9">
        <v>0</v>
      </c>
      <c r="G191" s="9">
        <v>1</v>
      </c>
      <c r="H191" s="9">
        <v>0</v>
      </c>
      <c r="I191" s="9">
        <v>0</v>
      </c>
      <c r="J191" s="9">
        <v>1</v>
      </c>
      <c r="K191" s="9">
        <v>20</v>
      </c>
      <c r="L191" s="9">
        <f t="shared" si="3"/>
        <v>400</v>
      </c>
      <c r="M191" s="9">
        <v>0</v>
      </c>
      <c r="N191" s="9">
        <v>0</v>
      </c>
      <c r="O191" s="9">
        <v>0</v>
      </c>
      <c r="P191" s="9">
        <v>1</v>
      </c>
      <c r="Q191" s="9">
        <f t="shared" si="4"/>
        <v>1</v>
      </c>
      <c r="R191" s="10">
        <f t="shared" si="5"/>
        <v>0</v>
      </c>
      <c r="S191" s="5"/>
      <c r="T191" s="5"/>
    </row>
    <row r="192" spans="1:20" ht="45.75" customHeight="1" x14ac:dyDescent="0.3">
      <c r="A192" s="6">
        <v>4000000</v>
      </c>
      <c r="B192" s="7">
        <f t="shared" si="0"/>
        <v>16000000000000</v>
      </c>
      <c r="C192" s="8">
        <f t="shared" si="1"/>
        <v>15.201804919084164</v>
      </c>
      <c r="D192" s="9">
        <f t="shared" si="2"/>
        <v>4000</v>
      </c>
      <c r="E192" s="9">
        <v>0</v>
      </c>
      <c r="F192" s="9">
        <v>1</v>
      </c>
      <c r="G192" s="9">
        <v>0</v>
      </c>
      <c r="H192" s="9">
        <v>0</v>
      </c>
      <c r="I192" s="9">
        <v>1</v>
      </c>
      <c r="J192" s="9">
        <v>1</v>
      </c>
      <c r="K192" s="9">
        <v>56</v>
      </c>
      <c r="L192" s="9">
        <f t="shared" si="3"/>
        <v>3136</v>
      </c>
      <c r="M192" s="9">
        <v>1</v>
      </c>
      <c r="N192" s="9">
        <v>2</v>
      </c>
      <c r="O192" s="9">
        <v>1</v>
      </c>
      <c r="P192" s="9">
        <v>30</v>
      </c>
      <c r="Q192" s="9">
        <f t="shared" si="4"/>
        <v>900</v>
      </c>
      <c r="R192" s="10">
        <f t="shared" si="5"/>
        <v>3.4011973816621555</v>
      </c>
      <c r="S192" s="5"/>
      <c r="T192" s="5"/>
    </row>
    <row r="193" spans="1:20" ht="45.75" customHeight="1" x14ac:dyDescent="0.3">
      <c r="A193" s="6">
        <v>1000000</v>
      </c>
      <c r="B193" s="7">
        <f t="shared" si="0"/>
        <v>1000000000000</v>
      </c>
      <c r="C193" s="8">
        <f t="shared" si="1"/>
        <v>13.815510557964274</v>
      </c>
      <c r="D193" s="9">
        <f t="shared" si="2"/>
        <v>1000</v>
      </c>
      <c r="E193" s="9">
        <v>1</v>
      </c>
      <c r="F193" s="9">
        <v>0</v>
      </c>
      <c r="G193" s="9">
        <v>1</v>
      </c>
      <c r="H193" s="9">
        <v>0</v>
      </c>
      <c r="I193" s="9">
        <v>0</v>
      </c>
      <c r="J193" s="9">
        <v>0</v>
      </c>
      <c r="K193" s="9">
        <v>30</v>
      </c>
      <c r="L193" s="9">
        <f t="shared" si="3"/>
        <v>900</v>
      </c>
      <c r="M193" s="9">
        <v>1</v>
      </c>
      <c r="N193" s="9">
        <v>2</v>
      </c>
      <c r="O193" s="9">
        <v>1</v>
      </c>
      <c r="P193" s="9">
        <v>2.5</v>
      </c>
      <c r="Q193" s="9">
        <f t="shared" si="4"/>
        <v>6.25</v>
      </c>
      <c r="R193" s="10">
        <f t="shared" si="5"/>
        <v>0.91629073187415511</v>
      </c>
      <c r="S193" s="5"/>
      <c r="T193" s="5"/>
    </row>
    <row r="194" spans="1:20" ht="45.75" customHeight="1" x14ac:dyDescent="0.3">
      <c r="A194" s="6">
        <v>908000</v>
      </c>
      <c r="B194" s="7">
        <f t="shared" si="0"/>
        <v>824464000000</v>
      </c>
      <c r="C194" s="8">
        <f t="shared" si="1"/>
        <v>13.71899965758343</v>
      </c>
      <c r="D194" s="9">
        <f t="shared" si="2"/>
        <v>908</v>
      </c>
      <c r="E194" s="9">
        <v>0</v>
      </c>
      <c r="F194" s="9">
        <v>1</v>
      </c>
      <c r="G194" s="9">
        <v>0</v>
      </c>
      <c r="H194" s="9">
        <v>0</v>
      </c>
      <c r="I194" s="9">
        <v>0</v>
      </c>
      <c r="J194" s="9">
        <v>1</v>
      </c>
      <c r="K194" s="9">
        <v>34</v>
      </c>
      <c r="L194" s="9">
        <f t="shared" si="3"/>
        <v>1156</v>
      </c>
      <c r="M194" s="9">
        <v>0</v>
      </c>
      <c r="N194" s="9">
        <v>0</v>
      </c>
      <c r="O194" s="9">
        <v>0</v>
      </c>
      <c r="P194" s="9">
        <v>6</v>
      </c>
      <c r="Q194" s="9">
        <f t="shared" si="4"/>
        <v>36</v>
      </c>
      <c r="R194" s="10">
        <f t="shared" si="5"/>
        <v>1.791759469228055</v>
      </c>
      <c r="S194" s="5"/>
      <c r="T194" s="5"/>
    </row>
    <row r="195" spans="1:20" ht="45.75" customHeight="1" x14ac:dyDescent="0.3">
      <c r="A195" s="6">
        <v>908000</v>
      </c>
      <c r="B195" s="7">
        <f t="shared" si="0"/>
        <v>824464000000</v>
      </c>
      <c r="C195" s="8">
        <f t="shared" si="1"/>
        <v>13.71899965758343</v>
      </c>
      <c r="D195" s="9">
        <f t="shared" si="2"/>
        <v>908</v>
      </c>
      <c r="E195" s="9">
        <v>1</v>
      </c>
      <c r="F195" s="9">
        <v>1</v>
      </c>
      <c r="G195" s="9">
        <v>0</v>
      </c>
      <c r="H195" s="9">
        <v>0</v>
      </c>
      <c r="I195" s="9">
        <v>0</v>
      </c>
      <c r="J195" s="9">
        <v>1</v>
      </c>
      <c r="K195" s="9">
        <v>40</v>
      </c>
      <c r="L195" s="9">
        <f t="shared" si="3"/>
        <v>1600</v>
      </c>
      <c r="M195" s="9">
        <v>0</v>
      </c>
      <c r="N195" s="9">
        <v>2</v>
      </c>
      <c r="O195" s="9">
        <v>1</v>
      </c>
      <c r="P195" s="9">
        <v>3</v>
      </c>
      <c r="Q195" s="9">
        <f t="shared" si="4"/>
        <v>9</v>
      </c>
      <c r="R195" s="10">
        <f t="shared" si="5"/>
        <v>1.0986122886681098</v>
      </c>
      <c r="S195" s="5"/>
      <c r="T195" s="5"/>
    </row>
    <row r="196" spans="1:20" ht="45.75" customHeight="1" x14ac:dyDescent="0.3">
      <c r="A196" s="6">
        <v>800000</v>
      </c>
      <c r="B196" s="7">
        <f t="shared" si="0"/>
        <v>640000000000</v>
      </c>
      <c r="C196" s="8">
        <f t="shared" si="1"/>
        <v>13.592367006650065</v>
      </c>
      <c r="D196" s="9">
        <f t="shared" si="2"/>
        <v>800</v>
      </c>
      <c r="E196" s="9">
        <v>1</v>
      </c>
      <c r="F196" s="9">
        <v>0</v>
      </c>
      <c r="G196" s="9">
        <v>1</v>
      </c>
      <c r="H196" s="9">
        <v>0</v>
      </c>
      <c r="I196" s="9">
        <v>0</v>
      </c>
      <c r="J196" s="9">
        <v>1</v>
      </c>
      <c r="K196" s="9">
        <v>39</v>
      </c>
      <c r="L196" s="9">
        <f t="shared" si="3"/>
        <v>1521</v>
      </c>
      <c r="M196" s="9">
        <v>0</v>
      </c>
      <c r="N196" s="9">
        <v>2</v>
      </c>
      <c r="O196" s="9">
        <v>1</v>
      </c>
      <c r="P196" s="9">
        <v>2</v>
      </c>
      <c r="Q196" s="9">
        <f t="shared" si="4"/>
        <v>4</v>
      </c>
      <c r="R196" s="10">
        <f t="shared" si="5"/>
        <v>0.69314718055994529</v>
      </c>
      <c r="S196" s="5"/>
      <c r="T196" s="5"/>
    </row>
    <row r="197" spans="1:20" ht="45.75" customHeight="1" x14ac:dyDescent="0.3">
      <c r="A197" s="6">
        <v>3000000</v>
      </c>
      <c r="B197" s="7">
        <f t="shared" si="0"/>
        <v>9000000000000</v>
      </c>
      <c r="C197" s="8">
        <f t="shared" si="1"/>
        <v>14.914122846632385</v>
      </c>
      <c r="D197" s="9">
        <f t="shared" si="2"/>
        <v>3000</v>
      </c>
      <c r="E197" s="9">
        <v>0</v>
      </c>
      <c r="F197" s="9">
        <v>0</v>
      </c>
      <c r="G197" s="9">
        <v>1</v>
      </c>
      <c r="H197" s="9">
        <v>0</v>
      </c>
      <c r="I197" s="9">
        <v>0</v>
      </c>
      <c r="J197" s="9">
        <v>1</v>
      </c>
      <c r="K197" s="9">
        <v>45</v>
      </c>
      <c r="L197" s="9">
        <f t="shared" si="3"/>
        <v>2025</v>
      </c>
      <c r="M197" s="9">
        <v>1</v>
      </c>
      <c r="N197" s="9">
        <v>4</v>
      </c>
      <c r="O197" s="9">
        <v>1</v>
      </c>
      <c r="P197" s="9">
        <v>12</v>
      </c>
      <c r="Q197" s="9">
        <f t="shared" si="4"/>
        <v>144</v>
      </c>
      <c r="R197" s="10">
        <f t="shared" si="5"/>
        <v>2.4849066497880004</v>
      </c>
      <c r="S197" s="5"/>
      <c r="T197" s="5"/>
    </row>
    <row r="198" spans="1:20" ht="45.75" customHeight="1" x14ac:dyDescent="0.3">
      <c r="A198" s="6">
        <v>3000000</v>
      </c>
      <c r="B198" s="7">
        <f t="shared" si="0"/>
        <v>9000000000000</v>
      </c>
      <c r="C198" s="8">
        <f t="shared" si="1"/>
        <v>14.914122846632385</v>
      </c>
      <c r="D198" s="9">
        <f t="shared" si="2"/>
        <v>3000</v>
      </c>
      <c r="E198" s="9">
        <v>0</v>
      </c>
      <c r="F198" s="9">
        <v>0</v>
      </c>
      <c r="G198" s="9">
        <v>0</v>
      </c>
      <c r="H198" s="9">
        <v>1</v>
      </c>
      <c r="I198" s="9">
        <v>1</v>
      </c>
      <c r="J198" s="9">
        <v>0</v>
      </c>
      <c r="K198" s="9">
        <v>57</v>
      </c>
      <c r="L198" s="9">
        <f t="shared" si="3"/>
        <v>3249</v>
      </c>
      <c r="M198" s="9">
        <v>0</v>
      </c>
      <c r="N198" s="9">
        <v>2</v>
      </c>
      <c r="O198" s="9">
        <v>1</v>
      </c>
      <c r="P198" s="9">
        <v>30</v>
      </c>
      <c r="Q198" s="9">
        <f t="shared" si="4"/>
        <v>900</v>
      </c>
      <c r="R198" s="10">
        <f t="shared" si="5"/>
        <v>3.4011973816621555</v>
      </c>
      <c r="S198" s="5"/>
      <c r="T198" s="5"/>
    </row>
    <row r="199" spans="1:20" ht="45.75" customHeight="1" x14ac:dyDescent="0.3">
      <c r="A199" s="6">
        <v>2500000</v>
      </c>
      <c r="B199" s="7">
        <f t="shared" si="0"/>
        <v>6250000000000</v>
      </c>
      <c r="C199" s="8">
        <f t="shared" si="1"/>
        <v>14.73180128983843</v>
      </c>
      <c r="D199" s="9">
        <f t="shared" si="2"/>
        <v>2500</v>
      </c>
      <c r="E199" s="9">
        <v>1</v>
      </c>
      <c r="F199" s="9">
        <v>1</v>
      </c>
      <c r="G199" s="9">
        <v>0</v>
      </c>
      <c r="H199" s="9">
        <v>0</v>
      </c>
      <c r="I199" s="9">
        <v>1</v>
      </c>
      <c r="J199" s="9">
        <v>1</v>
      </c>
      <c r="K199" s="9">
        <v>78</v>
      </c>
      <c r="L199" s="9">
        <f t="shared" si="3"/>
        <v>6084</v>
      </c>
      <c r="M199" s="9">
        <v>0</v>
      </c>
      <c r="N199" s="9">
        <v>2</v>
      </c>
      <c r="O199" s="9">
        <v>1</v>
      </c>
      <c r="P199" s="9">
        <v>40</v>
      </c>
      <c r="Q199" s="9">
        <f t="shared" si="4"/>
        <v>1600</v>
      </c>
      <c r="R199" s="10">
        <f t="shared" si="5"/>
        <v>3.6888794541139363</v>
      </c>
      <c r="S199" s="5"/>
      <c r="T199" s="5"/>
    </row>
    <row r="200" spans="1:20" ht="45.75" customHeight="1" x14ac:dyDescent="0.3">
      <c r="A200" s="6">
        <v>2500000</v>
      </c>
      <c r="B200" s="7">
        <f t="shared" si="0"/>
        <v>6250000000000</v>
      </c>
      <c r="C200" s="8">
        <f t="shared" si="1"/>
        <v>14.73180128983843</v>
      </c>
      <c r="D200" s="9">
        <f t="shared" si="2"/>
        <v>2500</v>
      </c>
      <c r="E200" s="9">
        <v>1</v>
      </c>
      <c r="F200" s="9">
        <v>1</v>
      </c>
      <c r="G200" s="9">
        <v>0</v>
      </c>
      <c r="H200" s="9">
        <v>0</v>
      </c>
      <c r="I200" s="9">
        <v>0</v>
      </c>
      <c r="J200" s="9">
        <v>1</v>
      </c>
      <c r="K200" s="9">
        <v>43</v>
      </c>
      <c r="L200" s="9">
        <f t="shared" si="3"/>
        <v>1849</v>
      </c>
      <c r="M200" s="9">
        <v>1</v>
      </c>
      <c r="N200" s="9">
        <v>3</v>
      </c>
      <c r="O200" s="9">
        <v>1</v>
      </c>
      <c r="P200" s="9">
        <v>35</v>
      </c>
      <c r="Q200" s="9">
        <f t="shared" si="4"/>
        <v>1225</v>
      </c>
      <c r="R200" s="10">
        <f t="shared" si="5"/>
        <v>3.5553480614894135</v>
      </c>
      <c r="S200" s="5"/>
      <c r="T200" s="5"/>
    </row>
    <row r="201" spans="1:20" ht="45.75" customHeight="1" x14ac:dyDescent="0.3">
      <c r="A201" s="6">
        <v>1000000</v>
      </c>
      <c r="B201" s="7">
        <f t="shared" si="0"/>
        <v>1000000000000</v>
      </c>
      <c r="C201" s="8">
        <f t="shared" si="1"/>
        <v>13.815510557964274</v>
      </c>
      <c r="D201" s="9">
        <f t="shared" si="2"/>
        <v>1000</v>
      </c>
      <c r="E201" s="9">
        <v>1</v>
      </c>
      <c r="F201" s="9">
        <v>0</v>
      </c>
      <c r="G201" s="9">
        <v>1</v>
      </c>
      <c r="H201" s="9">
        <v>0</v>
      </c>
      <c r="I201" s="9">
        <v>0</v>
      </c>
      <c r="J201" s="9">
        <v>0</v>
      </c>
      <c r="K201" s="9">
        <v>20</v>
      </c>
      <c r="L201" s="9">
        <f t="shared" si="3"/>
        <v>400</v>
      </c>
      <c r="M201" s="9">
        <v>0</v>
      </c>
      <c r="N201" s="9">
        <v>0</v>
      </c>
      <c r="O201" s="9">
        <v>0</v>
      </c>
      <c r="P201" s="9">
        <v>5</v>
      </c>
      <c r="Q201" s="9">
        <f t="shared" si="4"/>
        <v>25</v>
      </c>
      <c r="R201" s="10">
        <f t="shared" si="5"/>
        <v>1.6094379124341003</v>
      </c>
      <c r="S201" s="5"/>
      <c r="T201" s="5"/>
    </row>
    <row r="202" spans="1:20" ht="45.75" customHeight="1" x14ac:dyDescent="0.3">
      <c r="A202" s="6">
        <v>2000000</v>
      </c>
      <c r="B202" s="7">
        <f t="shared" si="0"/>
        <v>4000000000000</v>
      </c>
      <c r="C202" s="8">
        <f t="shared" si="1"/>
        <v>14.508657738524219</v>
      </c>
      <c r="D202" s="9">
        <f t="shared" si="2"/>
        <v>2000</v>
      </c>
      <c r="E202" s="9">
        <v>1</v>
      </c>
      <c r="F202" s="9">
        <v>1</v>
      </c>
      <c r="G202" s="9">
        <v>0</v>
      </c>
      <c r="H202" s="9">
        <v>0</v>
      </c>
      <c r="I202" s="9">
        <v>0</v>
      </c>
      <c r="J202" s="9">
        <v>1</v>
      </c>
      <c r="K202" s="9">
        <v>25</v>
      </c>
      <c r="L202" s="9">
        <f t="shared" si="3"/>
        <v>625</v>
      </c>
      <c r="M202" s="9">
        <v>0</v>
      </c>
      <c r="N202" s="9">
        <v>1</v>
      </c>
      <c r="O202" s="9">
        <v>1</v>
      </c>
      <c r="P202" s="9">
        <v>10</v>
      </c>
      <c r="Q202" s="9">
        <f t="shared" si="4"/>
        <v>100</v>
      </c>
      <c r="R202" s="10">
        <f t="shared" si="5"/>
        <v>2.3025850929940459</v>
      </c>
      <c r="S202" s="5"/>
      <c r="T202" s="5"/>
    </row>
    <row r="203" spans="1:20" ht="45.75" customHeight="1" x14ac:dyDescent="0.3">
      <c r="A203" s="6">
        <v>2000000</v>
      </c>
      <c r="B203" s="7">
        <f t="shared" si="0"/>
        <v>4000000000000</v>
      </c>
      <c r="C203" s="8">
        <f t="shared" si="1"/>
        <v>14.508657738524219</v>
      </c>
      <c r="D203" s="9">
        <f t="shared" si="2"/>
        <v>2000</v>
      </c>
      <c r="E203" s="9">
        <v>0</v>
      </c>
      <c r="F203" s="9">
        <v>1</v>
      </c>
      <c r="G203" s="9">
        <v>0</v>
      </c>
      <c r="H203" s="9">
        <v>0</v>
      </c>
      <c r="I203" s="9">
        <v>0</v>
      </c>
      <c r="J203" s="9">
        <v>1</v>
      </c>
      <c r="K203" s="9">
        <v>41</v>
      </c>
      <c r="L203" s="9">
        <f t="shared" si="3"/>
        <v>1681</v>
      </c>
      <c r="M203" s="9">
        <v>0</v>
      </c>
      <c r="N203" s="9">
        <v>2</v>
      </c>
      <c r="O203" s="9">
        <v>1</v>
      </c>
      <c r="P203" s="9">
        <v>25</v>
      </c>
      <c r="Q203" s="9">
        <f t="shared" si="4"/>
        <v>625</v>
      </c>
      <c r="R203" s="10">
        <f t="shared" si="5"/>
        <v>3.2188758248682006</v>
      </c>
      <c r="S203" s="5"/>
      <c r="T203" s="5"/>
    </row>
    <row r="204" spans="1:20" ht="45.75" customHeight="1" x14ac:dyDescent="0.3">
      <c r="A204" s="6">
        <v>3000000</v>
      </c>
      <c r="B204" s="7">
        <f t="shared" si="0"/>
        <v>9000000000000</v>
      </c>
      <c r="C204" s="8">
        <f t="shared" si="1"/>
        <v>14.914122846632385</v>
      </c>
      <c r="D204" s="9">
        <f t="shared" si="2"/>
        <v>3000</v>
      </c>
      <c r="E204" s="9">
        <v>0</v>
      </c>
      <c r="F204" s="9">
        <v>0</v>
      </c>
      <c r="G204" s="9">
        <v>1</v>
      </c>
      <c r="H204" s="9">
        <v>0</v>
      </c>
      <c r="I204" s="9">
        <v>0</v>
      </c>
      <c r="J204" s="9">
        <v>0</v>
      </c>
      <c r="K204" s="9">
        <v>45</v>
      </c>
      <c r="L204" s="9">
        <f t="shared" si="3"/>
        <v>2025</v>
      </c>
      <c r="M204" s="9">
        <v>1</v>
      </c>
      <c r="N204" s="9">
        <v>3</v>
      </c>
      <c r="O204" s="9">
        <v>1</v>
      </c>
      <c r="P204" s="9">
        <v>20</v>
      </c>
      <c r="Q204" s="9">
        <f t="shared" si="4"/>
        <v>400</v>
      </c>
      <c r="R204" s="10">
        <f t="shared" si="5"/>
        <v>2.9957322735539909</v>
      </c>
      <c r="S204" s="5"/>
      <c r="T204" s="5"/>
    </row>
    <row r="205" spans="1:20" ht="45.75" customHeight="1" x14ac:dyDescent="0.3">
      <c r="A205" s="6">
        <v>908000</v>
      </c>
      <c r="B205" s="7">
        <f t="shared" si="0"/>
        <v>824464000000</v>
      </c>
      <c r="C205" s="8">
        <f t="shared" si="1"/>
        <v>13.71899965758343</v>
      </c>
      <c r="D205" s="9">
        <f t="shared" si="2"/>
        <v>908</v>
      </c>
      <c r="E205" s="9">
        <v>1</v>
      </c>
      <c r="F205" s="9">
        <v>1</v>
      </c>
      <c r="G205" s="9">
        <v>0</v>
      </c>
      <c r="H205" s="9">
        <v>0</v>
      </c>
      <c r="I205" s="9">
        <v>1</v>
      </c>
      <c r="J205" s="9">
        <v>1</v>
      </c>
      <c r="K205" s="9">
        <v>55</v>
      </c>
      <c r="L205" s="9">
        <f t="shared" si="3"/>
        <v>3025</v>
      </c>
      <c r="M205" s="9">
        <v>1</v>
      </c>
      <c r="N205" s="9">
        <v>2</v>
      </c>
      <c r="O205" s="9">
        <v>1</v>
      </c>
      <c r="P205" s="9">
        <v>7</v>
      </c>
      <c r="Q205" s="9">
        <f t="shared" si="4"/>
        <v>49</v>
      </c>
      <c r="R205" s="10">
        <f t="shared" si="5"/>
        <v>1.9459101490553132</v>
      </c>
      <c r="S205" s="5"/>
      <c r="T205" s="5"/>
    </row>
    <row r="206" spans="1:20" ht="45.75" customHeight="1" x14ac:dyDescent="0.3">
      <c r="A206" s="6">
        <v>1500000</v>
      </c>
      <c r="B206" s="7">
        <f t="shared" si="0"/>
        <v>2250000000000</v>
      </c>
      <c r="C206" s="8">
        <f t="shared" si="1"/>
        <v>14.220975666072439</v>
      </c>
      <c r="D206" s="9">
        <f t="shared" si="2"/>
        <v>1500</v>
      </c>
      <c r="E206" s="9">
        <v>0</v>
      </c>
      <c r="F206" s="9">
        <v>0</v>
      </c>
      <c r="G206" s="9">
        <v>1</v>
      </c>
      <c r="H206" s="9">
        <v>0</v>
      </c>
      <c r="I206" s="9">
        <v>1</v>
      </c>
      <c r="J206" s="9">
        <v>1</v>
      </c>
      <c r="K206" s="9">
        <v>62</v>
      </c>
      <c r="L206" s="9">
        <f t="shared" si="3"/>
        <v>3844</v>
      </c>
      <c r="M206" s="9">
        <v>1</v>
      </c>
      <c r="N206" s="9">
        <v>3</v>
      </c>
      <c r="O206" s="9">
        <v>1</v>
      </c>
      <c r="P206" s="9">
        <v>40</v>
      </c>
      <c r="Q206" s="9">
        <f t="shared" si="4"/>
        <v>1600</v>
      </c>
      <c r="R206" s="10">
        <f t="shared" si="5"/>
        <v>3.6888794541139363</v>
      </c>
      <c r="S206" s="5"/>
      <c r="T206" s="5"/>
    </row>
    <row r="207" spans="1:20" ht="45.75" customHeight="1" x14ac:dyDescent="0.3">
      <c r="A207" s="6">
        <v>2000000</v>
      </c>
      <c r="B207" s="7">
        <f t="shared" si="0"/>
        <v>4000000000000</v>
      </c>
      <c r="C207" s="8">
        <f t="shared" si="1"/>
        <v>14.508657738524219</v>
      </c>
      <c r="D207" s="9">
        <f t="shared" si="2"/>
        <v>2000</v>
      </c>
      <c r="E207" s="9">
        <v>0</v>
      </c>
      <c r="F207" s="9">
        <v>0</v>
      </c>
      <c r="G207" s="9">
        <v>1</v>
      </c>
      <c r="H207" s="9">
        <v>0</v>
      </c>
      <c r="I207" s="9">
        <v>0</v>
      </c>
      <c r="J207" s="9">
        <v>1</v>
      </c>
      <c r="K207" s="9">
        <v>48</v>
      </c>
      <c r="L207" s="9">
        <f t="shared" si="3"/>
        <v>2304</v>
      </c>
      <c r="M207" s="9">
        <v>0</v>
      </c>
      <c r="N207" s="9">
        <v>5</v>
      </c>
      <c r="O207" s="9">
        <v>1</v>
      </c>
      <c r="P207" s="9">
        <v>10</v>
      </c>
      <c r="Q207" s="9">
        <f t="shared" si="4"/>
        <v>100</v>
      </c>
      <c r="R207" s="10">
        <f t="shared" si="5"/>
        <v>2.3025850929940459</v>
      </c>
      <c r="S207" s="5"/>
      <c r="T207" s="5"/>
    </row>
    <row r="208" spans="1:20" ht="45.75" customHeight="1" x14ac:dyDescent="0.3">
      <c r="A208" s="6">
        <v>4500000</v>
      </c>
      <c r="B208" s="7">
        <f t="shared" si="0"/>
        <v>20250000000000</v>
      </c>
      <c r="C208" s="8">
        <f t="shared" si="1"/>
        <v>15.319587954740548</v>
      </c>
      <c r="D208" s="9">
        <f t="shared" si="2"/>
        <v>4500</v>
      </c>
      <c r="E208" s="9">
        <v>1</v>
      </c>
      <c r="F208" s="9">
        <v>0</v>
      </c>
      <c r="G208" s="9">
        <v>0</v>
      </c>
      <c r="H208" s="9">
        <v>1</v>
      </c>
      <c r="I208" s="9">
        <v>1</v>
      </c>
      <c r="J208" s="9">
        <v>1</v>
      </c>
      <c r="K208" s="9">
        <v>38</v>
      </c>
      <c r="L208" s="9">
        <f t="shared" si="3"/>
        <v>1444</v>
      </c>
      <c r="M208" s="9">
        <v>0</v>
      </c>
      <c r="N208" s="9">
        <v>1</v>
      </c>
      <c r="O208" s="9">
        <v>1</v>
      </c>
      <c r="P208" s="9">
        <v>20</v>
      </c>
      <c r="Q208" s="9">
        <f t="shared" si="4"/>
        <v>400</v>
      </c>
      <c r="R208" s="10">
        <f t="shared" si="5"/>
        <v>2.9957322735539909</v>
      </c>
      <c r="S208" s="5"/>
      <c r="T208" s="5"/>
    </row>
    <row r="209" spans="1:20" ht="45.75" customHeight="1" x14ac:dyDescent="0.3">
      <c r="A209" s="6">
        <v>6000000</v>
      </c>
      <c r="B209" s="7">
        <f t="shared" si="0"/>
        <v>36000000000000</v>
      </c>
      <c r="C209" s="8">
        <f t="shared" si="1"/>
        <v>15.60727002719233</v>
      </c>
      <c r="D209" s="9">
        <f t="shared" si="2"/>
        <v>6000</v>
      </c>
      <c r="E209" s="9">
        <v>0</v>
      </c>
      <c r="F209" s="9">
        <v>1</v>
      </c>
      <c r="G209" s="9">
        <v>0</v>
      </c>
      <c r="H209" s="9">
        <v>0</v>
      </c>
      <c r="I209" s="9">
        <v>0</v>
      </c>
      <c r="J209" s="9">
        <v>1</v>
      </c>
      <c r="K209" s="9">
        <v>62</v>
      </c>
      <c r="L209" s="9">
        <f t="shared" si="3"/>
        <v>3844</v>
      </c>
      <c r="M209" s="9">
        <v>1</v>
      </c>
      <c r="N209" s="9">
        <v>4</v>
      </c>
      <c r="O209" s="9">
        <v>1</v>
      </c>
      <c r="P209" s="9">
        <v>42</v>
      </c>
      <c r="Q209" s="9">
        <f t="shared" si="4"/>
        <v>1764</v>
      </c>
      <c r="R209" s="10">
        <f t="shared" si="5"/>
        <v>3.7376696182833684</v>
      </c>
      <c r="S209" s="5"/>
      <c r="T209" s="5"/>
    </row>
    <row r="210" spans="1:20" ht="45.75" customHeight="1" x14ac:dyDescent="0.3">
      <c r="A210" s="6">
        <v>1000000</v>
      </c>
      <c r="B210" s="7">
        <f t="shared" si="0"/>
        <v>1000000000000</v>
      </c>
      <c r="C210" s="8">
        <f t="shared" si="1"/>
        <v>13.815510557964274</v>
      </c>
      <c r="D210" s="9">
        <f t="shared" si="2"/>
        <v>1000</v>
      </c>
      <c r="E210" s="9">
        <v>1</v>
      </c>
      <c r="F210" s="9">
        <v>1</v>
      </c>
      <c r="G210" s="9">
        <v>0</v>
      </c>
      <c r="H210" s="9">
        <v>0</v>
      </c>
      <c r="I210" s="9">
        <v>0</v>
      </c>
      <c r="J210" s="9">
        <v>1</v>
      </c>
      <c r="K210" s="9">
        <v>21</v>
      </c>
      <c r="L210" s="9">
        <f t="shared" si="3"/>
        <v>441</v>
      </c>
      <c r="M210" s="9">
        <v>0</v>
      </c>
      <c r="N210" s="9">
        <v>0</v>
      </c>
      <c r="O210" s="9">
        <v>0</v>
      </c>
      <c r="P210" s="9">
        <v>1</v>
      </c>
      <c r="Q210" s="9">
        <f t="shared" si="4"/>
        <v>1</v>
      </c>
      <c r="R210" s="10">
        <f t="shared" si="5"/>
        <v>0</v>
      </c>
      <c r="S210" s="5"/>
      <c r="T210" s="5"/>
    </row>
    <row r="211" spans="1:20" ht="45.75" customHeight="1" x14ac:dyDescent="0.3">
      <c r="A211" s="6">
        <v>2500000</v>
      </c>
      <c r="B211" s="7">
        <f t="shared" si="0"/>
        <v>6250000000000</v>
      </c>
      <c r="C211" s="8">
        <f t="shared" si="1"/>
        <v>14.73180128983843</v>
      </c>
      <c r="D211" s="9">
        <f t="shared" si="2"/>
        <v>2500</v>
      </c>
      <c r="E211" s="9">
        <v>0</v>
      </c>
      <c r="F211" s="9">
        <v>0</v>
      </c>
      <c r="G211" s="9">
        <v>0</v>
      </c>
      <c r="H211" s="9">
        <v>1</v>
      </c>
      <c r="I211" s="9">
        <v>0</v>
      </c>
      <c r="J211" s="9">
        <v>0</v>
      </c>
      <c r="K211" s="9">
        <v>54</v>
      </c>
      <c r="L211" s="9">
        <f t="shared" si="3"/>
        <v>2916</v>
      </c>
      <c r="M211" s="9">
        <v>1</v>
      </c>
      <c r="N211" s="9">
        <v>1</v>
      </c>
      <c r="O211" s="9">
        <v>1</v>
      </c>
      <c r="P211" s="9">
        <v>15</v>
      </c>
      <c r="Q211" s="9">
        <f t="shared" si="4"/>
        <v>225</v>
      </c>
      <c r="R211" s="10">
        <f t="shared" si="5"/>
        <v>2.7080502011022101</v>
      </c>
      <c r="S211" s="5"/>
      <c r="T211" s="5"/>
    </row>
    <row r="212" spans="1:20" ht="45.75" customHeight="1" x14ac:dyDescent="0.3">
      <c r="A212" s="6">
        <v>2000000</v>
      </c>
      <c r="B212" s="7">
        <f t="shared" si="0"/>
        <v>4000000000000</v>
      </c>
      <c r="C212" s="8">
        <f t="shared" si="1"/>
        <v>14.508657738524219</v>
      </c>
      <c r="D212" s="9">
        <f t="shared" si="2"/>
        <v>2000</v>
      </c>
      <c r="E212" s="9">
        <v>1</v>
      </c>
      <c r="F212" s="9">
        <v>0</v>
      </c>
      <c r="G212" s="9">
        <v>1</v>
      </c>
      <c r="H212" s="9">
        <v>0</v>
      </c>
      <c r="I212" s="9">
        <v>0</v>
      </c>
      <c r="J212" s="9">
        <v>1</v>
      </c>
      <c r="K212" s="9">
        <v>34</v>
      </c>
      <c r="L212" s="9">
        <f t="shared" si="3"/>
        <v>1156</v>
      </c>
      <c r="M212" s="9">
        <v>0</v>
      </c>
      <c r="N212" s="9">
        <v>0</v>
      </c>
      <c r="O212" s="9">
        <v>0</v>
      </c>
      <c r="P212" s="9">
        <v>6</v>
      </c>
      <c r="Q212" s="9">
        <f t="shared" si="4"/>
        <v>36</v>
      </c>
      <c r="R212" s="10">
        <f t="shared" si="5"/>
        <v>1.791759469228055</v>
      </c>
      <c r="S212" s="5"/>
      <c r="T212" s="5"/>
    </row>
    <row r="213" spans="1:20" ht="45.75" customHeight="1" x14ac:dyDescent="0.3">
      <c r="A213" s="6">
        <v>1300000</v>
      </c>
      <c r="B213" s="7">
        <f t="shared" si="0"/>
        <v>1690000000000</v>
      </c>
      <c r="C213" s="8">
        <f t="shared" si="1"/>
        <v>14.077874822431765</v>
      </c>
      <c r="D213" s="9">
        <f t="shared" si="2"/>
        <v>1300</v>
      </c>
      <c r="E213" s="9">
        <v>1</v>
      </c>
      <c r="F213" s="9">
        <v>0</v>
      </c>
      <c r="G213" s="9">
        <v>1</v>
      </c>
      <c r="H213" s="9">
        <v>0</v>
      </c>
      <c r="I213" s="9">
        <v>1</v>
      </c>
      <c r="J213" s="9">
        <v>0</v>
      </c>
      <c r="K213" s="9">
        <v>25</v>
      </c>
      <c r="L213" s="9">
        <f t="shared" si="3"/>
        <v>625</v>
      </c>
      <c r="M213" s="9">
        <v>0</v>
      </c>
      <c r="N213" s="9">
        <v>0</v>
      </c>
      <c r="O213" s="9">
        <v>0</v>
      </c>
      <c r="P213" s="9">
        <v>1</v>
      </c>
      <c r="Q213" s="9">
        <f t="shared" si="4"/>
        <v>1</v>
      </c>
      <c r="R213" s="10">
        <f t="shared" si="5"/>
        <v>0</v>
      </c>
      <c r="S213" s="5"/>
      <c r="T213" s="5"/>
    </row>
    <row r="214" spans="1:20" ht="45.75" customHeight="1" x14ac:dyDescent="0.3">
      <c r="A214" s="6">
        <v>4000000</v>
      </c>
      <c r="B214" s="7">
        <f t="shared" si="0"/>
        <v>16000000000000</v>
      </c>
      <c r="C214" s="8">
        <f t="shared" si="1"/>
        <v>15.201804919084164</v>
      </c>
      <c r="D214" s="9">
        <f t="shared" si="2"/>
        <v>4000</v>
      </c>
      <c r="E214" s="9">
        <v>0</v>
      </c>
      <c r="F214" s="9">
        <v>0</v>
      </c>
      <c r="G214" s="9">
        <v>0</v>
      </c>
      <c r="H214" s="9">
        <v>1</v>
      </c>
      <c r="I214" s="9">
        <v>1</v>
      </c>
      <c r="J214" s="9">
        <v>1</v>
      </c>
      <c r="K214" s="9">
        <v>50</v>
      </c>
      <c r="L214" s="9">
        <f t="shared" si="3"/>
        <v>2500</v>
      </c>
      <c r="M214" s="9">
        <v>1</v>
      </c>
      <c r="N214" s="9">
        <v>1</v>
      </c>
      <c r="O214" s="9">
        <v>1</v>
      </c>
      <c r="P214" s="9">
        <v>15</v>
      </c>
      <c r="Q214" s="9">
        <f t="shared" si="4"/>
        <v>225</v>
      </c>
      <c r="R214" s="10">
        <f t="shared" si="5"/>
        <v>2.7080502011022101</v>
      </c>
      <c r="S214" s="5"/>
      <c r="T214" s="5"/>
    </row>
    <row r="215" spans="1:20" ht="45.75" customHeight="1" x14ac:dyDescent="0.3">
      <c r="A215" s="6">
        <v>2000000</v>
      </c>
      <c r="B215" s="7">
        <f t="shared" si="0"/>
        <v>4000000000000</v>
      </c>
      <c r="C215" s="8">
        <f t="shared" si="1"/>
        <v>14.508657738524219</v>
      </c>
      <c r="D215" s="9">
        <f t="shared" si="2"/>
        <v>2000</v>
      </c>
      <c r="E215" s="9">
        <v>0</v>
      </c>
      <c r="F215" s="9">
        <v>0</v>
      </c>
      <c r="G215" s="9">
        <v>0</v>
      </c>
      <c r="H215" s="9">
        <v>1</v>
      </c>
      <c r="I215" s="9">
        <v>0</v>
      </c>
      <c r="J215" s="9">
        <v>0</v>
      </c>
      <c r="K215" s="9">
        <v>30</v>
      </c>
      <c r="L215" s="9">
        <f t="shared" si="3"/>
        <v>900</v>
      </c>
      <c r="M215" s="9">
        <v>1</v>
      </c>
      <c r="N215" s="9">
        <v>2</v>
      </c>
      <c r="O215" s="9">
        <v>1</v>
      </c>
      <c r="P215" s="9">
        <v>3</v>
      </c>
      <c r="Q215" s="9">
        <f t="shared" si="4"/>
        <v>9</v>
      </c>
      <c r="R215" s="10">
        <f t="shared" si="5"/>
        <v>1.0986122886681098</v>
      </c>
      <c r="S215" s="5"/>
      <c r="T215" s="5"/>
    </row>
    <row r="216" spans="1:20" ht="45.75" customHeight="1" x14ac:dyDescent="0.3">
      <c r="A216" s="6">
        <v>1200000</v>
      </c>
      <c r="B216" s="7">
        <f t="shared" si="0"/>
        <v>1440000000000</v>
      </c>
      <c r="C216" s="8">
        <f t="shared" si="1"/>
        <v>13.997832114758229</v>
      </c>
      <c r="D216" s="9">
        <f t="shared" si="2"/>
        <v>1200</v>
      </c>
      <c r="E216" s="9">
        <v>0</v>
      </c>
      <c r="F216" s="9">
        <v>0</v>
      </c>
      <c r="G216" s="9">
        <v>0</v>
      </c>
      <c r="H216" s="9">
        <v>1</v>
      </c>
      <c r="I216" s="9">
        <v>0</v>
      </c>
      <c r="J216" s="9">
        <v>0</v>
      </c>
      <c r="K216" s="9">
        <v>36</v>
      </c>
      <c r="L216" s="9">
        <f t="shared" si="3"/>
        <v>1296</v>
      </c>
      <c r="M216" s="9">
        <v>1</v>
      </c>
      <c r="N216" s="9">
        <v>2</v>
      </c>
      <c r="O216" s="9">
        <v>1</v>
      </c>
      <c r="P216" s="9">
        <v>16</v>
      </c>
      <c r="Q216" s="9">
        <f t="shared" si="4"/>
        <v>256</v>
      </c>
      <c r="R216" s="10">
        <f t="shared" si="5"/>
        <v>2.7725887222397811</v>
      </c>
      <c r="S216" s="5"/>
      <c r="T216" s="5"/>
    </row>
    <row r="217" spans="1:20" ht="45.75" customHeight="1" x14ac:dyDescent="0.3">
      <c r="A217" s="6">
        <v>1500000</v>
      </c>
      <c r="B217" s="7">
        <f t="shared" si="0"/>
        <v>2250000000000</v>
      </c>
      <c r="C217" s="8">
        <f t="shared" si="1"/>
        <v>14.220975666072439</v>
      </c>
      <c r="D217" s="9">
        <f t="shared" si="2"/>
        <v>1500</v>
      </c>
      <c r="E217" s="9">
        <v>1</v>
      </c>
      <c r="F217" s="9">
        <v>0</v>
      </c>
      <c r="G217" s="9">
        <v>1</v>
      </c>
      <c r="H217" s="9">
        <v>0</v>
      </c>
      <c r="I217" s="9">
        <v>1</v>
      </c>
      <c r="J217" s="9">
        <v>0</v>
      </c>
      <c r="K217" s="9">
        <v>27</v>
      </c>
      <c r="L217" s="9">
        <f t="shared" si="3"/>
        <v>729</v>
      </c>
      <c r="M217" s="9">
        <v>1</v>
      </c>
      <c r="N217" s="9">
        <v>0</v>
      </c>
      <c r="O217" s="9">
        <v>0</v>
      </c>
      <c r="P217" s="9">
        <v>2.5</v>
      </c>
      <c r="Q217" s="9">
        <f t="shared" si="4"/>
        <v>6.25</v>
      </c>
      <c r="R217" s="10">
        <f t="shared" si="5"/>
        <v>0.91629073187415511</v>
      </c>
      <c r="S217" s="5"/>
      <c r="T217" s="5"/>
    </row>
    <row r="218" spans="1:20" ht="45.75" customHeight="1" x14ac:dyDescent="0.3">
      <c r="A218" s="6">
        <v>400000</v>
      </c>
      <c r="B218" s="7">
        <f t="shared" si="0"/>
        <v>160000000000</v>
      </c>
      <c r="C218" s="8">
        <f t="shared" si="1"/>
        <v>12.899219826090119</v>
      </c>
      <c r="D218" s="9">
        <f t="shared" si="2"/>
        <v>400</v>
      </c>
      <c r="E218" s="9">
        <v>1</v>
      </c>
      <c r="F218" s="9">
        <v>1</v>
      </c>
      <c r="G218" s="9">
        <v>0</v>
      </c>
      <c r="H218" s="9">
        <v>0</v>
      </c>
      <c r="I218" s="9">
        <v>0</v>
      </c>
      <c r="J218" s="9">
        <v>0</v>
      </c>
      <c r="K218" s="9">
        <v>19</v>
      </c>
      <c r="L218" s="9">
        <f t="shared" si="3"/>
        <v>361</v>
      </c>
      <c r="M218" s="9">
        <v>0</v>
      </c>
      <c r="N218" s="9">
        <v>0</v>
      </c>
      <c r="O218" s="9">
        <v>0</v>
      </c>
      <c r="P218" s="9">
        <v>0.5</v>
      </c>
      <c r="Q218" s="9">
        <f t="shared" si="4"/>
        <v>0.25</v>
      </c>
      <c r="R218" s="10">
        <f t="shared" si="5"/>
        <v>-0.69314718055994529</v>
      </c>
      <c r="S218" s="5"/>
      <c r="T218" s="5"/>
    </row>
    <row r="219" spans="1:20" ht="45.75" customHeight="1" x14ac:dyDescent="0.3">
      <c r="A219" s="6">
        <v>908000</v>
      </c>
      <c r="B219" s="7">
        <f t="shared" si="0"/>
        <v>824464000000</v>
      </c>
      <c r="C219" s="8">
        <f t="shared" si="1"/>
        <v>13.71899965758343</v>
      </c>
      <c r="D219" s="9">
        <f t="shared" si="2"/>
        <v>908</v>
      </c>
      <c r="E219" s="9">
        <v>1</v>
      </c>
      <c r="F219" s="9">
        <v>1</v>
      </c>
      <c r="G219" s="9">
        <v>0</v>
      </c>
      <c r="H219" s="9">
        <v>0</v>
      </c>
      <c r="I219" s="9">
        <v>1</v>
      </c>
      <c r="J219" s="9">
        <v>0</v>
      </c>
      <c r="K219" s="9">
        <v>26</v>
      </c>
      <c r="L219" s="9">
        <f t="shared" si="3"/>
        <v>676</v>
      </c>
      <c r="M219" s="9">
        <v>0</v>
      </c>
      <c r="N219" s="9">
        <v>0</v>
      </c>
      <c r="O219" s="9">
        <v>0</v>
      </c>
      <c r="P219" s="9">
        <v>4</v>
      </c>
      <c r="Q219" s="9">
        <f t="shared" si="4"/>
        <v>16</v>
      </c>
      <c r="R219" s="10">
        <f t="shared" si="5"/>
        <v>1.3862943611198906</v>
      </c>
      <c r="S219" s="5"/>
      <c r="T219" s="5"/>
    </row>
    <row r="220" spans="1:20" ht="45.75" customHeight="1" x14ac:dyDescent="0.3">
      <c r="A220" s="6">
        <v>908000</v>
      </c>
      <c r="B220" s="7">
        <f t="shared" si="0"/>
        <v>824464000000</v>
      </c>
      <c r="C220" s="8">
        <f t="shared" si="1"/>
        <v>13.71899965758343</v>
      </c>
      <c r="D220" s="9">
        <f t="shared" si="2"/>
        <v>908</v>
      </c>
      <c r="E220" s="9">
        <v>1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20</v>
      </c>
      <c r="L220" s="9">
        <f t="shared" si="3"/>
        <v>400</v>
      </c>
      <c r="M220" s="9">
        <v>0</v>
      </c>
      <c r="N220" s="9">
        <v>0</v>
      </c>
      <c r="O220" s="9">
        <v>0</v>
      </c>
      <c r="P220" s="9">
        <v>1</v>
      </c>
      <c r="Q220" s="9">
        <f t="shared" si="4"/>
        <v>1</v>
      </c>
      <c r="R220" s="10">
        <f t="shared" si="5"/>
        <v>0</v>
      </c>
      <c r="S220" s="5"/>
      <c r="T220" s="5"/>
    </row>
    <row r="221" spans="1:20" ht="45.75" customHeight="1" x14ac:dyDescent="0.3">
      <c r="A221" s="6">
        <v>908000</v>
      </c>
      <c r="B221" s="7">
        <f t="shared" si="0"/>
        <v>824464000000</v>
      </c>
      <c r="C221" s="8">
        <f t="shared" si="1"/>
        <v>13.71899965758343</v>
      </c>
      <c r="D221" s="9">
        <f t="shared" si="2"/>
        <v>908</v>
      </c>
      <c r="E221" s="9">
        <v>1</v>
      </c>
      <c r="F221" s="9">
        <v>0</v>
      </c>
      <c r="G221" s="9">
        <v>0</v>
      </c>
      <c r="H221" s="9">
        <v>1</v>
      </c>
      <c r="I221" s="9">
        <v>0</v>
      </c>
      <c r="J221" s="9">
        <v>0</v>
      </c>
      <c r="K221" s="9">
        <v>25</v>
      </c>
      <c r="L221" s="9">
        <f t="shared" si="3"/>
        <v>625</v>
      </c>
      <c r="M221" s="9">
        <v>0</v>
      </c>
      <c r="N221" s="9">
        <v>0</v>
      </c>
      <c r="O221" s="9">
        <v>0</v>
      </c>
      <c r="P221" s="9">
        <v>4</v>
      </c>
      <c r="Q221" s="9">
        <f t="shared" si="4"/>
        <v>16</v>
      </c>
      <c r="R221" s="10">
        <f t="shared" si="5"/>
        <v>1.3862943611198906</v>
      </c>
      <c r="S221" s="5"/>
      <c r="T221" s="5"/>
    </row>
    <row r="222" spans="1:20" ht="45.75" customHeight="1" x14ac:dyDescent="0.3">
      <c r="A222" s="6">
        <v>2000000</v>
      </c>
      <c r="B222" s="7">
        <f t="shared" si="0"/>
        <v>4000000000000</v>
      </c>
      <c r="C222" s="8">
        <f t="shared" si="1"/>
        <v>14.508657738524219</v>
      </c>
      <c r="D222" s="9">
        <f t="shared" si="2"/>
        <v>2000</v>
      </c>
      <c r="E222" s="9">
        <v>1</v>
      </c>
      <c r="F222" s="9">
        <v>1</v>
      </c>
      <c r="G222" s="9">
        <v>0</v>
      </c>
      <c r="H222" s="9">
        <v>0</v>
      </c>
      <c r="I222" s="9">
        <v>1</v>
      </c>
      <c r="J222" s="9">
        <v>0</v>
      </c>
      <c r="K222" s="9">
        <v>35</v>
      </c>
      <c r="L222" s="9">
        <f t="shared" si="3"/>
        <v>1225</v>
      </c>
      <c r="M222" s="9">
        <v>0</v>
      </c>
      <c r="N222" s="9">
        <v>1</v>
      </c>
      <c r="O222" s="9">
        <v>1</v>
      </c>
      <c r="P222" s="9">
        <v>3.5</v>
      </c>
      <c r="Q222" s="9">
        <f t="shared" si="4"/>
        <v>12.25</v>
      </c>
      <c r="R222" s="10">
        <f t="shared" si="5"/>
        <v>1.2527629684953681</v>
      </c>
      <c r="S222" s="5"/>
      <c r="T222" s="5"/>
    </row>
    <row r="223" spans="1:20" ht="45.75" customHeight="1" x14ac:dyDescent="0.3">
      <c r="A223" s="6">
        <v>908000</v>
      </c>
      <c r="B223" s="7">
        <f t="shared" si="0"/>
        <v>824464000000</v>
      </c>
      <c r="C223" s="8">
        <f t="shared" si="1"/>
        <v>13.71899965758343</v>
      </c>
      <c r="D223" s="9">
        <f t="shared" si="2"/>
        <v>908</v>
      </c>
      <c r="E223" s="9">
        <v>0</v>
      </c>
      <c r="F223" s="9">
        <v>0</v>
      </c>
      <c r="G223" s="9">
        <v>1</v>
      </c>
      <c r="H223" s="9">
        <v>0</v>
      </c>
      <c r="I223" s="9">
        <v>0</v>
      </c>
      <c r="J223" s="9">
        <v>0</v>
      </c>
      <c r="K223" s="9">
        <v>31</v>
      </c>
      <c r="L223" s="9">
        <f t="shared" si="3"/>
        <v>961</v>
      </c>
      <c r="M223" s="9">
        <v>0</v>
      </c>
      <c r="N223" s="9">
        <v>0</v>
      </c>
      <c r="O223" s="9">
        <v>0</v>
      </c>
      <c r="P223" s="9">
        <v>0.5</v>
      </c>
      <c r="Q223" s="9">
        <f t="shared" si="4"/>
        <v>0.25</v>
      </c>
      <c r="R223" s="10">
        <f t="shared" si="5"/>
        <v>-0.69314718055994529</v>
      </c>
      <c r="S223" s="5"/>
      <c r="T223" s="5"/>
    </row>
    <row r="224" spans="1:20" ht="45.75" customHeight="1" x14ac:dyDescent="0.3">
      <c r="A224" s="6">
        <v>1500000</v>
      </c>
      <c r="B224" s="7">
        <f t="shared" si="0"/>
        <v>2250000000000</v>
      </c>
      <c r="C224" s="8">
        <f t="shared" si="1"/>
        <v>14.220975666072439</v>
      </c>
      <c r="D224" s="9">
        <f t="shared" si="2"/>
        <v>1500</v>
      </c>
      <c r="E224" s="9">
        <v>1</v>
      </c>
      <c r="F224" s="9">
        <v>0</v>
      </c>
      <c r="G224" s="9">
        <v>0</v>
      </c>
      <c r="H224" s="9">
        <v>1</v>
      </c>
      <c r="I224" s="9">
        <v>0</v>
      </c>
      <c r="J224" s="9">
        <v>0</v>
      </c>
      <c r="K224" s="9">
        <v>26</v>
      </c>
      <c r="L224" s="9">
        <f t="shared" si="3"/>
        <v>676</v>
      </c>
      <c r="M224" s="9">
        <v>0</v>
      </c>
      <c r="N224" s="9">
        <v>0</v>
      </c>
      <c r="O224" s="9">
        <v>0</v>
      </c>
      <c r="P224" s="9">
        <v>0.5</v>
      </c>
      <c r="Q224" s="9">
        <f t="shared" si="4"/>
        <v>0.25</v>
      </c>
      <c r="R224" s="10">
        <f t="shared" si="5"/>
        <v>-0.69314718055994529</v>
      </c>
      <c r="S224" s="5"/>
      <c r="T224" s="5"/>
    </row>
    <row r="225" spans="1:20" ht="45.75" customHeight="1" x14ac:dyDescent="0.3">
      <c r="A225" s="6">
        <v>3000000</v>
      </c>
      <c r="B225" s="7">
        <f t="shared" si="0"/>
        <v>9000000000000</v>
      </c>
      <c r="C225" s="8">
        <f t="shared" si="1"/>
        <v>14.914122846632385</v>
      </c>
      <c r="D225" s="9">
        <f t="shared" si="2"/>
        <v>3000</v>
      </c>
      <c r="E225" s="9">
        <v>1</v>
      </c>
      <c r="F225" s="9">
        <v>0</v>
      </c>
      <c r="G225" s="9">
        <v>0</v>
      </c>
      <c r="H225" s="9">
        <v>1</v>
      </c>
      <c r="I225" s="9">
        <v>1</v>
      </c>
      <c r="J225" s="9">
        <v>0</v>
      </c>
      <c r="K225" s="9">
        <v>36</v>
      </c>
      <c r="L225" s="9">
        <f t="shared" si="3"/>
        <v>1296</v>
      </c>
      <c r="M225" s="9">
        <v>0</v>
      </c>
      <c r="N225" s="9">
        <v>1</v>
      </c>
      <c r="O225" s="9">
        <v>1</v>
      </c>
      <c r="P225" s="9">
        <v>9</v>
      </c>
      <c r="Q225" s="9">
        <f t="shared" si="4"/>
        <v>81</v>
      </c>
      <c r="R225" s="10">
        <f t="shared" si="5"/>
        <v>2.1972245773362196</v>
      </c>
      <c r="S225" s="5"/>
      <c r="T225" s="5"/>
    </row>
    <row r="226" spans="1:20" ht="45.75" customHeight="1" x14ac:dyDescent="0.3">
      <c r="A226" s="6">
        <v>1500000</v>
      </c>
      <c r="B226" s="7">
        <f t="shared" si="0"/>
        <v>2250000000000</v>
      </c>
      <c r="C226" s="8">
        <f t="shared" si="1"/>
        <v>14.220975666072439</v>
      </c>
      <c r="D226" s="9">
        <f t="shared" si="2"/>
        <v>1500</v>
      </c>
      <c r="E226" s="9">
        <v>1</v>
      </c>
      <c r="F226" s="9">
        <v>0</v>
      </c>
      <c r="G226" s="9">
        <v>0</v>
      </c>
      <c r="H226" s="9">
        <v>1</v>
      </c>
      <c r="I226" s="9">
        <v>1</v>
      </c>
      <c r="J226" s="9">
        <v>0</v>
      </c>
      <c r="K226" s="9">
        <v>38</v>
      </c>
      <c r="L226" s="9">
        <f t="shared" si="3"/>
        <v>1444</v>
      </c>
      <c r="M226" s="9">
        <v>0</v>
      </c>
      <c r="N226" s="9">
        <v>0</v>
      </c>
      <c r="O226" s="9">
        <v>0</v>
      </c>
      <c r="P226" s="9">
        <v>8</v>
      </c>
      <c r="Q226" s="9">
        <f t="shared" si="4"/>
        <v>64</v>
      </c>
      <c r="R226" s="10">
        <f t="shared" si="5"/>
        <v>2.0794415416798357</v>
      </c>
      <c r="S226" s="5"/>
      <c r="T226" s="5"/>
    </row>
    <row r="227" spans="1:20" ht="45.75" customHeight="1" x14ac:dyDescent="0.3">
      <c r="A227" s="6">
        <v>908000</v>
      </c>
      <c r="B227" s="7">
        <f t="shared" si="0"/>
        <v>824464000000</v>
      </c>
      <c r="C227" s="8">
        <f t="shared" si="1"/>
        <v>13.71899965758343</v>
      </c>
      <c r="D227" s="9">
        <f t="shared" si="2"/>
        <v>908</v>
      </c>
      <c r="E227" s="9">
        <v>1</v>
      </c>
      <c r="F227" s="9">
        <v>1</v>
      </c>
      <c r="G227" s="9">
        <v>0</v>
      </c>
      <c r="H227" s="9">
        <v>0</v>
      </c>
      <c r="I227" s="9">
        <v>1</v>
      </c>
      <c r="J227" s="9">
        <v>1</v>
      </c>
      <c r="K227" s="9">
        <v>22</v>
      </c>
      <c r="L227" s="9">
        <f t="shared" si="3"/>
        <v>484</v>
      </c>
      <c r="M227" s="9">
        <v>0</v>
      </c>
      <c r="N227" s="9">
        <v>0</v>
      </c>
      <c r="O227" s="9">
        <v>0</v>
      </c>
      <c r="P227" s="9">
        <v>1.5</v>
      </c>
      <c r="Q227" s="9">
        <f t="shared" si="4"/>
        <v>2.25</v>
      </c>
      <c r="R227" s="10">
        <f t="shared" si="5"/>
        <v>0.40546510810816438</v>
      </c>
      <c r="S227" s="5"/>
      <c r="T227" s="5"/>
    </row>
    <row r="228" spans="1:20" ht="45.75" customHeight="1" x14ac:dyDescent="0.3">
      <c r="A228" s="6">
        <v>908000</v>
      </c>
      <c r="B228" s="7">
        <f t="shared" si="0"/>
        <v>824464000000</v>
      </c>
      <c r="C228" s="8">
        <f t="shared" si="1"/>
        <v>13.71899965758343</v>
      </c>
      <c r="D228" s="9">
        <f t="shared" si="2"/>
        <v>908</v>
      </c>
      <c r="E228" s="9">
        <v>1</v>
      </c>
      <c r="F228" s="9">
        <v>1</v>
      </c>
      <c r="G228" s="9">
        <v>0</v>
      </c>
      <c r="H228" s="9">
        <v>0</v>
      </c>
      <c r="I228" s="9">
        <v>0</v>
      </c>
      <c r="J228" s="9">
        <v>0</v>
      </c>
      <c r="K228" s="9">
        <v>21</v>
      </c>
      <c r="L228" s="9">
        <f t="shared" si="3"/>
        <v>441</v>
      </c>
      <c r="M228" s="9">
        <v>0</v>
      </c>
      <c r="N228" s="9">
        <v>0</v>
      </c>
      <c r="O228" s="9">
        <v>0</v>
      </c>
      <c r="P228" s="9">
        <v>0.5</v>
      </c>
      <c r="Q228" s="9">
        <f t="shared" si="4"/>
        <v>0.25</v>
      </c>
      <c r="R228" s="10">
        <f t="shared" si="5"/>
        <v>-0.69314718055994529</v>
      </c>
      <c r="S228" s="5"/>
      <c r="T228" s="5"/>
    </row>
    <row r="229" spans="1:20" ht="45.75" customHeight="1" x14ac:dyDescent="0.3">
      <c r="A229" s="6">
        <v>650000</v>
      </c>
      <c r="B229" s="7">
        <f t="shared" si="0"/>
        <v>422500000000</v>
      </c>
      <c r="C229" s="8">
        <f t="shared" si="1"/>
        <v>13.38472764187182</v>
      </c>
      <c r="D229" s="9">
        <f t="shared" si="2"/>
        <v>650</v>
      </c>
      <c r="E229" s="9">
        <v>1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20</v>
      </c>
      <c r="L229" s="9">
        <f t="shared" si="3"/>
        <v>400</v>
      </c>
      <c r="M229" s="9">
        <v>0</v>
      </c>
      <c r="N229" s="9">
        <v>0</v>
      </c>
      <c r="O229" s="9">
        <v>0</v>
      </c>
      <c r="P229" s="9">
        <v>0.5</v>
      </c>
      <c r="Q229" s="9">
        <f t="shared" si="4"/>
        <v>0.25</v>
      </c>
      <c r="R229" s="10">
        <f t="shared" si="5"/>
        <v>-0.69314718055994529</v>
      </c>
      <c r="S229" s="5"/>
      <c r="T229" s="5"/>
    </row>
    <row r="230" spans="1:20" ht="45.75" customHeight="1" x14ac:dyDescent="0.3">
      <c r="A230" s="6">
        <v>908000</v>
      </c>
      <c r="B230" s="7">
        <f t="shared" si="0"/>
        <v>824464000000</v>
      </c>
      <c r="C230" s="8">
        <f t="shared" si="1"/>
        <v>13.71899965758343</v>
      </c>
      <c r="D230" s="9">
        <f t="shared" si="2"/>
        <v>908</v>
      </c>
      <c r="E230" s="9">
        <v>1</v>
      </c>
      <c r="F230" s="9">
        <v>0</v>
      </c>
      <c r="G230" s="9">
        <v>1</v>
      </c>
      <c r="H230" s="9">
        <v>0</v>
      </c>
      <c r="I230" s="9">
        <v>0</v>
      </c>
      <c r="J230" s="9">
        <v>0</v>
      </c>
      <c r="K230" s="9">
        <v>21</v>
      </c>
      <c r="L230" s="9">
        <f t="shared" si="3"/>
        <v>441</v>
      </c>
      <c r="M230" s="9">
        <v>0</v>
      </c>
      <c r="N230" s="9">
        <v>0</v>
      </c>
      <c r="O230" s="9">
        <v>0</v>
      </c>
      <c r="P230" s="9">
        <v>0.5</v>
      </c>
      <c r="Q230" s="9">
        <f t="shared" si="4"/>
        <v>0.25</v>
      </c>
      <c r="R230" s="10">
        <f t="shared" si="5"/>
        <v>-0.69314718055994529</v>
      </c>
      <c r="S230" s="5"/>
      <c r="T230" s="5"/>
    </row>
    <row r="231" spans="1:20" ht="45.75" customHeight="1" x14ac:dyDescent="0.3">
      <c r="A231" s="6">
        <v>450000</v>
      </c>
      <c r="B231" s="7">
        <f t="shared" si="0"/>
        <v>202500000000</v>
      </c>
      <c r="C231" s="8">
        <f t="shared" si="1"/>
        <v>13.017002861746503</v>
      </c>
      <c r="D231" s="9">
        <f t="shared" si="2"/>
        <v>450</v>
      </c>
      <c r="E231" s="9">
        <v>1</v>
      </c>
      <c r="F231" s="9">
        <v>1</v>
      </c>
      <c r="G231" s="9">
        <v>0</v>
      </c>
      <c r="H231" s="9">
        <v>0</v>
      </c>
      <c r="I231" s="9">
        <v>0</v>
      </c>
      <c r="J231" s="9">
        <v>0</v>
      </c>
      <c r="K231" s="9">
        <v>21</v>
      </c>
      <c r="L231" s="9">
        <f t="shared" si="3"/>
        <v>441</v>
      </c>
      <c r="M231" s="9">
        <v>0</v>
      </c>
      <c r="N231" s="9">
        <v>0</v>
      </c>
      <c r="O231" s="9">
        <v>0</v>
      </c>
      <c r="P231" s="9">
        <v>0.75</v>
      </c>
      <c r="Q231" s="9">
        <f t="shared" si="4"/>
        <v>0.5625</v>
      </c>
      <c r="R231" s="10">
        <f t="shared" si="5"/>
        <v>-0.2876820724517809</v>
      </c>
      <c r="S231" s="5"/>
      <c r="T231" s="5"/>
    </row>
    <row r="232" spans="1:20" ht="45.75" customHeight="1" x14ac:dyDescent="0.3">
      <c r="A232" s="6">
        <v>4000000</v>
      </c>
      <c r="B232" s="7">
        <f t="shared" si="0"/>
        <v>16000000000000</v>
      </c>
      <c r="C232" s="8">
        <f t="shared" si="1"/>
        <v>15.201804919084164</v>
      </c>
      <c r="D232" s="9">
        <f t="shared" si="2"/>
        <v>4000</v>
      </c>
      <c r="E232" s="9">
        <v>0</v>
      </c>
      <c r="F232" s="9">
        <v>0</v>
      </c>
      <c r="G232" s="9">
        <v>0</v>
      </c>
      <c r="H232" s="9">
        <v>1</v>
      </c>
      <c r="I232" s="9">
        <v>1</v>
      </c>
      <c r="J232" s="9">
        <v>1</v>
      </c>
      <c r="K232" s="9">
        <v>33</v>
      </c>
      <c r="L232" s="9">
        <f t="shared" si="3"/>
        <v>1089</v>
      </c>
      <c r="M232" s="9">
        <v>0</v>
      </c>
      <c r="N232" s="9">
        <v>2</v>
      </c>
      <c r="O232" s="9">
        <v>1</v>
      </c>
      <c r="P232" s="9">
        <v>7</v>
      </c>
      <c r="Q232" s="9">
        <f t="shared" si="4"/>
        <v>49</v>
      </c>
      <c r="R232" s="10">
        <f t="shared" si="5"/>
        <v>1.9459101490553132</v>
      </c>
      <c r="S232" s="5"/>
      <c r="T232" s="5"/>
    </row>
    <row r="233" spans="1:20" ht="45.75" customHeight="1" x14ac:dyDescent="0.3">
      <c r="A233" s="6">
        <v>1100000</v>
      </c>
      <c r="B233" s="7">
        <f t="shared" si="0"/>
        <v>1210000000000</v>
      </c>
      <c r="C233" s="8">
        <f t="shared" si="1"/>
        <v>13.910820737768599</v>
      </c>
      <c r="D233" s="9">
        <f t="shared" si="2"/>
        <v>1100</v>
      </c>
      <c r="E233" s="9">
        <v>1</v>
      </c>
      <c r="F233" s="9">
        <v>0</v>
      </c>
      <c r="G233" s="9">
        <v>1</v>
      </c>
      <c r="H233" s="9">
        <v>0</v>
      </c>
      <c r="I233" s="9">
        <v>0</v>
      </c>
      <c r="J233" s="9">
        <v>0</v>
      </c>
      <c r="K233" s="9">
        <v>37</v>
      </c>
      <c r="L233" s="9">
        <f t="shared" si="3"/>
        <v>1369</v>
      </c>
      <c r="M233" s="9">
        <v>0</v>
      </c>
      <c r="N233" s="9">
        <v>1</v>
      </c>
      <c r="O233" s="9">
        <v>1</v>
      </c>
      <c r="P233" s="9">
        <v>1</v>
      </c>
      <c r="Q233" s="9">
        <f t="shared" si="4"/>
        <v>1</v>
      </c>
      <c r="R233" s="10">
        <f t="shared" si="5"/>
        <v>0</v>
      </c>
      <c r="S233" s="5"/>
      <c r="T233" s="5"/>
    </row>
    <row r="234" spans="1:20" ht="45.75" customHeight="1" x14ac:dyDescent="0.3">
      <c r="A234" s="6">
        <v>720000</v>
      </c>
      <c r="B234" s="7">
        <f t="shared" si="0"/>
        <v>518400000000</v>
      </c>
      <c r="C234" s="8">
        <f t="shared" si="1"/>
        <v>13.487006490992238</v>
      </c>
      <c r="D234" s="9">
        <f t="shared" si="2"/>
        <v>720</v>
      </c>
      <c r="E234" s="9">
        <v>1</v>
      </c>
      <c r="F234" s="9">
        <v>1</v>
      </c>
      <c r="G234" s="9">
        <v>0</v>
      </c>
      <c r="H234" s="9">
        <v>0</v>
      </c>
      <c r="I234" s="9">
        <v>0</v>
      </c>
      <c r="J234" s="9">
        <v>0</v>
      </c>
      <c r="K234" s="9">
        <v>20</v>
      </c>
      <c r="L234" s="9">
        <f t="shared" si="3"/>
        <v>400</v>
      </c>
      <c r="M234" s="9">
        <v>0</v>
      </c>
      <c r="N234" s="9">
        <v>1</v>
      </c>
      <c r="O234" s="9">
        <v>1</v>
      </c>
      <c r="P234" s="9">
        <v>0.5</v>
      </c>
      <c r="Q234" s="9">
        <f t="shared" si="4"/>
        <v>0.25</v>
      </c>
      <c r="R234" s="10">
        <f t="shared" si="5"/>
        <v>-0.69314718055994529</v>
      </c>
      <c r="S234" s="5"/>
      <c r="T234" s="5"/>
    </row>
    <row r="235" spans="1:20" ht="45.75" customHeight="1" x14ac:dyDescent="0.3">
      <c r="A235" s="6">
        <v>1900000</v>
      </c>
      <c r="B235" s="7">
        <f t="shared" si="0"/>
        <v>3610000000000</v>
      </c>
      <c r="C235" s="8">
        <f t="shared" si="1"/>
        <v>14.457364444136669</v>
      </c>
      <c r="D235" s="9">
        <f t="shared" si="2"/>
        <v>1900</v>
      </c>
      <c r="E235" s="9">
        <v>0</v>
      </c>
      <c r="F235" s="9">
        <v>0</v>
      </c>
      <c r="G235" s="9">
        <v>1</v>
      </c>
      <c r="H235" s="9">
        <v>0</v>
      </c>
      <c r="I235" s="9">
        <v>1</v>
      </c>
      <c r="J235" s="9">
        <v>1</v>
      </c>
      <c r="K235" s="9">
        <v>21</v>
      </c>
      <c r="L235" s="9">
        <f t="shared" si="3"/>
        <v>441</v>
      </c>
      <c r="M235" s="9">
        <v>0</v>
      </c>
      <c r="N235" s="9">
        <v>0</v>
      </c>
      <c r="O235" s="9">
        <v>0</v>
      </c>
      <c r="P235" s="9">
        <v>2.2999999999999998</v>
      </c>
      <c r="Q235" s="9">
        <f t="shared" si="4"/>
        <v>5.2899999999999991</v>
      </c>
      <c r="R235" s="10">
        <f t="shared" si="5"/>
        <v>0.83290912293510388</v>
      </c>
      <c r="S235" s="5"/>
      <c r="T235" s="5"/>
    </row>
    <row r="236" spans="1:20" ht="45.75" customHeight="1" x14ac:dyDescent="0.3">
      <c r="A236" s="6">
        <v>2800000</v>
      </c>
      <c r="B236" s="7">
        <f t="shared" si="0"/>
        <v>7840000000000</v>
      </c>
      <c r="C236" s="8">
        <f t="shared" si="1"/>
        <v>14.845129975145433</v>
      </c>
      <c r="D236" s="9">
        <f t="shared" si="2"/>
        <v>2800</v>
      </c>
      <c r="E236" s="9">
        <v>1</v>
      </c>
      <c r="F236" s="9">
        <v>0</v>
      </c>
      <c r="G236" s="9">
        <v>0</v>
      </c>
      <c r="H236" s="9">
        <v>1</v>
      </c>
      <c r="I236" s="9">
        <v>1</v>
      </c>
      <c r="J236" s="9">
        <v>0</v>
      </c>
      <c r="K236" s="9">
        <v>51</v>
      </c>
      <c r="L236" s="9">
        <f t="shared" si="3"/>
        <v>2601</v>
      </c>
      <c r="M236" s="9">
        <v>0</v>
      </c>
      <c r="N236" s="9">
        <v>0</v>
      </c>
      <c r="O236" s="9">
        <v>0</v>
      </c>
      <c r="P236" s="9">
        <v>0.5</v>
      </c>
      <c r="Q236" s="9">
        <f t="shared" si="4"/>
        <v>0.25</v>
      </c>
      <c r="R236" s="10">
        <f t="shared" si="5"/>
        <v>-0.69314718055994529</v>
      </c>
      <c r="S236" s="5"/>
      <c r="T236" s="5"/>
    </row>
    <row r="237" spans="1:20" ht="45.75" customHeight="1" x14ac:dyDescent="0.3">
      <c r="A237" s="6">
        <v>5000000</v>
      </c>
      <c r="B237" s="7">
        <f t="shared" si="0"/>
        <v>25000000000000</v>
      </c>
      <c r="C237" s="8">
        <f t="shared" si="1"/>
        <v>15.424948470398375</v>
      </c>
      <c r="D237" s="9">
        <f t="shared" si="2"/>
        <v>5000</v>
      </c>
      <c r="E237" s="9">
        <v>0</v>
      </c>
      <c r="F237" s="9">
        <v>1</v>
      </c>
      <c r="G237" s="9">
        <v>0</v>
      </c>
      <c r="H237" s="9">
        <v>0</v>
      </c>
      <c r="I237" s="9">
        <v>1</v>
      </c>
      <c r="J237" s="9">
        <v>1</v>
      </c>
      <c r="K237" s="9">
        <v>45</v>
      </c>
      <c r="L237" s="9">
        <f t="shared" si="3"/>
        <v>2025</v>
      </c>
      <c r="M237" s="9">
        <v>1</v>
      </c>
      <c r="N237" s="9">
        <v>2</v>
      </c>
      <c r="O237" s="9">
        <v>1</v>
      </c>
      <c r="P237" s="9">
        <v>12</v>
      </c>
      <c r="Q237" s="9">
        <f t="shared" si="4"/>
        <v>144</v>
      </c>
      <c r="R237" s="10">
        <f t="shared" si="5"/>
        <v>2.4849066497880004</v>
      </c>
      <c r="S237" s="5"/>
      <c r="T237" s="5"/>
    </row>
    <row r="238" spans="1:20" ht="45.75" customHeight="1" x14ac:dyDescent="0.3">
      <c r="A238" s="6">
        <v>1100000</v>
      </c>
      <c r="B238" s="7">
        <f t="shared" si="0"/>
        <v>1210000000000</v>
      </c>
      <c r="C238" s="8">
        <f t="shared" si="1"/>
        <v>13.910820737768599</v>
      </c>
      <c r="D238" s="9">
        <f t="shared" si="2"/>
        <v>1100</v>
      </c>
      <c r="E238" s="9">
        <v>0</v>
      </c>
      <c r="F238" s="9">
        <v>0</v>
      </c>
      <c r="G238" s="9">
        <v>0</v>
      </c>
      <c r="H238" s="9">
        <v>1</v>
      </c>
      <c r="I238" s="9">
        <v>1</v>
      </c>
      <c r="J238" s="9">
        <v>0</v>
      </c>
      <c r="K238" s="9">
        <v>25</v>
      </c>
      <c r="L238" s="9">
        <f t="shared" si="3"/>
        <v>625</v>
      </c>
      <c r="M238" s="9">
        <v>1</v>
      </c>
      <c r="N238" s="9">
        <v>0</v>
      </c>
      <c r="O238" s="9">
        <v>0</v>
      </c>
      <c r="P238" s="9">
        <v>0.5</v>
      </c>
      <c r="Q238" s="9">
        <f t="shared" si="4"/>
        <v>0.25</v>
      </c>
      <c r="R238" s="10">
        <f t="shared" si="5"/>
        <v>-0.69314718055994529</v>
      </c>
      <c r="S238" s="5"/>
      <c r="T238" s="5"/>
    </row>
    <row r="239" spans="1:20" ht="45.75" customHeight="1" x14ac:dyDescent="0.3">
      <c r="A239" s="6">
        <v>1600000</v>
      </c>
      <c r="B239" s="7">
        <f t="shared" si="0"/>
        <v>2560000000000</v>
      </c>
      <c r="C239" s="8">
        <f t="shared" si="1"/>
        <v>14.28551418721001</v>
      </c>
      <c r="D239" s="9">
        <f t="shared" si="2"/>
        <v>1600</v>
      </c>
      <c r="E239" s="9">
        <v>1</v>
      </c>
      <c r="F239" s="9">
        <v>0</v>
      </c>
      <c r="G239" s="9">
        <v>1</v>
      </c>
      <c r="H239" s="9">
        <v>0</v>
      </c>
      <c r="I239" s="9">
        <v>1</v>
      </c>
      <c r="J239" s="9">
        <v>1</v>
      </c>
      <c r="K239" s="9">
        <v>45</v>
      </c>
      <c r="L239" s="9">
        <f t="shared" si="3"/>
        <v>2025</v>
      </c>
      <c r="M239" s="9">
        <v>0</v>
      </c>
      <c r="N239" s="9">
        <v>1</v>
      </c>
      <c r="O239" s="9">
        <v>1</v>
      </c>
      <c r="P239" s="9">
        <v>21</v>
      </c>
      <c r="Q239" s="9">
        <f t="shared" si="4"/>
        <v>441</v>
      </c>
      <c r="R239" s="10">
        <f t="shared" si="5"/>
        <v>3.044522437723423</v>
      </c>
      <c r="S239" s="5"/>
      <c r="T239" s="5"/>
    </row>
    <row r="240" spans="1:20" ht="45.75" customHeight="1" x14ac:dyDescent="0.3">
      <c r="A240" s="6">
        <v>4000000</v>
      </c>
      <c r="B240" s="7">
        <f t="shared" si="0"/>
        <v>16000000000000</v>
      </c>
      <c r="C240" s="8">
        <f t="shared" si="1"/>
        <v>15.201804919084164</v>
      </c>
      <c r="D240" s="9">
        <f t="shared" si="2"/>
        <v>4000</v>
      </c>
      <c r="E240" s="9">
        <v>1</v>
      </c>
      <c r="F240" s="9">
        <v>0</v>
      </c>
      <c r="G240" s="9">
        <v>0</v>
      </c>
      <c r="H240" s="9">
        <v>1</v>
      </c>
      <c r="I240" s="9">
        <v>1</v>
      </c>
      <c r="J240" s="9">
        <v>1</v>
      </c>
      <c r="K240" s="9">
        <v>40</v>
      </c>
      <c r="L240" s="9">
        <f t="shared" si="3"/>
        <v>1600</v>
      </c>
      <c r="M240" s="9">
        <v>1</v>
      </c>
      <c r="N240" s="9">
        <v>2</v>
      </c>
      <c r="O240" s="9">
        <v>1</v>
      </c>
      <c r="P240" s="9">
        <v>6</v>
      </c>
      <c r="Q240" s="9">
        <f t="shared" si="4"/>
        <v>36</v>
      </c>
      <c r="R240" s="10">
        <f t="shared" si="5"/>
        <v>1.791759469228055</v>
      </c>
      <c r="S240" s="5"/>
      <c r="T240" s="5"/>
    </row>
    <row r="241" spans="1:20" ht="45.75" customHeight="1" x14ac:dyDescent="0.3">
      <c r="A241" s="6">
        <v>1200000</v>
      </c>
      <c r="B241" s="7">
        <f t="shared" si="0"/>
        <v>1440000000000</v>
      </c>
      <c r="C241" s="8">
        <f t="shared" si="1"/>
        <v>13.997832114758229</v>
      </c>
      <c r="D241" s="9">
        <f t="shared" si="2"/>
        <v>1200</v>
      </c>
      <c r="E241" s="9">
        <v>1</v>
      </c>
      <c r="F241" s="9">
        <v>1</v>
      </c>
      <c r="G241" s="9">
        <v>0</v>
      </c>
      <c r="H241" s="9">
        <v>0</v>
      </c>
      <c r="I241" s="9">
        <v>0</v>
      </c>
      <c r="J241" s="9">
        <v>0</v>
      </c>
      <c r="K241" s="9">
        <v>46</v>
      </c>
      <c r="L241" s="9">
        <f t="shared" si="3"/>
        <v>2116</v>
      </c>
      <c r="M241" s="9">
        <v>1</v>
      </c>
      <c r="N241" s="9">
        <v>3</v>
      </c>
      <c r="O241" s="9">
        <v>1</v>
      </c>
      <c r="P241" s="9">
        <v>21</v>
      </c>
      <c r="Q241" s="9">
        <f t="shared" si="4"/>
        <v>441</v>
      </c>
      <c r="R241" s="10">
        <f t="shared" si="5"/>
        <v>3.044522437723423</v>
      </c>
      <c r="S241" s="5"/>
      <c r="T241" s="5"/>
    </row>
    <row r="242" spans="1:20" ht="45.75" customHeight="1" x14ac:dyDescent="0.3">
      <c r="A242" s="6">
        <v>4000000</v>
      </c>
      <c r="B242" s="7">
        <f t="shared" si="0"/>
        <v>16000000000000</v>
      </c>
      <c r="C242" s="8">
        <f t="shared" si="1"/>
        <v>15.201804919084164</v>
      </c>
      <c r="D242" s="9">
        <f t="shared" si="2"/>
        <v>4000</v>
      </c>
      <c r="E242" s="9">
        <v>1</v>
      </c>
      <c r="F242" s="9">
        <v>0</v>
      </c>
      <c r="G242" s="9">
        <v>0</v>
      </c>
      <c r="H242" s="9">
        <v>1</v>
      </c>
      <c r="I242" s="9">
        <v>1</v>
      </c>
      <c r="J242" s="9">
        <v>0</v>
      </c>
      <c r="K242" s="9">
        <v>31</v>
      </c>
      <c r="L242" s="9">
        <f t="shared" si="3"/>
        <v>961</v>
      </c>
      <c r="M242" s="9">
        <v>1</v>
      </c>
      <c r="N242" s="9">
        <v>0</v>
      </c>
      <c r="O242" s="9">
        <v>0</v>
      </c>
      <c r="P242" s="9">
        <v>6</v>
      </c>
      <c r="Q242" s="9">
        <f t="shared" si="4"/>
        <v>36</v>
      </c>
      <c r="R242" s="10">
        <f t="shared" si="5"/>
        <v>1.791759469228055</v>
      </c>
      <c r="S242" s="5"/>
      <c r="T242" s="5"/>
    </row>
    <row r="243" spans="1:20" ht="45.75" customHeight="1" x14ac:dyDescent="0.3">
      <c r="A243" s="6">
        <v>908000</v>
      </c>
      <c r="B243" s="7">
        <f t="shared" si="0"/>
        <v>824464000000</v>
      </c>
      <c r="C243" s="8">
        <f t="shared" si="1"/>
        <v>13.71899965758343</v>
      </c>
      <c r="D243" s="9">
        <f t="shared" si="2"/>
        <v>908</v>
      </c>
      <c r="E243" s="9">
        <v>0</v>
      </c>
      <c r="F243" s="9">
        <v>0</v>
      </c>
      <c r="G243" s="9">
        <v>1</v>
      </c>
      <c r="H243" s="9">
        <v>0</v>
      </c>
      <c r="I243" s="9">
        <v>0</v>
      </c>
      <c r="J243" s="9">
        <v>0</v>
      </c>
      <c r="K243" s="9">
        <v>43</v>
      </c>
      <c r="L243" s="9">
        <f t="shared" si="3"/>
        <v>1849</v>
      </c>
      <c r="M243" s="9">
        <v>1</v>
      </c>
      <c r="N243" s="9">
        <v>1</v>
      </c>
      <c r="O243" s="9">
        <v>1</v>
      </c>
      <c r="P243" s="9">
        <v>1</v>
      </c>
      <c r="Q243" s="9">
        <f t="shared" si="4"/>
        <v>1</v>
      </c>
      <c r="R243" s="10">
        <f t="shared" si="5"/>
        <v>0</v>
      </c>
      <c r="S243" s="5"/>
      <c r="T243" s="5"/>
    </row>
    <row r="244" spans="1:20" ht="45.75" customHeight="1" x14ac:dyDescent="0.3">
      <c r="A244" s="6">
        <v>2000000</v>
      </c>
      <c r="B244" s="7">
        <f t="shared" si="0"/>
        <v>4000000000000</v>
      </c>
      <c r="C244" s="8">
        <f t="shared" si="1"/>
        <v>14.508657738524219</v>
      </c>
      <c r="D244" s="9">
        <f t="shared" si="2"/>
        <v>2000</v>
      </c>
      <c r="E244" s="9">
        <v>0</v>
      </c>
      <c r="F244" s="9">
        <v>0</v>
      </c>
      <c r="G244" s="9">
        <v>0</v>
      </c>
      <c r="H244" s="9">
        <v>1</v>
      </c>
      <c r="I244" s="9">
        <v>1</v>
      </c>
      <c r="J244" s="9">
        <v>1</v>
      </c>
      <c r="K244" s="9">
        <v>29</v>
      </c>
      <c r="L244" s="9">
        <f t="shared" si="3"/>
        <v>841</v>
      </c>
      <c r="M244" s="9">
        <v>0</v>
      </c>
      <c r="N244" s="9">
        <v>1</v>
      </c>
      <c r="O244" s="9">
        <v>1</v>
      </c>
      <c r="P244" s="9">
        <v>12</v>
      </c>
      <c r="Q244" s="9">
        <f t="shared" si="4"/>
        <v>144</v>
      </c>
      <c r="R244" s="10">
        <f t="shared" si="5"/>
        <v>2.4849066497880004</v>
      </c>
      <c r="S244" s="5"/>
      <c r="T244" s="5"/>
    </row>
    <row r="245" spans="1:20" ht="45.75" customHeight="1" x14ac:dyDescent="0.3">
      <c r="A245" s="6">
        <v>2500000</v>
      </c>
      <c r="B245" s="7">
        <f t="shared" si="0"/>
        <v>6250000000000</v>
      </c>
      <c r="C245" s="8">
        <f t="shared" si="1"/>
        <v>14.73180128983843</v>
      </c>
      <c r="D245" s="9">
        <f t="shared" si="2"/>
        <v>2500</v>
      </c>
      <c r="E245" s="9">
        <v>0</v>
      </c>
      <c r="F245" s="9">
        <v>0</v>
      </c>
      <c r="G245" s="9">
        <v>1</v>
      </c>
      <c r="H245" s="9">
        <v>0</v>
      </c>
      <c r="I245" s="9">
        <v>1</v>
      </c>
      <c r="J245" s="9">
        <v>1</v>
      </c>
      <c r="K245" s="9">
        <v>41</v>
      </c>
      <c r="L245" s="9">
        <f t="shared" si="3"/>
        <v>1681</v>
      </c>
      <c r="M245" s="9">
        <v>0</v>
      </c>
      <c r="N245" s="9">
        <v>5</v>
      </c>
      <c r="O245" s="9">
        <v>1</v>
      </c>
      <c r="P245" s="9">
        <v>24</v>
      </c>
      <c r="Q245" s="9">
        <f t="shared" si="4"/>
        <v>576</v>
      </c>
      <c r="R245" s="10">
        <f t="shared" si="5"/>
        <v>3.1780538303479458</v>
      </c>
      <c r="S245" s="5"/>
      <c r="T245" s="5"/>
    </row>
    <row r="246" spans="1:20" ht="45.75" customHeight="1" x14ac:dyDescent="0.3">
      <c r="A246" s="6">
        <v>908000</v>
      </c>
      <c r="B246" s="7">
        <f t="shared" si="0"/>
        <v>824464000000</v>
      </c>
      <c r="C246" s="8">
        <f t="shared" si="1"/>
        <v>13.71899965758343</v>
      </c>
      <c r="D246" s="9">
        <f t="shared" si="2"/>
        <v>908</v>
      </c>
      <c r="E246" s="9">
        <v>1</v>
      </c>
      <c r="F246" s="9">
        <v>0</v>
      </c>
      <c r="G246" s="9">
        <v>0</v>
      </c>
      <c r="H246" s="9">
        <v>1</v>
      </c>
      <c r="I246" s="9">
        <v>0</v>
      </c>
      <c r="J246" s="9">
        <v>0</v>
      </c>
      <c r="K246" s="9">
        <v>26</v>
      </c>
      <c r="L246" s="9">
        <f t="shared" si="3"/>
        <v>676</v>
      </c>
      <c r="M246" s="9">
        <v>0</v>
      </c>
      <c r="N246" s="9">
        <v>0</v>
      </c>
      <c r="O246" s="9">
        <v>0</v>
      </c>
      <c r="P246" s="9">
        <v>2</v>
      </c>
      <c r="Q246" s="9">
        <f t="shared" si="4"/>
        <v>4</v>
      </c>
      <c r="R246" s="10">
        <f t="shared" si="5"/>
        <v>0.69314718055994529</v>
      </c>
      <c r="S246" s="5"/>
      <c r="T246" s="5"/>
    </row>
    <row r="247" spans="1:20" ht="45.75" customHeight="1" x14ac:dyDescent="0.3">
      <c r="A247" s="6">
        <v>908000</v>
      </c>
      <c r="B247" s="7">
        <f t="shared" si="0"/>
        <v>824464000000</v>
      </c>
      <c r="C247" s="8">
        <f t="shared" si="1"/>
        <v>13.71899965758343</v>
      </c>
      <c r="D247" s="9">
        <f t="shared" si="2"/>
        <v>908</v>
      </c>
      <c r="E247" s="9">
        <v>1</v>
      </c>
      <c r="F247" s="9">
        <v>0</v>
      </c>
      <c r="G247" s="9">
        <v>1</v>
      </c>
      <c r="H247" s="9">
        <v>0</v>
      </c>
      <c r="I247" s="9">
        <v>1</v>
      </c>
      <c r="J247" s="9">
        <v>0</v>
      </c>
      <c r="K247" s="9">
        <v>34</v>
      </c>
      <c r="L247" s="9">
        <f t="shared" si="3"/>
        <v>1156</v>
      </c>
      <c r="M247" s="9">
        <v>0</v>
      </c>
      <c r="N247" s="9">
        <v>1</v>
      </c>
      <c r="O247" s="9">
        <v>1</v>
      </c>
      <c r="P247" s="9">
        <v>2</v>
      </c>
      <c r="Q247" s="9">
        <f t="shared" si="4"/>
        <v>4</v>
      </c>
      <c r="R247" s="10">
        <f t="shared" si="5"/>
        <v>0.69314718055994529</v>
      </c>
      <c r="S247" s="5"/>
      <c r="T247" s="5"/>
    </row>
    <row r="248" spans="1:20" ht="45.75" customHeight="1" x14ac:dyDescent="0.3">
      <c r="A248" s="6">
        <v>908000</v>
      </c>
      <c r="B248" s="7">
        <f t="shared" si="0"/>
        <v>824464000000</v>
      </c>
      <c r="C248" s="8">
        <f t="shared" si="1"/>
        <v>13.71899965758343</v>
      </c>
      <c r="D248" s="9">
        <f t="shared" si="2"/>
        <v>908</v>
      </c>
      <c r="E248" s="9">
        <v>1</v>
      </c>
      <c r="F248" s="9">
        <v>0</v>
      </c>
      <c r="G248" s="9">
        <v>1</v>
      </c>
      <c r="H248" s="9">
        <v>0</v>
      </c>
      <c r="I248" s="9">
        <v>1</v>
      </c>
      <c r="J248" s="9">
        <v>0</v>
      </c>
      <c r="K248" s="9">
        <v>30</v>
      </c>
      <c r="L248" s="9">
        <f t="shared" si="3"/>
        <v>900</v>
      </c>
      <c r="M248" s="9">
        <v>1</v>
      </c>
      <c r="N248" s="9">
        <v>1</v>
      </c>
      <c r="O248" s="9">
        <v>1</v>
      </c>
      <c r="P248" s="9">
        <v>2</v>
      </c>
      <c r="Q248" s="9">
        <f t="shared" si="4"/>
        <v>4</v>
      </c>
      <c r="R248" s="10">
        <f t="shared" si="5"/>
        <v>0.69314718055994529</v>
      </c>
      <c r="S248" s="5"/>
      <c r="T248" s="5"/>
    </row>
    <row r="249" spans="1:20" ht="45.75" customHeight="1" x14ac:dyDescent="0.3">
      <c r="A249" s="6">
        <v>908000</v>
      </c>
      <c r="B249" s="7">
        <f t="shared" si="0"/>
        <v>824464000000</v>
      </c>
      <c r="C249" s="8">
        <f t="shared" si="1"/>
        <v>13.71899965758343</v>
      </c>
      <c r="D249" s="9">
        <f t="shared" si="2"/>
        <v>908</v>
      </c>
      <c r="E249" s="9">
        <v>0</v>
      </c>
      <c r="F249" s="9">
        <v>0</v>
      </c>
      <c r="G249" s="9">
        <v>1</v>
      </c>
      <c r="H249" s="9">
        <v>0</v>
      </c>
      <c r="I249" s="9">
        <v>0</v>
      </c>
      <c r="J249" s="9">
        <v>0</v>
      </c>
      <c r="K249" s="9">
        <v>28</v>
      </c>
      <c r="L249" s="9">
        <f t="shared" si="3"/>
        <v>784</v>
      </c>
      <c r="M249" s="9">
        <v>0</v>
      </c>
      <c r="N249" s="9">
        <v>1</v>
      </c>
      <c r="O249" s="9">
        <v>1</v>
      </c>
      <c r="P249" s="9">
        <v>8</v>
      </c>
      <c r="Q249" s="9">
        <f t="shared" si="4"/>
        <v>64</v>
      </c>
      <c r="R249" s="10">
        <f t="shared" si="5"/>
        <v>2.0794415416798357</v>
      </c>
      <c r="S249" s="5"/>
      <c r="T249" s="5"/>
    </row>
    <row r="250" spans="1:20" ht="45.75" customHeight="1" x14ac:dyDescent="0.3">
      <c r="A250" s="6">
        <v>2000000</v>
      </c>
      <c r="B250" s="7">
        <f t="shared" si="0"/>
        <v>4000000000000</v>
      </c>
      <c r="C250" s="8">
        <f t="shared" si="1"/>
        <v>14.508657738524219</v>
      </c>
      <c r="D250" s="9">
        <f t="shared" si="2"/>
        <v>2000</v>
      </c>
      <c r="E250" s="9">
        <v>1</v>
      </c>
      <c r="F250" s="9">
        <v>0</v>
      </c>
      <c r="G250" s="9">
        <v>0</v>
      </c>
      <c r="H250" s="9">
        <v>1</v>
      </c>
      <c r="I250" s="9">
        <v>1</v>
      </c>
      <c r="J250" s="9">
        <v>0</v>
      </c>
      <c r="K250" s="9">
        <v>25</v>
      </c>
      <c r="L250" s="9">
        <f t="shared" si="3"/>
        <v>625</v>
      </c>
      <c r="M250" s="9">
        <v>0</v>
      </c>
      <c r="N250" s="9">
        <v>1</v>
      </c>
      <c r="O250" s="9">
        <v>1</v>
      </c>
      <c r="P250" s="9">
        <v>4</v>
      </c>
      <c r="Q250" s="9">
        <f t="shared" si="4"/>
        <v>16</v>
      </c>
      <c r="R250" s="10">
        <f t="shared" si="5"/>
        <v>1.3862943611198906</v>
      </c>
      <c r="S250" s="5"/>
      <c r="T250" s="5"/>
    </row>
    <row r="251" spans="1:20" ht="45.75" customHeight="1" x14ac:dyDescent="0.3">
      <c r="A251" s="6">
        <v>1000000</v>
      </c>
      <c r="B251" s="7">
        <f t="shared" si="0"/>
        <v>1000000000000</v>
      </c>
      <c r="C251" s="8">
        <f t="shared" si="1"/>
        <v>13.815510557964274</v>
      </c>
      <c r="D251" s="9">
        <f t="shared" si="2"/>
        <v>1000</v>
      </c>
      <c r="E251" s="9">
        <v>1</v>
      </c>
      <c r="F251" s="9">
        <v>0</v>
      </c>
      <c r="G251" s="9">
        <v>1</v>
      </c>
      <c r="H251" s="9">
        <v>0</v>
      </c>
      <c r="I251" s="9">
        <v>0</v>
      </c>
      <c r="J251" s="9">
        <v>1</v>
      </c>
      <c r="K251" s="9">
        <v>26</v>
      </c>
      <c r="L251" s="9">
        <f t="shared" si="3"/>
        <v>676</v>
      </c>
      <c r="M251" s="9">
        <v>0</v>
      </c>
      <c r="N251" s="9">
        <v>1</v>
      </c>
      <c r="O251" s="9">
        <v>1</v>
      </c>
      <c r="P251" s="9">
        <v>3</v>
      </c>
      <c r="Q251" s="9">
        <f t="shared" si="4"/>
        <v>9</v>
      </c>
      <c r="R251" s="10">
        <f t="shared" si="5"/>
        <v>1.0986122886681098</v>
      </c>
      <c r="S251" s="5"/>
      <c r="T251" s="5"/>
    </row>
    <row r="252" spans="1:20" ht="45.75" customHeight="1" x14ac:dyDescent="0.3">
      <c r="A252" s="6">
        <v>1000000</v>
      </c>
      <c r="B252" s="7">
        <f t="shared" si="0"/>
        <v>1000000000000</v>
      </c>
      <c r="C252" s="8">
        <f t="shared" si="1"/>
        <v>13.815510557964274</v>
      </c>
      <c r="D252" s="9">
        <f t="shared" si="2"/>
        <v>1000</v>
      </c>
      <c r="E252" s="9">
        <v>1</v>
      </c>
      <c r="F252" s="9">
        <v>1</v>
      </c>
      <c r="G252" s="9">
        <v>0</v>
      </c>
      <c r="H252" s="9">
        <v>0</v>
      </c>
      <c r="I252" s="9">
        <v>0</v>
      </c>
      <c r="J252" s="9">
        <v>0</v>
      </c>
      <c r="K252" s="9">
        <v>24</v>
      </c>
      <c r="L252" s="9">
        <f t="shared" si="3"/>
        <v>576</v>
      </c>
      <c r="M252" s="9">
        <v>0</v>
      </c>
      <c r="N252" s="9">
        <v>0</v>
      </c>
      <c r="O252" s="9">
        <v>0</v>
      </c>
      <c r="P252" s="9">
        <v>5</v>
      </c>
      <c r="Q252" s="9">
        <f t="shared" si="4"/>
        <v>25</v>
      </c>
      <c r="R252" s="10">
        <f t="shared" si="5"/>
        <v>1.6094379124341003</v>
      </c>
      <c r="S252" s="5"/>
      <c r="T252" s="5"/>
    </row>
    <row r="253" spans="1:20" ht="45.75" customHeight="1" x14ac:dyDescent="0.3">
      <c r="A253" s="6">
        <v>908000</v>
      </c>
      <c r="B253" s="7">
        <f t="shared" si="0"/>
        <v>824464000000</v>
      </c>
      <c r="C253" s="8">
        <f t="shared" si="1"/>
        <v>13.71899965758343</v>
      </c>
      <c r="D253" s="9">
        <f t="shared" si="2"/>
        <v>908</v>
      </c>
      <c r="E253" s="9">
        <v>1</v>
      </c>
      <c r="F253" s="9">
        <v>1</v>
      </c>
      <c r="G253" s="9">
        <v>0</v>
      </c>
      <c r="H253" s="9">
        <v>0</v>
      </c>
      <c r="I253" s="9">
        <v>0</v>
      </c>
      <c r="J253" s="9">
        <v>1</v>
      </c>
      <c r="K253" s="9">
        <v>17</v>
      </c>
      <c r="L253" s="9">
        <f t="shared" si="3"/>
        <v>289</v>
      </c>
      <c r="M253" s="9">
        <v>0</v>
      </c>
      <c r="N253" s="9">
        <v>0</v>
      </c>
      <c r="O253" s="9">
        <v>0</v>
      </c>
      <c r="P253" s="9">
        <v>5</v>
      </c>
      <c r="Q253" s="9">
        <f t="shared" si="4"/>
        <v>25</v>
      </c>
      <c r="R253" s="10">
        <f t="shared" si="5"/>
        <v>1.6094379124341003</v>
      </c>
      <c r="S253" s="5"/>
      <c r="T253" s="5"/>
    </row>
    <row r="254" spans="1:20" ht="45.75" customHeight="1" x14ac:dyDescent="0.3">
      <c r="A254" s="6">
        <v>908000</v>
      </c>
      <c r="B254" s="7">
        <f t="shared" si="0"/>
        <v>824464000000</v>
      </c>
      <c r="C254" s="8">
        <f t="shared" si="1"/>
        <v>13.71899965758343</v>
      </c>
      <c r="D254" s="9">
        <f t="shared" si="2"/>
        <v>908</v>
      </c>
      <c r="E254" s="9">
        <v>1</v>
      </c>
      <c r="F254" s="9">
        <v>0</v>
      </c>
      <c r="G254" s="9">
        <v>1</v>
      </c>
      <c r="H254" s="9">
        <v>0</v>
      </c>
      <c r="I254" s="9">
        <v>1</v>
      </c>
      <c r="J254" s="9">
        <v>0</v>
      </c>
      <c r="K254" s="9">
        <v>18</v>
      </c>
      <c r="L254" s="9">
        <f t="shared" si="3"/>
        <v>324</v>
      </c>
      <c r="M254" s="9">
        <v>0</v>
      </c>
      <c r="N254" s="9">
        <v>0</v>
      </c>
      <c r="O254" s="9">
        <v>0</v>
      </c>
      <c r="P254" s="9">
        <v>2</v>
      </c>
      <c r="Q254" s="9">
        <f t="shared" si="4"/>
        <v>4</v>
      </c>
      <c r="R254" s="10">
        <f t="shared" si="5"/>
        <v>0.69314718055994529</v>
      </c>
      <c r="S254" s="5"/>
      <c r="T254" s="5"/>
    </row>
    <row r="255" spans="1:20" ht="45.75" customHeight="1" x14ac:dyDescent="0.3">
      <c r="A255" s="6">
        <v>2000000</v>
      </c>
      <c r="B255" s="7">
        <f t="shared" si="0"/>
        <v>4000000000000</v>
      </c>
      <c r="C255" s="8">
        <f t="shared" si="1"/>
        <v>14.508657738524219</v>
      </c>
      <c r="D255" s="9">
        <f t="shared" si="2"/>
        <v>2000</v>
      </c>
      <c r="E255" s="9">
        <v>0</v>
      </c>
      <c r="F255" s="9">
        <v>1</v>
      </c>
      <c r="G255" s="9">
        <v>0</v>
      </c>
      <c r="H255" s="9">
        <v>0</v>
      </c>
      <c r="I255" s="9">
        <v>0</v>
      </c>
      <c r="J255" s="9">
        <v>1</v>
      </c>
      <c r="K255" s="9">
        <v>57</v>
      </c>
      <c r="L255" s="9">
        <f t="shared" si="3"/>
        <v>3249</v>
      </c>
      <c r="M255" s="9">
        <v>1</v>
      </c>
      <c r="N255" s="9">
        <v>3</v>
      </c>
      <c r="O255" s="9">
        <v>1</v>
      </c>
      <c r="P255" s="9">
        <v>25</v>
      </c>
      <c r="Q255" s="9">
        <f t="shared" si="4"/>
        <v>625</v>
      </c>
      <c r="R255" s="10">
        <f t="shared" si="5"/>
        <v>3.2188758248682006</v>
      </c>
      <c r="S255" s="5"/>
      <c r="T255" s="5"/>
    </row>
    <row r="256" spans="1:20" ht="45.75" customHeight="1" x14ac:dyDescent="0.3">
      <c r="A256" s="6">
        <v>1600000</v>
      </c>
      <c r="B256" s="7">
        <f t="shared" si="0"/>
        <v>2560000000000</v>
      </c>
      <c r="C256" s="8">
        <f t="shared" si="1"/>
        <v>14.28551418721001</v>
      </c>
      <c r="D256" s="9">
        <f t="shared" si="2"/>
        <v>1600</v>
      </c>
      <c r="E256" s="9">
        <v>1</v>
      </c>
      <c r="F256" s="9">
        <v>0</v>
      </c>
      <c r="G256" s="9">
        <v>1</v>
      </c>
      <c r="H256" s="9">
        <v>0</v>
      </c>
      <c r="I256" s="9">
        <v>0</v>
      </c>
      <c r="J256" s="9">
        <v>1</v>
      </c>
      <c r="K256" s="9">
        <v>32</v>
      </c>
      <c r="L256" s="9">
        <f t="shared" si="3"/>
        <v>1024</v>
      </c>
      <c r="M256" s="9">
        <v>0</v>
      </c>
      <c r="N256" s="9">
        <v>0</v>
      </c>
      <c r="O256" s="9">
        <v>0</v>
      </c>
      <c r="P256" s="9">
        <v>19</v>
      </c>
      <c r="Q256" s="9">
        <f t="shared" si="4"/>
        <v>361</v>
      </c>
      <c r="R256" s="10">
        <f t="shared" si="5"/>
        <v>2.9444389791664403</v>
      </c>
      <c r="S256" s="5"/>
      <c r="T256" s="5"/>
    </row>
    <row r="257" spans="1:20" ht="45.75" customHeight="1" x14ac:dyDescent="0.3">
      <c r="A257" s="6">
        <v>1800000</v>
      </c>
      <c r="B257" s="7">
        <f t="shared" si="0"/>
        <v>3240000000000</v>
      </c>
      <c r="C257" s="8">
        <f t="shared" si="1"/>
        <v>14.403297222866392</v>
      </c>
      <c r="D257" s="9">
        <f t="shared" si="2"/>
        <v>1800</v>
      </c>
      <c r="E257" s="9">
        <v>1</v>
      </c>
      <c r="F257" s="9">
        <v>0</v>
      </c>
      <c r="G257" s="9">
        <v>0</v>
      </c>
      <c r="H257" s="9">
        <v>1</v>
      </c>
      <c r="I257" s="9">
        <v>0</v>
      </c>
      <c r="J257" s="9">
        <v>1</v>
      </c>
      <c r="K257" s="9">
        <v>32</v>
      </c>
      <c r="L257" s="9">
        <f t="shared" si="3"/>
        <v>1024</v>
      </c>
      <c r="M257" s="9">
        <v>0</v>
      </c>
      <c r="N257" s="9">
        <v>0</v>
      </c>
      <c r="O257" s="9">
        <v>0</v>
      </c>
      <c r="P257" s="9">
        <v>10</v>
      </c>
      <c r="Q257" s="9">
        <f t="shared" si="4"/>
        <v>100</v>
      </c>
      <c r="R257" s="10">
        <f t="shared" si="5"/>
        <v>2.3025850929940459</v>
      </c>
      <c r="S257" s="5"/>
      <c r="T257" s="5"/>
    </row>
    <row r="258" spans="1:20" ht="45.75" customHeight="1" x14ac:dyDescent="0.3">
      <c r="A258" s="6">
        <v>1000000</v>
      </c>
      <c r="B258" s="7">
        <f t="shared" si="0"/>
        <v>1000000000000</v>
      </c>
      <c r="C258" s="8">
        <f t="shared" si="1"/>
        <v>13.815510557964274</v>
      </c>
      <c r="D258" s="9">
        <f t="shared" si="2"/>
        <v>1000</v>
      </c>
      <c r="E258" s="9">
        <v>1</v>
      </c>
      <c r="F258" s="9">
        <v>1</v>
      </c>
      <c r="G258" s="9">
        <v>0</v>
      </c>
      <c r="H258" s="9">
        <v>0</v>
      </c>
      <c r="I258" s="9">
        <v>0</v>
      </c>
      <c r="J258" s="9">
        <v>0</v>
      </c>
      <c r="K258" s="9">
        <v>27</v>
      </c>
      <c r="L258" s="9">
        <f t="shared" si="3"/>
        <v>729</v>
      </c>
      <c r="M258" s="9">
        <v>0</v>
      </c>
      <c r="N258" s="9">
        <v>0</v>
      </c>
      <c r="O258" s="9">
        <v>0</v>
      </c>
      <c r="P258" s="9">
        <v>8</v>
      </c>
      <c r="Q258" s="9">
        <f t="shared" si="4"/>
        <v>64</v>
      </c>
      <c r="R258" s="10">
        <f t="shared" si="5"/>
        <v>2.0794415416798357</v>
      </c>
      <c r="S258" s="5"/>
      <c r="T258" s="5"/>
    </row>
    <row r="259" spans="1:20" ht="45.75" customHeight="1" x14ac:dyDescent="0.3">
      <c r="A259" s="6">
        <v>3000000</v>
      </c>
      <c r="B259" s="7">
        <f t="shared" si="0"/>
        <v>9000000000000</v>
      </c>
      <c r="C259" s="8">
        <f t="shared" si="1"/>
        <v>14.914122846632385</v>
      </c>
      <c r="D259" s="9">
        <f t="shared" si="2"/>
        <v>3000</v>
      </c>
      <c r="E259" s="9">
        <v>1</v>
      </c>
      <c r="F259" s="9">
        <v>0</v>
      </c>
      <c r="G259" s="9">
        <v>0</v>
      </c>
      <c r="H259" s="9">
        <v>1</v>
      </c>
      <c r="I259" s="9">
        <v>1</v>
      </c>
      <c r="J259" s="9">
        <v>0</v>
      </c>
      <c r="K259" s="9">
        <v>32</v>
      </c>
      <c r="L259" s="9">
        <f t="shared" si="3"/>
        <v>1024</v>
      </c>
      <c r="M259" s="9">
        <v>0</v>
      </c>
      <c r="N259" s="9">
        <v>1</v>
      </c>
      <c r="O259" s="9">
        <v>1</v>
      </c>
      <c r="P259" s="9">
        <v>15</v>
      </c>
      <c r="Q259" s="9">
        <f t="shared" si="4"/>
        <v>225</v>
      </c>
      <c r="R259" s="10">
        <f t="shared" si="5"/>
        <v>2.7080502011022101</v>
      </c>
      <c r="S259" s="5"/>
      <c r="T259" s="5"/>
    </row>
    <row r="260" spans="1:20" ht="45.75" customHeight="1" x14ac:dyDescent="0.3">
      <c r="A260" s="6">
        <v>1500000</v>
      </c>
      <c r="B260" s="7">
        <f t="shared" si="0"/>
        <v>2250000000000</v>
      </c>
      <c r="C260" s="8">
        <f t="shared" si="1"/>
        <v>14.220975666072439</v>
      </c>
      <c r="D260" s="9">
        <f t="shared" si="2"/>
        <v>1500</v>
      </c>
      <c r="E260" s="9">
        <v>0</v>
      </c>
      <c r="F260" s="9">
        <v>0</v>
      </c>
      <c r="G260" s="9">
        <v>1</v>
      </c>
      <c r="H260" s="9">
        <v>0</v>
      </c>
      <c r="I260" s="9">
        <v>0</v>
      </c>
      <c r="J260" s="9">
        <v>1</v>
      </c>
      <c r="K260" s="9">
        <v>27</v>
      </c>
      <c r="L260" s="9">
        <f t="shared" si="3"/>
        <v>729</v>
      </c>
      <c r="M260" s="9">
        <v>1</v>
      </c>
      <c r="N260" s="9">
        <v>2</v>
      </c>
      <c r="O260" s="9">
        <v>1</v>
      </c>
      <c r="P260" s="9">
        <v>6</v>
      </c>
      <c r="Q260" s="9">
        <f t="shared" si="4"/>
        <v>36</v>
      </c>
      <c r="R260" s="10">
        <f t="shared" si="5"/>
        <v>1.791759469228055</v>
      </c>
      <c r="S260" s="5"/>
      <c r="T260" s="5"/>
    </row>
    <row r="261" spans="1:20" ht="45.75" customHeight="1" x14ac:dyDescent="0.3">
      <c r="A261" s="6">
        <v>1400000</v>
      </c>
      <c r="B261" s="7">
        <f t="shared" si="0"/>
        <v>1960000000000</v>
      </c>
      <c r="C261" s="8">
        <f t="shared" si="1"/>
        <v>14.151982794585487</v>
      </c>
      <c r="D261" s="9">
        <f t="shared" si="2"/>
        <v>1400</v>
      </c>
      <c r="E261" s="9">
        <v>0</v>
      </c>
      <c r="F261" s="9">
        <v>1</v>
      </c>
      <c r="G261" s="9">
        <v>0</v>
      </c>
      <c r="H261" s="9">
        <v>0</v>
      </c>
      <c r="I261" s="9">
        <v>0</v>
      </c>
      <c r="J261" s="9">
        <v>1</v>
      </c>
      <c r="K261" s="9">
        <v>63</v>
      </c>
      <c r="L261" s="9">
        <f t="shared" si="3"/>
        <v>3969</v>
      </c>
      <c r="M261" s="9">
        <v>1</v>
      </c>
      <c r="N261" s="9">
        <v>8</v>
      </c>
      <c r="O261" s="9">
        <v>1</v>
      </c>
      <c r="P261" s="9">
        <v>50</v>
      </c>
      <c r="Q261" s="9">
        <f t="shared" si="4"/>
        <v>2500</v>
      </c>
      <c r="R261" s="10">
        <f t="shared" si="5"/>
        <v>3.912023005428146</v>
      </c>
      <c r="S261" s="5"/>
      <c r="T261" s="5"/>
    </row>
    <row r="262" spans="1:20" ht="45.75" customHeight="1" x14ac:dyDescent="0.3">
      <c r="A262" s="6">
        <v>2500000</v>
      </c>
      <c r="B262" s="7">
        <f t="shared" si="0"/>
        <v>6250000000000</v>
      </c>
      <c r="C262" s="8">
        <f t="shared" si="1"/>
        <v>14.73180128983843</v>
      </c>
      <c r="D262" s="9">
        <f t="shared" si="2"/>
        <v>2500</v>
      </c>
      <c r="E262" s="9">
        <v>0</v>
      </c>
      <c r="F262" s="9">
        <v>0</v>
      </c>
      <c r="G262" s="9">
        <v>1</v>
      </c>
      <c r="H262" s="9">
        <v>0</v>
      </c>
      <c r="I262" s="9">
        <v>1</v>
      </c>
      <c r="J262" s="9">
        <v>1</v>
      </c>
      <c r="K262" s="9">
        <v>30</v>
      </c>
      <c r="L262" s="9">
        <f t="shared" si="3"/>
        <v>900</v>
      </c>
      <c r="M262" s="9">
        <v>0</v>
      </c>
      <c r="N262" s="9">
        <v>2</v>
      </c>
      <c r="O262" s="9">
        <v>1</v>
      </c>
      <c r="P262" s="9">
        <v>8</v>
      </c>
      <c r="Q262" s="9">
        <f t="shared" si="4"/>
        <v>64</v>
      </c>
      <c r="R262" s="10">
        <f t="shared" si="5"/>
        <v>2.0794415416798357</v>
      </c>
      <c r="S262" s="5"/>
      <c r="T262" s="5"/>
    </row>
    <row r="263" spans="1:20" ht="45.75" customHeight="1" x14ac:dyDescent="0.3">
      <c r="A263" s="6">
        <v>1900000</v>
      </c>
      <c r="B263" s="7">
        <f t="shared" si="0"/>
        <v>3610000000000</v>
      </c>
      <c r="C263" s="8">
        <f t="shared" si="1"/>
        <v>14.457364444136669</v>
      </c>
      <c r="D263" s="9">
        <f t="shared" si="2"/>
        <v>1900</v>
      </c>
      <c r="E263" s="9">
        <v>0</v>
      </c>
      <c r="F263" s="9">
        <v>0</v>
      </c>
      <c r="G263" s="9">
        <v>1</v>
      </c>
      <c r="H263" s="9">
        <v>0</v>
      </c>
      <c r="I263" s="9">
        <v>1</v>
      </c>
      <c r="J263" s="9">
        <v>1</v>
      </c>
      <c r="K263" s="9">
        <v>29</v>
      </c>
      <c r="L263" s="9">
        <f t="shared" si="3"/>
        <v>841</v>
      </c>
      <c r="M263" s="9">
        <v>1</v>
      </c>
      <c r="N263" s="9">
        <v>5</v>
      </c>
      <c r="O263" s="9">
        <v>1</v>
      </c>
      <c r="P263" s="9">
        <v>5</v>
      </c>
      <c r="Q263" s="9">
        <f t="shared" si="4"/>
        <v>25</v>
      </c>
      <c r="R263" s="10">
        <f t="shared" si="5"/>
        <v>1.6094379124341003</v>
      </c>
      <c r="S263" s="5"/>
      <c r="T263" s="5"/>
    </row>
    <row r="264" spans="1:20" ht="45.75" customHeight="1" x14ac:dyDescent="0.3">
      <c r="A264" s="6">
        <v>3500000</v>
      </c>
      <c r="B264" s="7">
        <f t="shared" si="0"/>
        <v>12250000000000</v>
      </c>
      <c r="C264" s="8">
        <f t="shared" si="1"/>
        <v>15.068273526459642</v>
      </c>
      <c r="D264" s="9">
        <f t="shared" si="2"/>
        <v>3500</v>
      </c>
      <c r="E264" s="9">
        <v>1</v>
      </c>
      <c r="F264" s="9">
        <v>0</v>
      </c>
      <c r="G264" s="9">
        <v>0</v>
      </c>
      <c r="H264" s="9">
        <v>1</v>
      </c>
      <c r="I264" s="9">
        <v>0</v>
      </c>
      <c r="J264" s="9">
        <v>0</v>
      </c>
      <c r="K264" s="9">
        <v>28</v>
      </c>
      <c r="L264" s="9">
        <f t="shared" si="3"/>
        <v>784</v>
      </c>
      <c r="M264" s="9">
        <v>1</v>
      </c>
      <c r="N264" s="9">
        <v>1</v>
      </c>
      <c r="O264" s="9">
        <v>1</v>
      </c>
      <c r="P264" s="9">
        <v>10</v>
      </c>
      <c r="Q264" s="9">
        <f t="shared" si="4"/>
        <v>100</v>
      </c>
      <c r="R264" s="10">
        <f t="shared" si="5"/>
        <v>2.3025850929940459</v>
      </c>
      <c r="S264" s="5"/>
      <c r="T264" s="5"/>
    </row>
    <row r="265" spans="1:20" ht="45.75" customHeight="1" x14ac:dyDescent="0.3">
      <c r="A265" s="6">
        <v>1200000</v>
      </c>
      <c r="B265" s="7">
        <f t="shared" si="0"/>
        <v>1440000000000</v>
      </c>
      <c r="C265" s="8">
        <f t="shared" si="1"/>
        <v>13.997832114758229</v>
      </c>
      <c r="D265" s="9">
        <f t="shared" si="2"/>
        <v>1200</v>
      </c>
      <c r="E265" s="9">
        <v>1</v>
      </c>
      <c r="F265" s="9">
        <v>0</v>
      </c>
      <c r="G265" s="9">
        <v>0</v>
      </c>
      <c r="H265" s="9">
        <v>1</v>
      </c>
      <c r="I265" s="9">
        <v>0</v>
      </c>
      <c r="J265" s="9">
        <v>1</v>
      </c>
      <c r="K265" s="9">
        <v>24</v>
      </c>
      <c r="L265" s="9">
        <f t="shared" si="3"/>
        <v>576</v>
      </c>
      <c r="M265" s="9">
        <v>0</v>
      </c>
      <c r="N265" s="9">
        <v>1</v>
      </c>
      <c r="O265" s="9">
        <v>1</v>
      </c>
      <c r="P265" s="9">
        <v>2</v>
      </c>
      <c r="Q265" s="9">
        <f t="shared" si="4"/>
        <v>4</v>
      </c>
      <c r="R265" s="10">
        <f t="shared" si="5"/>
        <v>0.69314718055994529</v>
      </c>
      <c r="S265" s="5"/>
      <c r="T265" s="5"/>
    </row>
    <row r="266" spans="1:20" ht="45.75" customHeight="1" x14ac:dyDescent="0.3">
      <c r="A266" s="6">
        <v>1000000</v>
      </c>
      <c r="B266" s="7">
        <f t="shared" si="0"/>
        <v>1000000000000</v>
      </c>
      <c r="C266" s="8">
        <f t="shared" si="1"/>
        <v>13.815510557964274</v>
      </c>
      <c r="D266" s="9">
        <f t="shared" si="2"/>
        <v>1000</v>
      </c>
      <c r="E266" s="9">
        <v>1</v>
      </c>
      <c r="F266" s="9">
        <v>0</v>
      </c>
      <c r="G266" s="9">
        <v>1</v>
      </c>
      <c r="H266" s="9">
        <v>0</v>
      </c>
      <c r="I266" s="9">
        <v>0</v>
      </c>
      <c r="J266" s="9">
        <v>1</v>
      </c>
      <c r="K266" s="9">
        <v>27</v>
      </c>
      <c r="L266" s="9">
        <f t="shared" si="3"/>
        <v>729</v>
      </c>
      <c r="M266" s="9">
        <v>0</v>
      </c>
      <c r="N266" s="9">
        <v>0</v>
      </c>
      <c r="O266" s="9">
        <v>0</v>
      </c>
      <c r="P266" s="9">
        <v>1</v>
      </c>
      <c r="Q266" s="9">
        <f t="shared" si="4"/>
        <v>1</v>
      </c>
      <c r="R266" s="10">
        <f t="shared" si="5"/>
        <v>0</v>
      </c>
      <c r="S266" s="5"/>
      <c r="T266" s="5"/>
    </row>
    <row r="267" spans="1:20" ht="45.75" customHeight="1" x14ac:dyDescent="0.3">
      <c r="A267" s="6">
        <v>1000000</v>
      </c>
      <c r="B267" s="7">
        <f t="shared" si="0"/>
        <v>1000000000000</v>
      </c>
      <c r="C267" s="8">
        <f t="shared" si="1"/>
        <v>13.815510557964274</v>
      </c>
      <c r="D267" s="9">
        <f t="shared" si="2"/>
        <v>1000</v>
      </c>
      <c r="E267" s="9">
        <v>0</v>
      </c>
      <c r="F267" s="9">
        <v>1</v>
      </c>
      <c r="G267" s="9">
        <v>0</v>
      </c>
      <c r="H267" s="9">
        <v>0</v>
      </c>
      <c r="I267" s="9">
        <v>0</v>
      </c>
      <c r="J267" s="9">
        <v>0</v>
      </c>
      <c r="K267" s="9">
        <v>26</v>
      </c>
      <c r="L267" s="9">
        <f t="shared" si="3"/>
        <v>676</v>
      </c>
      <c r="M267" s="9">
        <v>0</v>
      </c>
      <c r="N267" s="9">
        <v>0</v>
      </c>
      <c r="O267" s="9">
        <v>0</v>
      </c>
      <c r="P267" s="9">
        <v>0.5</v>
      </c>
      <c r="Q267" s="9">
        <f t="shared" si="4"/>
        <v>0.25</v>
      </c>
      <c r="R267" s="10">
        <f t="shared" si="5"/>
        <v>-0.69314718055994529</v>
      </c>
      <c r="S267" s="5"/>
      <c r="T267" s="5"/>
    </row>
    <row r="268" spans="1:20" ht="45.75" customHeight="1" x14ac:dyDescent="0.3">
      <c r="A268" s="6">
        <v>2800000</v>
      </c>
      <c r="B268" s="7">
        <f t="shared" si="0"/>
        <v>7840000000000</v>
      </c>
      <c r="C268" s="8">
        <f t="shared" si="1"/>
        <v>14.845129975145433</v>
      </c>
      <c r="D268" s="9">
        <f t="shared" si="2"/>
        <v>2800</v>
      </c>
      <c r="E268" s="9">
        <v>0</v>
      </c>
      <c r="F268" s="9">
        <v>0</v>
      </c>
      <c r="G268" s="9">
        <v>0</v>
      </c>
      <c r="H268" s="9">
        <v>1</v>
      </c>
      <c r="I268" s="9">
        <v>1</v>
      </c>
      <c r="J268" s="9">
        <v>1</v>
      </c>
      <c r="K268" s="9">
        <v>52</v>
      </c>
      <c r="L268" s="9">
        <f t="shared" si="3"/>
        <v>2704</v>
      </c>
      <c r="M268" s="9">
        <v>1</v>
      </c>
      <c r="N268" s="9">
        <v>1</v>
      </c>
      <c r="O268" s="9">
        <v>1</v>
      </c>
      <c r="P268" s="9">
        <v>6</v>
      </c>
      <c r="Q268" s="9">
        <f t="shared" si="4"/>
        <v>36</v>
      </c>
      <c r="R268" s="10">
        <f t="shared" si="5"/>
        <v>1.791759469228055</v>
      </c>
      <c r="S268" s="5"/>
      <c r="T268" s="5"/>
    </row>
    <row r="269" spans="1:20" ht="45.75" customHeight="1" x14ac:dyDescent="0.3">
      <c r="A269" s="6">
        <v>1650000</v>
      </c>
      <c r="B269" s="7">
        <f t="shared" si="0"/>
        <v>2722500000000</v>
      </c>
      <c r="C269" s="8">
        <f t="shared" si="1"/>
        <v>14.316285845876763</v>
      </c>
      <c r="D269" s="9">
        <f t="shared" si="2"/>
        <v>1650</v>
      </c>
      <c r="E269" s="9">
        <v>1</v>
      </c>
      <c r="F269" s="9">
        <v>0</v>
      </c>
      <c r="G269" s="9">
        <v>1</v>
      </c>
      <c r="H269" s="9">
        <v>0</v>
      </c>
      <c r="I269" s="9">
        <v>1</v>
      </c>
      <c r="J269" s="9">
        <v>0</v>
      </c>
      <c r="K269" s="9">
        <v>26</v>
      </c>
      <c r="L269" s="9">
        <f t="shared" si="3"/>
        <v>676</v>
      </c>
      <c r="M269" s="9">
        <v>1</v>
      </c>
      <c r="N269" s="9">
        <v>1</v>
      </c>
      <c r="O269" s="9">
        <v>1</v>
      </c>
      <c r="P269" s="9">
        <v>0.5</v>
      </c>
      <c r="Q269" s="9">
        <f t="shared" si="4"/>
        <v>0.25</v>
      </c>
      <c r="R269" s="10">
        <f t="shared" si="5"/>
        <v>-0.69314718055994529</v>
      </c>
      <c r="S269" s="5"/>
      <c r="T269" s="5"/>
    </row>
    <row r="270" spans="1:20" ht="45.75" customHeight="1" x14ac:dyDescent="0.3">
      <c r="A270" s="6">
        <v>3500000</v>
      </c>
      <c r="B270" s="7">
        <f t="shared" si="0"/>
        <v>12250000000000</v>
      </c>
      <c r="C270" s="8">
        <f t="shared" si="1"/>
        <v>15.068273526459642</v>
      </c>
      <c r="D270" s="9">
        <f t="shared" si="2"/>
        <v>3500</v>
      </c>
      <c r="E270" s="9">
        <v>1</v>
      </c>
      <c r="F270" s="9">
        <v>0</v>
      </c>
      <c r="G270" s="9">
        <v>0</v>
      </c>
      <c r="H270" s="9">
        <v>1</v>
      </c>
      <c r="I270" s="9">
        <v>1</v>
      </c>
      <c r="J270" s="9">
        <v>0</v>
      </c>
      <c r="K270" s="9">
        <v>40</v>
      </c>
      <c r="L270" s="9">
        <f t="shared" si="3"/>
        <v>1600</v>
      </c>
      <c r="M270" s="9">
        <v>1</v>
      </c>
      <c r="N270" s="9">
        <v>2</v>
      </c>
      <c r="O270" s="9">
        <v>1</v>
      </c>
      <c r="P270" s="9">
        <v>7</v>
      </c>
      <c r="Q270" s="9">
        <f t="shared" si="4"/>
        <v>49</v>
      </c>
      <c r="R270" s="10">
        <f t="shared" si="5"/>
        <v>1.9459101490553132</v>
      </c>
      <c r="S270" s="5"/>
      <c r="T270" s="5"/>
    </row>
    <row r="271" spans="1:20" ht="45.75" customHeight="1" x14ac:dyDescent="0.3">
      <c r="A271" s="6">
        <v>1000000</v>
      </c>
      <c r="B271" s="7">
        <f t="shared" si="0"/>
        <v>1000000000000</v>
      </c>
      <c r="C271" s="8">
        <f t="shared" si="1"/>
        <v>13.815510557964274</v>
      </c>
      <c r="D271" s="9">
        <f t="shared" si="2"/>
        <v>1000</v>
      </c>
      <c r="E271" s="9">
        <v>1</v>
      </c>
      <c r="F271" s="9">
        <v>0</v>
      </c>
      <c r="G271" s="9">
        <v>1</v>
      </c>
      <c r="H271" s="9">
        <v>0</v>
      </c>
      <c r="I271" s="9">
        <v>0</v>
      </c>
      <c r="J271" s="9">
        <v>0</v>
      </c>
      <c r="K271" s="9">
        <v>23</v>
      </c>
      <c r="L271" s="9">
        <f t="shared" si="3"/>
        <v>529</v>
      </c>
      <c r="M271" s="9">
        <v>0</v>
      </c>
      <c r="N271" s="9">
        <v>1</v>
      </c>
      <c r="O271" s="9">
        <v>1</v>
      </c>
      <c r="P271" s="9">
        <v>3</v>
      </c>
      <c r="Q271" s="9">
        <f t="shared" si="4"/>
        <v>9</v>
      </c>
      <c r="R271" s="10">
        <f t="shared" si="5"/>
        <v>1.0986122886681098</v>
      </c>
      <c r="S271" s="5"/>
      <c r="T271" s="5"/>
    </row>
    <row r="272" spans="1:20" ht="45.75" customHeight="1" x14ac:dyDescent="0.3">
      <c r="A272" s="6">
        <v>3000000</v>
      </c>
      <c r="B272" s="7">
        <f t="shared" si="0"/>
        <v>9000000000000</v>
      </c>
      <c r="C272" s="8">
        <f t="shared" si="1"/>
        <v>14.914122846632385</v>
      </c>
      <c r="D272" s="9">
        <f t="shared" si="2"/>
        <v>3000</v>
      </c>
      <c r="E272" s="9">
        <v>0</v>
      </c>
      <c r="F272" s="9">
        <v>0</v>
      </c>
      <c r="G272" s="9">
        <v>0</v>
      </c>
      <c r="H272" s="9">
        <v>1</v>
      </c>
      <c r="I272" s="9">
        <v>1</v>
      </c>
      <c r="J272" s="9">
        <v>0</v>
      </c>
      <c r="K272" s="9">
        <v>27</v>
      </c>
      <c r="L272" s="9">
        <f t="shared" si="3"/>
        <v>729</v>
      </c>
      <c r="M272" s="9">
        <v>0</v>
      </c>
      <c r="N272" s="9">
        <v>0</v>
      </c>
      <c r="O272" s="9">
        <v>0</v>
      </c>
      <c r="P272" s="9">
        <v>3</v>
      </c>
      <c r="Q272" s="9">
        <f t="shared" si="4"/>
        <v>9</v>
      </c>
      <c r="R272" s="10">
        <f t="shared" si="5"/>
        <v>1.0986122886681098</v>
      </c>
      <c r="S272" s="5"/>
      <c r="T272" s="5"/>
    </row>
    <row r="273" spans="1:20" ht="45.75" customHeight="1" x14ac:dyDescent="0.3">
      <c r="A273" s="6">
        <v>1000000</v>
      </c>
      <c r="B273" s="7">
        <f t="shared" si="0"/>
        <v>1000000000000</v>
      </c>
      <c r="C273" s="8">
        <f t="shared" si="1"/>
        <v>13.815510557964274</v>
      </c>
      <c r="D273" s="9">
        <f t="shared" si="2"/>
        <v>1000</v>
      </c>
      <c r="E273" s="9">
        <v>1</v>
      </c>
      <c r="F273" s="9">
        <v>0</v>
      </c>
      <c r="G273" s="9">
        <v>0</v>
      </c>
      <c r="H273" s="9">
        <v>1</v>
      </c>
      <c r="I273" s="9">
        <v>0</v>
      </c>
      <c r="J273" s="9">
        <v>1</v>
      </c>
      <c r="K273" s="9">
        <v>25</v>
      </c>
      <c r="L273" s="9">
        <f t="shared" si="3"/>
        <v>625</v>
      </c>
      <c r="M273" s="9">
        <v>0</v>
      </c>
      <c r="N273" s="9">
        <v>0</v>
      </c>
      <c r="O273" s="9">
        <v>0</v>
      </c>
      <c r="P273" s="9">
        <v>2</v>
      </c>
      <c r="Q273" s="9">
        <f t="shared" si="4"/>
        <v>4</v>
      </c>
      <c r="R273" s="10">
        <f t="shared" si="5"/>
        <v>0.69314718055994529</v>
      </c>
      <c r="S273" s="5"/>
      <c r="T273" s="5"/>
    </row>
    <row r="274" spans="1:20" ht="45.75" customHeight="1" x14ac:dyDescent="0.3">
      <c r="A274" s="6">
        <v>1000000</v>
      </c>
      <c r="B274" s="7">
        <f t="shared" si="0"/>
        <v>1000000000000</v>
      </c>
      <c r="C274" s="8">
        <f t="shared" si="1"/>
        <v>13.815510557964274</v>
      </c>
      <c r="D274" s="9">
        <f t="shared" si="2"/>
        <v>1000</v>
      </c>
      <c r="E274" s="9">
        <v>1</v>
      </c>
      <c r="F274" s="9">
        <v>1</v>
      </c>
      <c r="G274" s="9">
        <v>0</v>
      </c>
      <c r="H274" s="9">
        <v>0</v>
      </c>
      <c r="I274" s="9">
        <v>0</v>
      </c>
      <c r="J274" s="9">
        <v>1</v>
      </c>
      <c r="K274" s="9">
        <v>28</v>
      </c>
      <c r="L274" s="9">
        <f t="shared" si="3"/>
        <v>784</v>
      </c>
      <c r="M274" s="9">
        <v>1</v>
      </c>
      <c r="N274" s="9">
        <v>0</v>
      </c>
      <c r="O274" s="9">
        <v>0</v>
      </c>
      <c r="P274" s="9">
        <v>6</v>
      </c>
      <c r="Q274" s="9">
        <f t="shared" si="4"/>
        <v>36</v>
      </c>
      <c r="R274" s="10">
        <f t="shared" si="5"/>
        <v>1.791759469228055</v>
      </c>
      <c r="S274" s="5"/>
      <c r="T274" s="5"/>
    </row>
    <row r="275" spans="1:20" ht="45.75" customHeight="1" x14ac:dyDescent="0.3">
      <c r="A275" s="6">
        <v>1000000</v>
      </c>
      <c r="B275" s="7">
        <f t="shared" si="0"/>
        <v>1000000000000</v>
      </c>
      <c r="C275" s="8">
        <f t="shared" si="1"/>
        <v>13.815510557964274</v>
      </c>
      <c r="D275" s="9">
        <f t="shared" si="2"/>
        <v>1000</v>
      </c>
      <c r="E275" s="9">
        <v>1</v>
      </c>
      <c r="F275" s="9">
        <v>0</v>
      </c>
      <c r="G275" s="9">
        <v>0</v>
      </c>
      <c r="H275" s="9">
        <v>1</v>
      </c>
      <c r="I275" s="9">
        <v>0</v>
      </c>
      <c r="J275" s="9">
        <v>1</v>
      </c>
      <c r="K275" s="9">
        <v>30</v>
      </c>
      <c r="L275" s="9">
        <f t="shared" si="3"/>
        <v>900</v>
      </c>
      <c r="M275" s="9">
        <v>0</v>
      </c>
      <c r="N275" s="9">
        <v>0</v>
      </c>
      <c r="O275" s="9">
        <v>0</v>
      </c>
      <c r="P275" s="9">
        <v>3</v>
      </c>
      <c r="Q275" s="9">
        <f t="shared" si="4"/>
        <v>9</v>
      </c>
      <c r="R275" s="10">
        <f t="shared" si="5"/>
        <v>1.0986122886681098</v>
      </c>
      <c r="S275" s="5"/>
      <c r="T275" s="5"/>
    </row>
    <row r="276" spans="1:20" ht="45.75" customHeight="1" x14ac:dyDescent="0.3">
      <c r="A276" s="6">
        <v>1000000</v>
      </c>
      <c r="B276" s="7">
        <f t="shared" si="0"/>
        <v>1000000000000</v>
      </c>
      <c r="C276" s="8">
        <f t="shared" si="1"/>
        <v>13.815510557964274</v>
      </c>
      <c r="D276" s="9">
        <f t="shared" si="2"/>
        <v>1000</v>
      </c>
      <c r="E276" s="9">
        <v>1</v>
      </c>
      <c r="F276" s="9">
        <v>1</v>
      </c>
      <c r="G276" s="9">
        <v>0</v>
      </c>
      <c r="H276" s="9">
        <v>0</v>
      </c>
      <c r="I276" s="9">
        <v>0</v>
      </c>
      <c r="J276" s="9">
        <v>0</v>
      </c>
      <c r="K276" s="9">
        <v>50</v>
      </c>
      <c r="L276" s="9">
        <f t="shared" si="3"/>
        <v>2500</v>
      </c>
      <c r="M276" s="9">
        <v>1</v>
      </c>
      <c r="N276" s="9">
        <v>3</v>
      </c>
      <c r="O276" s="9">
        <v>1</v>
      </c>
      <c r="P276" s="9">
        <v>15</v>
      </c>
      <c r="Q276" s="9">
        <f t="shared" si="4"/>
        <v>225</v>
      </c>
      <c r="R276" s="10">
        <f t="shared" si="5"/>
        <v>2.7080502011022101</v>
      </c>
      <c r="S276" s="5"/>
      <c r="T276" s="5"/>
    </row>
    <row r="277" spans="1:20" ht="45.75" customHeight="1" x14ac:dyDescent="0.3">
      <c r="A277" s="6">
        <v>1000000</v>
      </c>
      <c r="B277" s="7">
        <f t="shared" si="0"/>
        <v>1000000000000</v>
      </c>
      <c r="C277" s="8">
        <f t="shared" si="1"/>
        <v>13.815510557964274</v>
      </c>
      <c r="D277" s="9">
        <f t="shared" si="2"/>
        <v>1000</v>
      </c>
      <c r="E277" s="9">
        <v>1</v>
      </c>
      <c r="F277" s="9">
        <v>1</v>
      </c>
      <c r="G277" s="9">
        <v>0</v>
      </c>
      <c r="H277" s="9">
        <v>0</v>
      </c>
      <c r="I277" s="9">
        <v>0</v>
      </c>
      <c r="J277" s="9">
        <v>0</v>
      </c>
      <c r="K277" s="9">
        <v>43</v>
      </c>
      <c r="L277" s="9">
        <f t="shared" si="3"/>
        <v>1849</v>
      </c>
      <c r="M277" s="9">
        <v>1</v>
      </c>
      <c r="N277" s="9">
        <v>4</v>
      </c>
      <c r="O277" s="9">
        <v>1</v>
      </c>
      <c r="P277" s="9">
        <v>4</v>
      </c>
      <c r="Q277" s="9">
        <f t="shared" si="4"/>
        <v>16</v>
      </c>
      <c r="R277" s="10">
        <f t="shared" si="5"/>
        <v>1.3862943611198906</v>
      </c>
      <c r="S277" s="5"/>
      <c r="T277" s="5"/>
    </row>
    <row r="278" spans="1:20" ht="45.75" customHeight="1" x14ac:dyDescent="0.3">
      <c r="A278" s="6">
        <v>1200000</v>
      </c>
      <c r="B278" s="7">
        <f t="shared" si="0"/>
        <v>1440000000000</v>
      </c>
      <c r="C278" s="8">
        <f t="shared" si="1"/>
        <v>13.997832114758229</v>
      </c>
      <c r="D278" s="9">
        <f t="shared" si="2"/>
        <v>1200</v>
      </c>
      <c r="E278" s="9">
        <v>0</v>
      </c>
      <c r="F278" s="9">
        <v>0</v>
      </c>
      <c r="G278" s="9">
        <v>1</v>
      </c>
      <c r="H278" s="9">
        <v>0</v>
      </c>
      <c r="I278" s="9">
        <v>0</v>
      </c>
      <c r="J278" s="9">
        <v>1</v>
      </c>
      <c r="K278" s="9">
        <v>28</v>
      </c>
      <c r="L278" s="9">
        <f t="shared" si="3"/>
        <v>784</v>
      </c>
      <c r="M278" s="9">
        <v>1</v>
      </c>
      <c r="N278" s="9">
        <v>1</v>
      </c>
      <c r="O278" s="9">
        <v>1</v>
      </c>
      <c r="P278" s="9">
        <v>4</v>
      </c>
      <c r="Q278" s="9">
        <f t="shared" si="4"/>
        <v>16</v>
      </c>
      <c r="R278" s="10">
        <f t="shared" si="5"/>
        <v>1.3862943611198906</v>
      </c>
      <c r="S278" s="5"/>
      <c r="T278" s="5"/>
    </row>
    <row r="279" spans="1:20" ht="45.75" customHeight="1" x14ac:dyDescent="0.3">
      <c r="A279" s="6">
        <v>1200000</v>
      </c>
      <c r="B279" s="7">
        <f t="shared" si="0"/>
        <v>1440000000000</v>
      </c>
      <c r="C279" s="8">
        <f t="shared" si="1"/>
        <v>13.997832114758229</v>
      </c>
      <c r="D279" s="9">
        <f t="shared" si="2"/>
        <v>1200</v>
      </c>
      <c r="E279" s="9">
        <v>1</v>
      </c>
      <c r="F279" s="9">
        <v>1</v>
      </c>
      <c r="G279" s="9">
        <v>0</v>
      </c>
      <c r="H279" s="9">
        <v>0</v>
      </c>
      <c r="I279" s="9">
        <v>0</v>
      </c>
      <c r="J279" s="9">
        <v>0</v>
      </c>
      <c r="K279" s="9">
        <v>23</v>
      </c>
      <c r="L279" s="9">
        <f t="shared" si="3"/>
        <v>529</v>
      </c>
      <c r="M279" s="9">
        <v>0</v>
      </c>
      <c r="N279" s="9">
        <v>0</v>
      </c>
      <c r="O279" s="9">
        <v>0</v>
      </c>
      <c r="P279" s="9">
        <v>2</v>
      </c>
      <c r="Q279" s="9">
        <f t="shared" si="4"/>
        <v>4</v>
      </c>
      <c r="R279" s="10">
        <f t="shared" si="5"/>
        <v>0.69314718055994529</v>
      </c>
      <c r="S279" s="5"/>
      <c r="T279" s="5"/>
    </row>
    <row r="280" spans="1:20" ht="45.75" customHeight="1" x14ac:dyDescent="0.3">
      <c r="A280" s="6">
        <v>1300000</v>
      </c>
      <c r="B280" s="7">
        <f t="shared" si="0"/>
        <v>1690000000000</v>
      </c>
      <c r="C280" s="8">
        <f t="shared" si="1"/>
        <v>14.077874822431765</v>
      </c>
      <c r="D280" s="9">
        <f t="shared" si="2"/>
        <v>1300</v>
      </c>
      <c r="E280" s="9">
        <v>0</v>
      </c>
      <c r="F280" s="9">
        <v>0</v>
      </c>
      <c r="G280" s="9">
        <v>1</v>
      </c>
      <c r="H280" s="9">
        <v>0</v>
      </c>
      <c r="I280" s="9">
        <v>1</v>
      </c>
      <c r="J280" s="9">
        <v>0</v>
      </c>
      <c r="K280" s="9">
        <v>31</v>
      </c>
      <c r="L280" s="9">
        <f t="shared" si="3"/>
        <v>961</v>
      </c>
      <c r="M280" s="9">
        <v>0</v>
      </c>
      <c r="N280" s="9">
        <v>0</v>
      </c>
      <c r="O280" s="9">
        <v>0</v>
      </c>
      <c r="P280" s="9">
        <v>7</v>
      </c>
      <c r="Q280" s="9">
        <f t="shared" si="4"/>
        <v>49</v>
      </c>
      <c r="R280" s="10">
        <f t="shared" si="5"/>
        <v>1.9459101490553132</v>
      </c>
      <c r="S280" s="5"/>
      <c r="T280" s="5"/>
    </row>
    <row r="281" spans="1:20" ht="45.75" customHeight="1" x14ac:dyDescent="0.3">
      <c r="A281" s="6">
        <v>1000000</v>
      </c>
      <c r="B281" s="7">
        <f t="shared" si="0"/>
        <v>1000000000000</v>
      </c>
      <c r="C281" s="8">
        <f t="shared" si="1"/>
        <v>13.815510557964274</v>
      </c>
      <c r="D281" s="9">
        <f t="shared" si="2"/>
        <v>1000</v>
      </c>
      <c r="E281" s="9">
        <v>1</v>
      </c>
      <c r="F281" s="9">
        <v>1</v>
      </c>
      <c r="G281" s="9">
        <v>0</v>
      </c>
      <c r="H281" s="9">
        <v>0</v>
      </c>
      <c r="I281" s="9">
        <v>0</v>
      </c>
      <c r="J281" s="9">
        <v>1</v>
      </c>
      <c r="K281" s="9">
        <v>18</v>
      </c>
      <c r="L281" s="9">
        <f t="shared" si="3"/>
        <v>324</v>
      </c>
      <c r="M281" s="9">
        <v>0</v>
      </c>
      <c r="N281" s="9">
        <v>0</v>
      </c>
      <c r="O281" s="9">
        <v>0</v>
      </c>
      <c r="P281" s="9">
        <v>1</v>
      </c>
      <c r="Q281" s="9">
        <f t="shared" si="4"/>
        <v>1</v>
      </c>
      <c r="R281" s="10">
        <f t="shared" si="5"/>
        <v>0</v>
      </c>
      <c r="S281" s="5"/>
      <c r="T281" s="5"/>
    </row>
    <row r="282" spans="1:20" ht="45.75" customHeight="1" x14ac:dyDescent="0.3">
      <c r="A282" s="6">
        <v>6500000</v>
      </c>
      <c r="B282" s="7">
        <f t="shared" si="0"/>
        <v>42250000000000</v>
      </c>
      <c r="C282" s="8">
        <f t="shared" si="1"/>
        <v>15.687312734865866</v>
      </c>
      <c r="D282" s="9">
        <f t="shared" si="2"/>
        <v>6500</v>
      </c>
      <c r="E282" s="9">
        <v>0</v>
      </c>
      <c r="F282" s="9">
        <v>0</v>
      </c>
      <c r="G282" s="9">
        <v>0</v>
      </c>
      <c r="H282" s="9">
        <v>1</v>
      </c>
      <c r="I282" s="9">
        <v>1</v>
      </c>
      <c r="J282" s="9">
        <v>1</v>
      </c>
      <c r="K282" s="9">
        <v>54</v>
      </c>
      <c r="L282" s="9">
        <f t="shared" si="3"/>
        <v>2916</v>
      </c>
      <c r="M282" s="9">
        <v>0</v>
      </c>
      <c r="N282" s="9">
        <v>5</v>
      </c>
      <c r="O282" s="9">
        <v>1</v>
      </c>
      <c r="P282" s="9">
        <v>30</v>
      </c>
      <c r="Q282" s="9">
        <f t="shared" si="4"/>
        <v>900</v>
      </c>
      <c r="R282" s="10">
        <f t="shared" si="5"/>
        <v>3.4011973816621555</v>
      </c>
      <c r="S282" s="5"/>
      <c r="T282" s="5"/>
    </row>
    <row r="283" spans="1:20" ht="45.75" customHeight="1" x14ac:dyDescent="0.3">
      <c r="A283" s="6">
        <v>2500000</v>
      </c>
      <c r="B283" s="7">
        <f t="shared" si="0"/>
        <v>6250000000000</v>
      </c>
      <c r="C283" s="8">
        <f t="shared" si="1"/>
        <v>14.73180128983843</v>
      </c>
      <c r="D283" s="9">
        <f t="shared" si="2"/>
        <v>2500</v>
      </c>
      <c r="E283" s="9">
        <v>0</v>
      </c>
      <c r="F283" s="9">
        <v>0</v>
      </c>
      <c r="G283" s="9">
        <v>0</v>
      </c>
      <c r="H283" s="9">
        <v>1</v>
      </c>
      <c r="I283" s="9">
        <v>1</v>
      </c>
      <c r="J283" s="9">
        <v>1</v>
      </c>
      <c r="K283" s="9">
        <v>39</v>
      </c>
      <c r="L283" s="9">
        <f t="shared" si="3"/>
        <v>1521</v>
      </c>
      <c r="M283" s="9">
        <v>0</v>
      </c>
      <c r="N283" s="9">
        <v>1</v>
      </c>
      <c r="O283" s="9">
        <v>1</v>
      </c>
      <c r="P283" s="9">
        <v>1</v>
      </c>
      <c r="Q283" s="9">
        <f t="shared" si="4"/>
        <v>1</v>
      </c>
      <c r="R283" s="10">
        <f t="shared" si="5"/>
        <v>0</v>
      </c>
      <c r="S283" s="5"/>
      <c r="T283" s="5"/>
    </row>
    <row r="284" spans="1:20" ht="45.75" customHeight="1" x14ac:dyDescent="0.3">
      <c r="A284" s="6">
        <v>1700000</v>
      </c>
      <c r="B284" s="7">
        <f t="shared" si="0"/>
        <v>2890000000000</v>
      </c>
      <c r="C284" s="8">
        <f t="shared" si="1"/>
        <v>14.346138809026444</v>
      </c>
      <c r="D284" s="9">
        <f t="shared" si="2"/>
        <v>1700</v>
      </c>
      <c r="E284" s="9">
        <v>1</v>
      </c>
      <c r="F284" s="9">
        <v>0</v>
      </c>
      <c r="G284" s="9">
        <v>1</v>
      </c>
      <c r="H284" s="9">
        <v>0</v>
      </c>
      <c r="I284" s="9">
        <v>0</v>
      </c>
      <c r="J284" s="9">
        <v>1</v>
      </c>
      <c r="K284" s="9">
        <v>24</v>
      </c>
      <c r="L284" s="9">
        <f t="shared" si="3"/>
        <v>576</v>
      </c>
      <c r="M284" s="9">
        <v>0</v>
      </c>
      <c r="N284" s="9">
        <v>0</v>
      </c>
      <c r="O284" s="9">
        <v>0</v>
      </c>
      <c r="P284" s="9">
        <v>4</v>
      </c>
      <c r="Q284" s="9">
        <f t="shared" si="4"/>
        <v>16</v>
      </c>
      <c r="R284" s="10">
        <f t="shared" si="5"/>
        <v>1.3862943611198906</v>
      </c>
      <c r="S284" s="5"/>
      <c r="T284" s="5"/>
    </row>
    <row r="285" spans="1:20" ht="45.75" customHeight="1" x14ac:dyDescent="0.3">
      <c r="A285" s="6">
        <v>947000</v>
      </c>
      <c r="B285" s="7">
        <f t="shared" si="0"/>
        <v>896809000000</v>
      </c>
      <c r="C285" s="8">
        <f t="shared" si="1"/>
        <v>13.761054372168216</v>
      </c>
      <c r="D285" s="9">
        <f t="shared" si="2"/>
        <v>947</v>
      </c>
      <c r="E285" s="9">
        <v>1</v>
      </c>
      <c r="F285" s="9">
        <v>1</v>
      </c>
      <c r="G285" s="9">
        <v>0</v>
      </c>
      <c r="H285" s="9">
        <v>0</v>
      </c>
      <c r="I285" s="9">
        <v>0</v>
      </c>
      <c r="J285" s="9">
        <v>0</v>
      </c>
      <c r="K285" s="9">
        <v>25</v>
      </c>
      <c r="L285" s="9">
        <f t="shared" si="3"/>
        <v>625</v>
      </c>
      <c r="M285" s="9">
        <v>0</v>
      </c>
      <c r="N285" s="9">
        <v>0</v>
      </c>
      <c r="O285" s="9">
        <v>0</v>
      </c>
      <c r="P285" s="9">
        <v>6</v>
      </c>
      <c r="Q285" s="9">
        <f t="shared" si="4"/>
        <v>36</v>
      </c>
      <c r="R285" s="10">
        <f t="shared" si="5"/>
        <v>1.791759469228055</v>
      </c>
      <c r="S285" s="5"/>
      <c r="T285" s="5"/>
    </row>
    <row r="286" spans="1:20" ht="45.75" customHeight="1" x14ac:dyDescent="0.3">
      <c r="A286" s="6">
        <v>900000</v>
      </c>
      <c r="B286" s="7">
        <f t="shared" si="0"/>
        <v>810000000000</v>
      </c>
      <c r="C286" s="8">
        <f t="shared" si="1"/>
        <v>13.710150042306449</v>
      </c>
      <c r="D286" s="9">
        <f t="shared" si="2"/>
        <v>900</v>
      </c>
      <c r="E286" s="9">
        <v>1</v>
      </c>
      <c r="F286" s="9">
        <v>1</v>
      </c>
      <c r="G286" s="9">
        <v>0</v>
      </c>
      <c r="H286" s="9">
        <v>0</v>
      </c>
      <c r="I286" s="9">
        <v>0</v>
      </c>
      <c r="J286" s="9">
        <v>0</v>
      </c>
      <c r="K286" s="9">
        <v>19</v>
      </c>
      <c r="L286" s="9">
        <f t="shared" si="3"/>
        <v>361</v>
      </c>
      <c r="M286" s="9">
        <v>0</v>
      </c>
      <c r="N286" s="9">
        <v>0</v>
      </c>
      <c r="O286" s="9">
        <v>0</v>
      </c>
      <c r="P286" s="9">
        <v>5</v>
      </c>
      <c r="Q286" s="9">
        <f t="shared" si="4"/>
        <v>25</v>
      </c>
      <c r="R286" s="10">
        <f t="shared" si="5"/>
        <v>1.6094379124341003</v>
      </c>
      <c r="S286" s="5"/>
      <c r="T286" s="5"/>
    </row>
    <row r="287" spans="1:20" ht="45.75" customHeight="1" x14ac:dyDescent="0.3">
      <c r="A287" s="6">
        <v>1500000</v>
      </c>
      <c r="B287" s="7">
        <f t="shared" si="0"/>
        <v>2250000000000</v>
      </c>
      <c r="C287" s="8">
        <f t="shared" si="1"/>
        <v>14.220975666072439</v>
      </c>
      <c r="D287" s="9">
        <f t="shared" si="2"/>
        <v>1500</v>
      </c>
      <c r="E287" s="9">
        <v>1</v>
      </c>
      <c r="F287" s="9">
        <v>0</v>
      </c>
      <c r="G287" s="9">
        <v>1</v>
      </c>
      <c r="H287" s="9">
        <v>0</v>
      </c>
      <c r="I287" s="9">
        <v>1</v>
      </c>
      <c r="J287" s="9">
        <v>0</v>
      </c>
      <c r="K287" s="9">
        <v>49</v>
      </c>
      <c r="L287" s="9">
        <f t="shared" si="3"/>
        <v>2401</v>
      </c>
      <c r="M287" s="9">
        <v>1</v>
      </c>
      <c r="N287" s="9">
        <v>3</v>
      </c>
      <c r="O287" s="9">
        <v>1</v>
      </c>
      <c r="P287" s="9">
        <v>6</v>
      </c>
      <c r="Q287" s="9">
        <f t="shared" si="4"/>
        <v>36</v>
      </c>
      <c r="R287" s="10">
        <f t="shared" si="5"/>
        <v>1.791759469228055</v>
      </c>
      <c r="S287" s="5"/>
      <c r="T287" s="5"/>
    </row>
    <row r="288" spans="1:20" ht="45.75" customHeight="1" x14ac:dyDescent="0.3">
      <c r="A288" s="6">
        <v>2100000</v>
      </c>
      <c r="B288" s="7">
        <f t="shared" si="0"/>
        <v>4410000000000</v>
      </c>
      <c r="C288" s="8">
        <f t="shared" si="1"/>
        <v>14.557447902693651</v>
      </c>
      <c r="D288" s="9">
        <f t="shared" si="2"/>
        <v>2100</v>
      </c>
      <c r="E288" s="9">
        <v>1</v>
      </c>
      <c r="F288" s="9">
        <v>0</v>
      </c>
      <c r="G288" s="9">
        <v>1</v>
      </c>
      <c r="H288" s="9">
        <v>0</v>
      </c>
      <c r="I288" s="9">
        <v>0</v>
      </c>
      <c r="J288" s="9">
        <v>1</v>
      </c>
      <c r="K288" s="9">
        <v>37</v>
      </c>
      <c r="L288" s="9">
        <f t="shared" si="3"/>
        <v>1369</v>
      </c>
      <c r="M288" s="9">
        <v>1</v>
      </c>
      <c r="N288" s="9">
        <v>0</v>
      </c>
      <c r="O288" s="9">
        <v>0</v>
      </c>
      <c r="P288" s="9">
        <v>1</v>
      </c>
      <c r="Q288" s="9">
        <f t="shared" si="4"/>
        <v>1</v>
      </c>
      <c r="R288" s="10">
        <f t="shared" si="5"/>
        <v>0</v>
      </c>
      <c r="S288" s="5"/>
      <c r="T288" s="5"/>
    </row>
    <row r="289" spans="1:20" ht="45.75" customHeight="1" x14ac:dyDescent="0.3">
      <c r="A289" s="6">
        <v>2500000</v>
      </c>
      <c r="B289" s="7">
        <f t="shared" si="0"/>
        <v>6250000000000</v>
      </c>
      <c r="C289" s="8">
        <f t="shared" si="1"/>
        <v>14.73180128983843</v>
      </c>
      <c r="D289" s="9">
        <f t="shared" si="2"/>
        <v>2500</v>
      </c>
      <c r="E289" s="9">
        <v>1</v>
      </c>
      <c r="F289" s="9">
        <v>0</v>
      </c>
      <c r="G289" s="9">
        <v>0</v>
      </c>
      <c r="H289" s="9">
        <v>1</v>
      </c>
      <c r="I289" s="9">
        <v>1</v>
      </c>
      <c r="J289" s="9">
        <v>0</v>
      </c>
      <c r="K289" s="9">
        <v>34</v>
      </c>
      <c r="L289" s="9">
        <f t="shared" si="3"/>
        <v>1156</v>
      </c>
      <c r="M289" s="9">
        <v>1</v>
      </c>
      <c r="N289" s="9">
        <v>2</v>
      </c>
      <c r="O289" s="9">
        <v>1</v>
      </c>
      <c r="P289" s="9">
        <v>2</v>
      </c>
      <c r="Q289" s="9">
        <f t="shared" si="4"/>
        <v>4</v>
      </c>
      <c r="R289" s="10">
        <f t="shared" si="5"/>
        <v>0.69314718055994529</v>
      </c>
      <c r="S289" s="5"/>
      <c r="T289" s="5"/>
    </row>
    <row r="290" spans="1:20" ht="45.75" customHeight="1" x14ac:dyDescent="0.3">
      <c r="A290" s="6">
        <v>2000000</v>
      </c>
      <c r="B290" s="7">
        <f t="shared" si="0"/>
        <v>4000000000000</v>
      </c>
      <c r="C290" s="8">
        <f t="shared" si="1"/>
        <v>14.508657738524219</v>
      </c>
      <c r="D290" s="9">
        <f t="shared" si="2"/>
        <v>2000</v>
      </c>
      <c r="E290" s="9">
        <v>1</v>
      </c>
      <c r="F290" s="9">
        <v>0</v>
      </c>
      <c r="G290" s="9">
        <v>1</v>
      </c>
      <c r="H290" s="9">
        <v>0</v>
      </c>
      <c r="I290" s="9">
        <v>1</v>
      </c>
      <c r="J290" s="9">
        <v>0</v>
      </c>
      <c r="K290" s="9">
        <v>28</v>
      </c>
      <c r="L290" s="9">
        <f t="shared" si="3"/>
        <v>784</v>
      </c>
      <c r="M290" s="9">
        <v>1</v>
      </c>
      <c r="N290" s="9">
        <v>1</v>
      </c>
      <c r="O290" s="9">
        <v>1</v>
      </c>
      <c r="P290" s="9">
        <v>1</v>
      </c>
      <c r="Q290" s="9">
        <f t="shared" si="4"/>
        <v>1</v>
      </c>
      <c r="R290" s="10">
        <f t="shared" si="5"/>
        <v>0</v>
      </c>
      <c r="S290" s="5"/>
      <c r="T290" s="5"/>
    </row>
    <row r="291" spans="1:20" ht="45.75" customHeight="1" x14ac:dyDescent="0.3">
      <c r="A291" s="6">
        <v>1000000</v>
      </c>
      <c r="B291" s="7">
        <f t="shared" si="0"/>
        <v>1000000000000</v>
      </c>
      <c r="C291" s="8">
        <f t="shared" si="1"/>
        <v>13.815510557964274</v>
      </c>
      <c r="D291" s="9">
        <f t="shared" si="2"/>
        <v>1000</v>
      </c>
      <c r="E291" s="9">
        <v>1</v>
      </c>
      <c r="F291" s="9">
        <v>0</v>
      </c>
      <c r="G291" s="9">
        <v>0</v>
      </c>
      <c r="H291" s="9">
        <v>1</v>
      </c>
      <c r="I291" s="9">
        <v>0</v>
      </c>
      <c r="J291" s="9">
        <v>1</v>
      </c>
      <c r="K291" s="9">
        <v>57</v>
      </c>
      <c r="L291" s="9">
        <f t="shared" si="3"/>
        <v>3249</v>
      </c>
      <c r="M291" s="9">
        <v>1</v>
      </c>
      <c r="N291" s="9">
        <v>3</v>
      </c>
      <c r="O291" s="9">
        <v>1</v>
      </c>
      <c r="P291" s="9">
        <v>4</v>
      </c>
      <c r="Q291" s="9">
        <f t="shared" si="4"/>
        <v>16</v>
      </c>
      <c r="R291" s="10">
        <f t="shared" si="5"/>
        <v>1.3862943611198906</v>
      </c>
      <c r="S291" s="5"/>
      <c r="T291" s="5"/>
    </row>
    <row r="292" spans="1:20" ht="45.75" customHeight="1" x14ac:dyDescent="0.3">
      <c r="A292" s="6">
        <v>1300000</v>
      </c>
      <c r="B292" s="7">
        <f t="shared" si="0"/>
        <v>1690000000000</v>
      </c>
      <c r="C292" s="8">
        <f t="shared" si="1"/>
        <v>14.077874822431765</v>
      </c>
      <c r="D292" s="9">
        <f t="shared" si="2"/>
        <v>1300</v>
      </c>
      <c r="E292" s="9">
        <v>1</v>
      </c>
      <c r="F292" s="9">
        <v>0</v>
      </c>
      <c r="G292" s="9">
        <v>1</v>
      </c>
      <c r="H292" s="9">
        <v>0</v>
      </c>
      <c r="I292" s="9">
        <v>0</v>
      </c>
      <c r="J292" s="9">
        <v>0</v>
      </c>
      <c r="K292" s="9">
        <v>42</v>
      </c>
      <c r="L292" s="9">
        <f t="shared" si="3"/>
        <v>1764</v>
      </c>
      <c r="M292" s="9">
        <v>1</v>
      </c>
      <c r="N292" s="9">
        <v>2</v>
      </c>
      <c r="O292" s="9">
        <v>1</v>
      </c>
      <c r="P292" s="9">
        <v>6</v>
      </c>
      <c r="Q292" s="9">
        <f t="shared" si="4"/>
        <v>36</v>
      </c>
      <c r="R292" s="10">
        <f t="shared" si="5"/>
        <v>1.791759469228055</v>
      </c>
      <c r="S292" s="5"/>
      <c r="T292" s="5"/>
    </row>
    <row r="293" spans="1:20" ht="45.75" customHeight="1" x14ac:dyDescent="0.3">
      <c r="A293" s="6">
        <v>2000000</v>
      </c>
      <c r="B293" s="7">
        <f t="shared" si="0"/>
        <v>4000000000000</v>
      </c>
      <c r="C293" s="8">
        <f t="shared" si="1"/>
        <v>14.508657738524219</v>
      </c>
      <c r="D293" s="9">
        <f t="shared" si="2"/>
        <v>2000</v>
      </c>
      <c r="E293" s="9">
        <v>0</v>
      </c>
      <c r="F293" s="9">
        <v>0</v>
      </c>
      <c r="G293" s="9">
        <v>0</v>
      </c>
      <c r="H293" s="9">
        <v>1</v>
      </c>
      <c r="I293" s="9">
        <v>0</v>
      </c>
      <c r="J293" s="9">
        <v>1</v>
      </c>
      <c r="K293" s="9">
        <v>28</v>
      </c>
      <c r="L293" s="9">
        <f t="shared" si="3"/>
        <v>784</v>
      </c>
      <c r="M293" s="9">
        <v>0</v>
      </c>
      <c r="N293" s="9">
        <v>0</v>
      </c>
      <c r="O293" s="9">
        <v>0</v>
      </c>
      <c r="P293" s="9">
        <v>3</v>
      </c>
      <c r="Q293" s="9">
        <f t="shared" si="4"/>
        <v>9</v>
      </c>
      <c r="R293" s="10">
        <f t="shared" si="5"/>
        <v>1.0986122886681098</v>
      </c>
      <c r="S293" s="5"/>
      <c r="T293" s="5"/>
    </row>
    <row r="294" spans="1:20" ht="45.75" customHeight="1" x14ac:dyDescent="0.3">
      <c r="A294" s="6">
        <v>989789</v>
      </c>
      <c r="B294" s="7">
        <f t="shared" si="0"/>
        <v>979682264521</v>
      </c>
      <c r="C294" s="8">
        <f t="shared" si="1"/>
        <v>13.805247068081936</v>
      </c>
      <c r="D294" s="9">
        <f t="shared" si="2"/>
        <v>989.78899999999999</v>
      </c>
      <c r="E294" s="9">
        <v>1</v>
      </c>
      <c r="F294" s="9">
        <v>0</v>
      </c>
      <c r="G294" s="9">
        <v>1</v>
      </c>
      <c r="H294" s="9">
        <v>0</v>
      </c>
      <c r="I294" s="9">
        <v>0</v>
      </c>
      <c r="J294" s="9">
        <v>0</v>
      </c>
      <c r="K294" s="9">
        <v>26</v>
      </c>
      <c r="L294" s="9">
        <f t="shared" si="3"/>
        <v>676</v>
      </c>
      <c r="M294" s="9">
        <v>0</v>
      </c>
      <c r="N294" s="9">
        <v>1</v>
      </c>
      <c r="O294" s="9">
        <v>1</v>
      </c>
      <c r="P294" s="9">
        <v>6</v>
      </c>
      <c r="Q294" s="9">
        <f t="shared" si="4"/>
        <v>36</v>
      </c>
      <c r="R294" s="10">
        <f t="shared" si="5"/>
        <v>1.791759469228055</v>
      </c>
      <c r="S294" s="5"/>
      <c r="T294" s="5"/>
    </row>
    <row r="295" spans="1:20" ht="45.75" customHeight="1" x14ac:dyDescent="0.3">
      <c r="A295" s="6">
        <v>3000000</v>
      </c>
      <c r="B295" s="7">
        <f t="shared" si="0"/>
        <v>9000000000000</v>
      </c>
      <c r="C295" s="8">
        <f t="shared" si="1"/>
        <v>14.914122846632385</v>
      </c>
      <c r="D295" s="9">
        <f t="shared" si="2"/>
        <v>3000</v>
      </c>
      <c r="E295" s="9">
        <v>1</v>
      </c>
      <c r="F295" s="9">
        <v>0</v>
      </c>
      <c r="G295" s="9">
        <v>0</v>
      </c>
      <c r="H295" s="9">
        <v>1</v>
      </c>
      <c r="I295" s="9">
        <v>0</v>
      </c>
      <c r="J295" s="9">
        <v>1</v>
      </c>
      <c r="K295" s="9">
        <v>25</v>
      </c>
      <c r="L295" s="9">
        <f t="shared" si="3"/>
        <v>625</v>
      </c>
      <c r="M295" s="9">
        <v>0</v>
      </c>
      <c r="N295" s="9">
        <v>0</v>
      </c>
      <c r="O295" s="9">
        <v>0</v>
      </c>
      <c r="P295" s="9">
        <v>8</v>
      </c>
      <c r="Q295" s="9">
        <f t="shared" si="4"/>
        <v>64</v>
      </c>
      <c r="R295" s="10">
        <f t="shared" si="5"/>
        <v>2.0794415416798357</v>
      </c>
      <c r="S295" s="5"/>
      <c r="T295" s="5"/>
    </row>
    <row r="296" spans="1:20" ht="45.75" customHeight="1" x14ac:dyDescent="0.3">
      <c r="A296" s="6">
        <v>5000000</v>
      </c>
      <c r="B296" s="7">
        <f t="shared" si="0"/>
        <v>25000000000000</v>
      </c>
      <c r="C296" s="8">
        <f t="shared" si="1"/>
        <v>15.424948470398375</v>
      </c>
      <c r="D296" s="9">
        <f t="shared" si="2"/>
        <v>5000</v>
      </c>
      <c r="E296" s="9">
        <v>1</v>
      </c>
      <c r="F296" s="9">
        <v>0</v>
      </c>
      <c r="G296" s="9">
        <v>0</v>
      </c>
      <c r="H296" s="9">
        <v>1</v>
      </c>
      <c r="I296" s="9">
        <v>1</v>
      </c>
      <c r="J296" s="9">
        <v>1</v>
      </c>
      <c r="K296" s="9">
        <v>53</v>
      </c>
      <c r="L296" s="9">
        <f t="shared" si="3"/>
        <v>2809</v>
      </c>
      <c r="M296" s="9">
        <v>1</v>
      </c>
      <c r="N296" s="9">
        <v>3</v>
      </c>
      <c r="O296" s="9">
        <v>1</v>
      </c>
      <c r="P296" s="9">
        <v>25</v>
      </c>
      <c r="Q296" s="9">
        <f t="shared" si="4"/>
        <v>625</v>
      </c>
      <c r="R296" s="10">
        <f t="shared" si="5"/>
        <v>3.2188758248682006</v>
      </c>
      <c r="S296" s="5"/>
      <c r="T296" s="5"/>
    </row>
    <row r="297" spans="1:20" ht="45.75" customHeight="1" x14ac:dyDescent="0.3">
      <c r="A297" s="6">
        <v>1300000</v>
      </c>
      <c r="B297" s="7">
        <f t="shared" si="0"/>
        <v>1690000000000</v>
      </c>
      <c r="C297" s="8">
        <f t="shared" si="1"/>
        <v>14.077874822431765</v>
      </c>
      <c r="D297" s="9">
        <f t="shared" si="2"/>
        <v>1300</v>
      </c>
      <c r="E297" s="9">
        <v>1</v>
      </c>
      <c r="F297" s="9">
        <v>0</v>
      </c>
      <c r="G297" s="9">
        <v>0</v>
      </c>
      <c r="H297" s="9">
        <v>1</v>
      </c>
      <c r="I297" s="9">
        <v>1</v>
      </c>
      <c r="J297" s="9">
        <v>1</v>
      </c>
      <c r="K297" s="9">
        <v>44</v>
      </c>
      <c r="L297" s="9">
        <f t="shared" si="3"/>
        <v>1936</v>
      </c>
      <c r="M297" s="9">
        <v>1</v>
      </c>
      <c r="N297" s="9">
        <v>2</v>
      </c>
      <c r="O297" s="9">
        <v>1</v>
      </c>
      <c r="P297" s="9">
        <v>25</v>
      </c>
      <c r="Q297" s="9">
        <f t="shared" si="4"/>
        <v>625</v>
      </c>
      <c r="R297" s="10">
        <f t="shared" si="5"/>
        <v>3.2188758248682006</v>
      </c>
      <c r="S297" s="5"/>
      <c r="T297" s="5"/>
    </row>
    <row r="298" spans="1:20" ht="45.75" customHeight="1" x14ac:dyDescent="0.3">
      <c r="A298" s="6">
        <v>3100000</v>
      </c>
      <c r="B298" s="7">
        <f t="shared" si="0"/>
        <v>9610000000000</v>
      </c>
      <c r="C298" s="8">
        <f t="shared" si="1"/>
        <v>14.946912669455374</v>
      </c>
      <c r="D298" s="9">
        <f t="shared" si="2"/>
        <v>3100</v>
      </c>
      <c r="E298" s="9">
        <v>0</v>
      </c>
      <c r="F298" s="9">
        <v>0</v>
      </c>
      <c r="G298" s="9">
        <v>0</v>
      </c>
      <c r="H298" s="9">
        <v>1</v>
      </c>
      <c r="I298" s="9">
        <v>1</v>
      </c>
      <c r="J298" s="9">
        <v>0</v>
      </c>
      <c r="K298" s="9">
        <v>36</v>
      </c>
      <c r="L298" s="9">
        <f t="shared" si="3"/>
        <v>1296</v>
      </c>
      <c r="M298" s="9">
        <v>0</v>
      </c>
      <c r="N298" s="9">
        <v>1</v>
      </c>
      <c r="O298" s="9">
        <v>1</v>
      </c>
      <c r="P298" s="9">
        <v>12</v>
      </c>
      <c r="Q298" s="9">
        <f t="shared" si="4"/>
        <v>144</v>
      </c>
      <c r="R298" s="10">
        <f t="shared" si="5"/>
        <v>2.4849066497880004</v>
      </c>
      <c r="S298" s="5"/>
      <c r="T298" s="5"/>
    </row>
    <row r="299" spans="1:20" ht="45.75" customHeight="1" x14ac:dyDescent="0.3">
      <c r="A299" s="6">
        <v>1500000</v>
      </c>
      <c r="B299" s="7">
        <f t="shared" si="0"/>
        <v>2250000000000</v>
      </c>
      <c r="C299" s="8">
        <f t="shared" si="1"/>
        <v>14.220975666072439</v>
      </c>
      <c r="D299" s="9">
        <f t="shared" si="2"/>
        <v>1500</v>
      </c>
      <c r="E299" s="9">
        <v>0</v>
      </c>
      <c r="F299" s="9">
        <v>0</v>
      </c>
      <c r="G299" s="9">
        <v>0</v>
      </c>
      <c r="H299" s="9">
        <v>1</v>
      </c>
      <c r="I299" s="9">
        <v>1</v>
      </c>
      <c r="J299" s="9">
        <v>1</v>
      </c>
      <c r="K299" s="9">
        <v>38</v>
      </c>
      <c r="L299" s="9">
        <f t="shared" si="3"/>
        <v>1444</v>
      </c>
      <c r="M299" s="9">
        <v>0</v>
      </c>
      <c r="N299" s="9">
        <v>1</v>
      </c>
      <c r="O299" s="9">
        <v>1</v>
      </c>
      <c r="P299" s="9">
        <v>15</v>
      </c>
      <c r="Q299" s="9">
        <f t="shared" si="4"/>
        <v>225</v>
      </c>
      <c r="R299" s="10">
        <f t="shared" si="5"/>
        <v>2.7080502011022101</v>
      </c>
      <c r="S299" s="5"/>
      <c r="T299" s="5"/>
    </row>
    <row r="300" spans="1:20" ht="45.75" customHeight="1" x14ac:dyDescent="0.3">
      <c r="A300" s="6">
        <v>2700000</v>
      </c>
      <c r="B300" s="7">
        <f t="shared" si="0"/>
        <v>7290000000000</v>
      </c>
      <c r="C300" s="8">
        <f t="shared" si="1"/>
        <v>14.808762330974558</v>
      </c>
      <c r="D300" s="9">
        <f t="shared" si="2"/>
        <v>2700</v>
      </c>
      <c r="E300" s="9">
        <v>0</v>
      </c>
      <c r="F300" s="9">
        <v>0</v>
      </c>
      <c r="G300" s="9">
        <v>0</v>
      </c>
      <c r="H300" s="9">
        <v>1</v>
      </c>
      <c r="I300" s="9">
        <v>0</v>
      </c>
      <c r="J300" s="9">
        <v>1</v>
      </c>
      <c r="K300" s="9">
        <v>39</v>
      </c>
      <c r="L300" s="9">
        <f t="shared" si="3"/>
        <v>1521</v>
      </c>
      <c r="M300" s="9">
        <v>1</v>
      </c>
      <c r="N300" s="9">
        <v>3</v>
      </c>
      <c r="O300" s="9">
        <v>1</v>
      </c>
      <c r="P300" s="9">
        <v>7</v>
      </c>
      <c r="Q300" s="9">
        <f t="shared" si="4"/>
        <v>49</v>
      </c>
      <c r="R300" s="10">
        <f t="shared" si="5"/>
        <v>1.9459101490553132</v>
      </c>
      <c r="S300" s="5"/>
      <c r="T300" s="5"/>
    </row>
    <row r="301" spans="1:20" ht="45.75" customHeight="1" x14ac:dyDescent="0.3">
      <c r="A301" s="6">
        <v>2500000</v>
      </c>
      <c r="B301" s="7">
        <f t="shared" si="0"/>
        <v>6250000000000</v>
      </c>
      <c r="C301" s="8">
        <f t="shared" si="1"/>
        <v>14.73180128983843</v>
      </c>
      <c r="D301" s="9">
        <f t="shared" si="2"/>
        <v>2500</v>
      </c>
      <c r="E301" s="9">
        <v>0</v>
      </c>
      <c r="F301" s="9">
        <v>0</v>
      </c>
      <c r="G301" s="9">
        <v>1</v>
      </c>
      <c r="H301" s="9">
        <v>0</v>
      </c>
      <c r="I301" s="9">
        <v>1</v>
      </c>
      <c r="J301" s="9">
        <v>1</v>
      </c>
      <c r="K301" s="9">
        <v>27</v>
      </c>
      <c r="L301" s="9">
        <f t="shared" si="3"/>
        <v>729</v>
      </c>
      <c r="M301" s="9">
        <v>1</v>
      </c>
      <c r="N301" s="9">
        <v>0</v>
      </c>
      <c r="O301" s="9">
        <v>0</v>
      </c>
      <c r="P301" s="9">
        <v>3</v>
      </c>
      <c r="Q301" s="9">
        <f t="shared" si="4"/>
        <v>9</v>
      </c>
      <c r="R301" s="10">
        <f t="shared" si="5"/>
        <v>1.0986122886681098</v>
      </c>
      <c r="S301" s="5"/>
      <c r="T301" s="5"/>
    </row>
    <row r="302" spans="1:20" ht="45.75" customHeight="1" x14ac:dyDescent="0.3">
      <c r="A302" s="6">
        <v>3200000</v>
      </c>
      <c r="B302" s="7">
        <f t="shared" si="0"/>
        <v>10240000000000</v>
      </c>
      <c r="C302" s="8">
        <f t="shared" si="1"/>
        <v>14.978661367769956</v>
      </c>
      <c r="D302" s="9">
        <f t="shared" si="2"/>
        <v>3200</v>
      </c>
      <c r="E302" s="9">
        <v>1</v>
      </c>
      <c r="F302" s="9">
        <v>0</v>
      </c>
      <c r="G302" s="9">
        <v>0</v>
      </c>
      <c r="H302" s="9">
        <v>1</v>
      </c>
      <c r="I302" s="9">
        <v>1</v>
      </c>
      <c r="J302" s="9">
        <v>1</v>
      </c>
      <c r="K302" s="9">
        <v>53</v>
      </c>
      <c r="L302" s="9">
        <f t="shared" si="3"/>
        <v>2809</v>
      </c>
      <c r="M302" s="9">
        <v>1</v>
      </c>
      <c r="N302" s="9">
        <v>1</v>
      </c>
      <c r="O302" s="9">
        <v>1</v>
      </c>
      <c r="P302" s="9">
        <v>26</v>
      </c>
      <c r="Q302" s="9">
        <f t="shared" si="4"/>
        <v>676</v>
      </c>
      <c r="R302" s="10">
        <f t="shared" si="5"/>
        <v>3.2580965380214821</v>
      </c>
      <c r="S302" s="5"/>
      <c r="T302" s="5"/>
    </row>
    <row r="303" spans="1:20" ht="45.75" customHeight="1" x14ac:dyDescent="0.3">
      <c r="A303" s="6">
        <v>5000000</v>
      </c>
      <c r="B303" s="7">
        <f t="shared" si="0"/>
        <v>25000000000000</v>
      </c>
      <c r="C303" s="8">
        <f t="shared" si="1"/>
        <v>15.424948470398375</v>
      </c>
      <c r="D303" s="9">
        <f t="shared" si="2"/>
        <v>5000</v>
      </c>
      <c r="E303" s="9">
        <v>1</v>
      </c>
      <c r="F303" s="9">
        <v>0</v>
      </c>
      <c r="G303" s="9">
        <v>1</v>
      </c>
      <c r="H303" s="9">
        <v>0</v>
      </c>
      <c r="I303" s="9">
        <v>0</v>
      </c>
      <c r="J303" s="9">
        <v>1</v>
      </c>
      <c r="K303" s="9">
        <v>42</v>
      </c>
      <c r="L303" s="9">
        <f t="shared" si="3"/>
        <v>1764</v>
      </c>
      <c r="M303" s="9">
        <v>1</v>
      </c>
      <c r="N303" s="9">
        <v>4</v>
      </c>
      <c r="O303" s="9">
        <v>1</v>
      </c>
      <c r="P303" s="9">
        <v>22</v>
      </c>
      <c r="Q303" s="9">
        <f t="shared" si="4"/>
        <v>484</v>
      </c>
      <c r="R303" s="10">
        <f t="shared" si="5"/>
        <v>3.0910424533583161</v>
      </c>
      <c r="S303" s="5"/>
      <c r="T303" s="5"/>
    </row>
    <row r="304" spans="1:20" ht="45.75" customHeight="1" x14ac:dyDescent="0.3">
      <c r="A304" s="6">
        <v>1600000</v>
      </c>
      <c r="B304" s="7">
        <f t="shared" si="0"/>
        <v>2560000000000</v>
      </c>
      <c r="C304" s="8">
        <f t="shared" si="1"/>
        <v>14.28551418721001</v>
      </c>
      <c r="D304" s="9">
        <f t="shared" si="2"/>
        <v>1600</v>
      </c>
      <c r="E304" s="9">
        <v>0</v>
      </c>
      <c r="F304" s="9">
        <v>0</v>
      </c>
      <c r="G304" s="9">
        <v>1</v>
      </c>
      <c r="H304" s="9">
        <v>0</v>
      </c>
      <c r="I304" s="9">
        <v>1</v>
      </c>
      <c r="J304" s="9">
        <v>1</v>
      </c>
      <c r="K304" s="9">
        <v>30</v>
      </c>
      <c r="L304" s="9">
        <f t="shared" si="3"/>
        <v>900</v>
      </c>
      <c r="M304" s="9">
        <v>1</v>
      </c>
      <c r="N304" s="9">
        <v>1</v>
      </c>
      <c r="O304" s="9">
        <v>1</v>
      </c>
      <c r="P304" s="9">
        <v>6</v>
      </c>
      <c r="Q304" s="9">
        <f t="shared" si="4"/>
        <v>36</v>
      </c>
      <c r="R304" s="10">
        <f t="shared" si="5"/>
        <v>1.791759469228055</v>
      </c>
      <c r="S304" s="5"/>
      <c r="T304" s="5"/>
    </row>
    <row r="305" spans="1:20" ht="45.75" customHeight="1" x14ac:dyDescent="0.3">
      <c r="A305" s="6">
        <v>2000000</v>
      </c>
      <c r="B305" s="7">
        <f t="shared" si="0"/>
        <v>4000000000000</v>
      </c>
      <c r="C305" s="8">
        <f t="shared" si="1"/>
        <v>14.508657738524219</v>
      </c>
      <c r="D305" s="9">
        <f t="shared" si="2"/>
        <v>2000</v>
      </c>
      <c r="E305" s="9">
        <v>1</v>
      </c>
      <c r="F305" s="9">
        <v>0</v>
      </c>
      <c r="G305" s="9">
        <v>0</v>
      </c>
      <c r="H305" s="9">
        <v>1</v>
      </c>
      <c r="I305" s="9">
        <v>1</v>
      </c>
      <c r="J305" s="9">
        <v>1</v>
      </c>
      <c r="K305" s="9">
        <v>47</v>
      </c>
      <c r="L305" s="9">
        <f t="shared" si="3"/>
        <v>2209</v>
      </c>
      <c r="M305" s="9">
        <v>1</v>
      </c>
      <c r="N305" s="9">
        <v>1</v>
      </c>
      <c r="O305" s="9">
        <v>1</v>
      </c>
      <c r="P305" s="9">
        <v>25</v>
      </c>
      <c r="Q305" s="9">
        <f t="shared" si="4"/>
        <v>625</v>
      </c>
      <c r="R305" s="10">
        <f t="shared" si="5"/>
        <v>3.2188758248682006</v>
      </c>
      <c r="S305" s="5"/>
      <c r="T305" s="5"/>
    </row>
    <row r="306" spans="1:20" ht="45.75" customHeight="1" x14ac:dyDescent="0.3">
      <c r="A306" s="6">
        <v>2800000</v>
      </c>
      <c r="B306" s="7">
        <f t="shared" si="0"/>
        <v>7840000000000</v>
      </c>
      <c r="C306" s="8">
        <f t="shared" si="1"/>
        <v>14.845129975145433</v>
      </c>
      <c r="D306" s="9">
        <f t="shared" si="2"/>
        <v>2800</v>
      </c>
      <c r="E306" s="9">
        <v>1</v>
      </c>
      <c r="F306" s="9">
        <v>0</v>
      </c>
      <c r="G306" s="9">
        <v>0</v>
      </c>
      <c r="H306" s="9">
        <v>1</v>
      </c>
      <c r="I306" s="9">
        <v>1</v>
      </c>
      <c r="J306" s="9">
        <v>0</v>
      </c>
      <c r="K306" s="9">
        <v>46</v>
      </c>
      <c r="L306" s="9">
        <f t="shared" si="3"/>
        <v>2116</v>
      </c>
      <c r="M306" s="9">
        <v>0</v>
      </c>
      <c r="N306" s="9">
        <v>1</v>
      </c>
      <c r="O306" s="9">
        <v>1</v>
      </c>
      <c r="P306" s="9">
        <v>18</v>
      </c>
      <c r="Q306" s="9">
        <f t="shared" si="4"/>
        <v>324</v>
      </c>
      <c r="R306" s="10">
        <f t="shared" si="5"/>
        <v>2.8903717578961645</v>
      </c>
      <c r="S306" s="5"/>
      <c r="T306" s="5"/>
    </row>
    <row r="307" spans="1:20" ht="45.75" customHeight="1" x14ac:dyDescent="0.3">
      <c r="A307" s="6">
        <v>1300000</v>
      </c>
      <c r="B307" s="7">
        <f t="shared" si="0"/>
        <v>1690000000000</v>
      </c>
      <c r="C307" s="8">
        <f t="shared" si="1"/>
        <v>14.077874822431765</v>
      </c>
      <c r="D307" s="9">
        <f t="shared" si="2"/>
        <v>1300</v>
      </c>
      <c r="E307" s="9">
        <v>1</v>
      </c>
      <c r="F307" s="9">
        <v>1</v>
      </c>
      <c r="G307" s="9">
        <v>0</v>
      </c>
      <c r="H307" s="9">
        <v>0</v>
      </c>
      <c r="I307" s="9">
        <v>0</v>
      </c>
      <c r="J307" s="9">
        <v>1</v>
      </c>
      <c r="K307" s="9">
        <v>22</v>
      </c>
      <c r="L307" s="9">
        <f t="shared" si="3"/>
        <v>484</v>
      </c>
      <c r="M307" s="9">
        <v>1</v>
      </c>
      <c r="N307" s="9">
        <v>1</v>
      </c>
      <c r="O307" s="9">
        <v>1</v>
      </c>
      <c r="P307" s="9">
        <v>4</v>
      </c>
      <c r="Q307" s="9">
        <f t="shared" si="4"/>
        <v>16</v>
      </c>
      <c r="R307" s="10">
        <f t="shared" si="5"/>
        <v>1.3862943611198906</v>
      </c>
      <c r="S307" s="5"/>
      <c r="T307" s="5"/>
    </row>
    <row r="308" spans="1:20" ht="45.75" customHeight="1" x14ac:dyDescent="0.3">
      <c r="A308" s="6">
        <v>3500000</v>
      </c>
      <c r="B308" s="7">
        <f t="shared" si="0"/>
        <v>12250000000000</v>
      </c>
      <c r="C308" s="8">
        <f t="shared" si="1"/>
        <v>15.068273526459642</v>
      </c>
      <c r="D308" s="9">
        <f t="shared" si="2"/>
        <v>3500</v>
      </c>
      <c r="E308" s="9">
        <v>0</v>
      </c>
      <c r="F308" s="9">
        <v>0</v>
      </c>
      <c r="G308" s="9">
        <v>0</v>
      </c>
      <c r="H308" s="9">
        <v>1</v>
      </c>
      <c r="I308" s="9">
        <v>1</v>
      </c>
      <c r="J308" s="9">
        <v>1</v>
      </c>
      <c r="K308" s="9">
        <v>65</v>
      </c>
      <c r="L308" s="9">
        <f t="shared" si="3"/>
        <v>4225</v>
      </c>
      <c r="M308" s="9">
        <v>1</v>
      </c>
      <c r="N308" s="9">
        <v>3</v>
      </c>
      <c r="O308" s="9">
        <v>1</v>
      </c>
      <c r="P308" s="9">
        <v>25</v>
      </c>
      <c r="Q308" s="9">
        <f t="shared" si="4"/>
        <v>625</v>
      </c>
      <c r="R308" s="10">
        <f t="shared" si="5"/>
        <v>3.2188758248682006</v>
      </c>
      <c r="S308" s="5"/>
      <c r="T308" s="5"/>
    </row>
    <row r="309" spans="1:20" ht="45.75" customHeight="1" x14ac:dyDescent="0.3">
      <c r="A309" s="6">
        <v>1500000</v>
      </c>
      <c r="B309" s="7">
        <f t="shared" si="0"/>
        <v>2250000000000</v>
      </c>
      <c r="C309" s="8">
        <f t="shared" si="1"/>
        <v>14.220975666072439</v>
      </c>
      <c r="D309" s="9">
        <f t="shared" si="2"/>
        <v>1500</v>
      </c>
      <c r="E309" s="9">
        <v>1</v>
      </c>
      <c r="F309" s="9">
        <v>0</v>
      </c>
      <c r="G309" s="9">
        <v>0</v>
      </c>
      <c r="H309" s="9">
        <v>1</v>
      </c>
      <c r="I309" s="9">
        <v>1</v>
      </c>
      <c r="J309" s="9">
        <v>0</v>
      </c>
      <c r="K309" s="9">
        <v>39</v>
      </c>
      <c r="L309" s="9">
        <f t="shared" si="3"/>
        <v>1521</v>
      </c>
      <c r="M309" s="9">
        <v>0</v>
      </c>
      <c r="N309" s="9">
        <v>3</v>
      </c>
      <c r="O309" s="9">
        <v>1</v>
      </c>
      <c r="P309" s="9">
        <v>16</v>
      </c>
      <c r="Q309" s="9">
        <f t="shared" si="4"/>
        <v>256</v>
      </c>
      <c r="R309" s="10">
        <f t="shared" si="5"/>
        <v>2.7725887222397811</v>
      </c>
      <c r="S309" s="5"/>
      <c r="T309" s="5"/>
    </row>
    <row r="310" spans="1:20" ht="45.75" customHeight="1" x14ac:dyDescent="0.3">
      <c r="A310" s="6">
        <v>1000000</v>
      </c>
      <c r="B310" s="7">
        <f t="shared" si="0"/>
        <v>1000000000000</v>
      </c>
      <c r="C310" s="8">
        <f t="shared" si="1"/>
        <v>13.815510557964274</v>
      </c>
      <c r="D310" s="9">
        <f t="shared" si="2"/>
        <v>1000</v>
      </c>
      <c r="E310" s="9">
        <v>1</v>
      </c>
      <c r="F310" s="9">
        <v>1</v>
      </c>
      <c r="G310" s="9">
        <v>0</v>
      </c>
      <c r="H310" s="9">
        <v>0</v>
      </c>
      <c r="I310" s="9">
        <v>1</v>
      </c>
      <c r="J310" s="9">
        <v>1</v>
      </c>
      <c r="K310" s="9">
        <v>35</v>
      </c>
      <c r="L310" s="9">
        <f t="shared" si="3"/>
        <v>1225</v>
      </c>
      <c r="M310" s="9">
        <v>0</v>
      </c>
      <c r="N310" s="9">
        <v>0</v>
      </c>
      <c r="O310" s="9">
        <v>0</v>
      </c>
      <c r="P310" s="9">
        <v>20</v>
      </c>
      <c r="Q310" s="9">
        <f t="shared" si="4"/>
        <v>400</v>
      </c>
      <c r="R310" s="10">
        <f t="shared" si="5"/>
        <v>2.9957322735539909</v>
      </c>
      <c r="S310" s="5"/>
      <c r="T310" s="5"/>
    </row>
    <row r="311" spans="1:20" ht="45.75" customHeight="1" x14ac:dyDescent="0.3">
      <c r="A311" s="6">
        <v>2000000</v>
      </c>
      <c r="B311" s="7">
        <f t="shared" si="0"/>
        <v>4000000000000</v>
      </c>
      <c r="C311" s="8">
        <f t="shared" si="1"/>
        <v>14.508657738524219</v>
      </c>
      <c r="D311" s="9">
        <f t="shared" si="2"/>
        <v>2000</v>
      </c>
      <c r="E311" s="9">
        <v>1</v>
      </c>
      <c r="F311" s="9">
        <v>1</v>
      </c>
      <c r="G311" s="9">
        <v>0</v>
      </c>
      <c r="H311" s="9">
        <v>0</v>
      </c>
      <c r="I311" s="9">
        <v>0</v>
      </c>
      <c r="J311" s="9">
        <v>0</v>
      </c>
      <c r="K311" s="9">
        <v>70</v>
      </c>
      <c r="L311" s="9">
        <f t="shared" si="3"/>
        <v>4900</v>
      </c>
      <c r="M311" s="9">
        <v>0</v>
      </c>
      <c r="N311" s="9">
        <v>3</v>
      </c>
      <c r="O311" s="9">
        <v>1</v>
      </c>
      <c r="P311" s="9">
        <v>30</v>
      </c>
      <c r="Q311" s="9">
        <f t="shared" si="4"/>
        <v>900</v>
      </c>
      <c r="R311" s="10">
        <f t="shared" si="5"/>
        <v>3.4011973816621555</v>
      </c>
      <c r="S311" s="5"/>
      <c r="T311" s="5"/>
    </row>
    <row r="312" spans="1:20" ht="45.75" customHeight="1" x14ac:dyDescent="0.3">
      <c r="A312" s="6">
        <v>1500000</v>
      </c>
      <c r="B312" s="7">
        <f t="shared" si="0"/>
        <v>2250000000000</v>
      </c>
      <c r="C312" s="8">
        <f t="shared" si="1"/>
        <v>14.220975666072439</v>
      </c>
      <c r="D312" s="9">
        <f t="shared" si="2"/>
        <v>1500</v>
      </c>
      <c r="E312" s="9">
        <v>1</v>
      </c>
      <c r="F312" s="9">
        <v>0</v>
      </c>
      <c r="G312" s="9">
        <v>1</v>
      </c>
      <c r="H312" s="9">
        <v>0</v>
      </c>
      <c r="I312" s="9">
        <v>0</v>
      </c>
      <c r="J312" s="9">
        <v>1</v>
      </c>
      <c r="K312" s="9">
        <v>55</v>
      </c>
      <c r="L312" s="9">
        <f t="shared" si="3"/>
        <v>3025</v>
      </c>
      <c r="M312" s="9">
        <v>0</v>
      </c>
      <c r="N312" s="9">
        <v>4</v>
      </c>
      <c r="O312" s="9">
        <v>1</v>
      </c>
      <c r="P312" s="9">
        <v>40</v>
      </c>
      <c r="Q312" s="9">
        <f t="shared" si="4"/>
        <v>1600</v>
      </c>
      <c r="R312" s="10">
        <f t="shared" si="5"/>
        <v>3.6888794541139363</v>
      </c>
      <c r="S312" s="5"/>
      <c r="T312" s="5"/>
    </row>
    <row r="313" spans="1:20" ht="45.75" customHeight="1" x14ac:dyDescent="0.3">
      <c r="A313" s="6">
        <v>3000000</v>
      </c>
      <c r="B313" s="7">
        <f t="shared" si="0"/>
        <v>9000000000000</v>
      </c>
      <c r="C313" s="8">
        <f t="shared" si="1"/>
        <v>14.914122846632385</v>
      </c>
      <c r="D313" s="9">
        <f t="shared" si="2"/>
        <v>3000</v>
      </c>
      <c r="E313" s="9">
        <v>0</v>
      </c>
      <c r="F313" s="9">
        <v>0</v>
      </c>
      <c r="G313" s="9">
        <v>0</v>
      </c>
      <c r="H313" s="9">
        <v>1</v>
      </c>
      <c r="I313" s="9">
        <v>1</v>
      </c>
      <c r="J313" s="9">
        <v>1</v>
      </c>
      <c r="K313" s="9">
        <v>52</v>
      </c>
      <c r="L313" s="9">
        <f t="shared" si="3"/>
        <v>2704</v>
      </c>
      <c r="M313" s="9">
        <v>1</v>
      </c>
      <c r="N313" s="9">
        <v>3</v>
      </c>
      <c r="O313" s="9">
        <v>1</v>
      </c>
      <c r="P313" s="9">
        <v>30</v>
      </c>
      <c r="Q313" s="9">
        <f t="shared" si="4"/>
        <v>900</v>
      </c>
      <c r="R313" s="10">
        <f t="shared" si="5"/>
        <v>3.4011973816621555</v>
      </c>
      <c r="S313" s="5"/>
      <c r="T313" s="5"/>
    </row>
    <row r="314" spans="1:20" ht="45.75" customHeight="1" x14ac:dyDescent="0.3">
      <c r="A314" s="6">
        <v>1000000</v>
      </c>
      <c r="B314" s="7">
        <f t="shared" si="0"/>
        <v>1000000000000</v>
      </c>
      <c r="C314" s="8">
        <f t="shared" si="1"/>
        <v>13.815510557964274</v>
      </c>
      <c r="D314" s="9">
        <f t="shared" si="2"/>
        <v>1000</v>
      </c>
      <c r="E314" s="9">
        <v>0</v>
      </c>
      <c r="F314" s="9">
        <v>0</v>
      </c>
      <c r="G314" s="9">
        <v>0</v>
      </c>
      <c r="H314" s="9">
        <v>1</v>
      </c>
      <c r="I314" s="9">
        <v>1</v>
      </c>
      <c r="J314" s="9">
        <v>0</v>
      </c>
      <c r="K314" s="9">
        <v>25</v>
      </c>
      <c r="L314" s="9">
        <f t="shared" si="3"/>
        <v>625</v>
      </c>
      <c r="M314" s="9">
        <v>0</v>
      </c>
      <c r="N314" s="9">
        <v>0</v>
      </c>
      <c r="O314" s="9">
        <v>0</v>
      </c>
      <c r="P314" s="9">
        <v>2.4</v>
      </c>
      <c r="Q314" s="9">
        <f t="shared" si="4"/>
        <v>5.76</v>
      </c>
      <c r="R314" s="10">
        <f t="shared" si="5"/>
        <v>0.87546873735389985</v>
      </c>
      <c r="S314" s="5"/>
      <c r="T314" s="5"/>
    </row>
    <row r="315" spans="1:20" ht="45.75" customHeight="1" x14ac:dyDescent="0.3">
      <c r="A315" s="6">
        <v>5300000</v>
      </c>
      <c r="B315" s="7">
        <f t="shared" si="0"/>
        <v>28090000000000</v>
      </c>
      <c r="C315" s="8">
        <f t="shared" si="1"/>
        <v>15.483217378522351</v>
      </c>
      <c r="D315" s="9">
        <f t="shared" si="2"/>
        <v>5300</v>
      </c>
      <c r="E315" s="9">
        <v>1</v>
      </c>
      <c r="F315" s="9">
        <v>0</v>
      </c>
      <c r="G315" s="9">
        <v>0</v>
      </c>
      <c r="H315" s="9">
        <v>1</v>
      </c>
      <c r="I315" s="9">
        <v>1</v>
      </c>
      <c r="J315" s="9">
        <v>0</v>
      </c>
      <c r="K315" s="9">
        <v>43</v>
      </c>
      <c r="L315" s="9">
        <f t="shared" si="3"/>
        <v>1849</v>
      </c>
      <c r="M315" s="9">
        <v>1</v>
      </c>
      <c r="N315" s="9">
        <v>2</v>
      </c>
      <c r="O315" s="9">
        <v>1</v>
      </c>
      <c r="P315" s="9">
        <v>11</v>
      </c>
      <c r="Q315" s="9">
        <f t="shared" si="4"/>
        <v>121</v>
      </c>
      <c r="R315" s="10">
        <f t="shared" si="5"/>
        <v>2.3978952727983707</v>
      </c>
      <c r="S315" s="5"/>
      <c r="T315" s="5"/>
    </row>
    <row r="316" spans="1:20" ht="45.75" customHeight="1" x14ac:dyDescent="0.3">
      <c r="A316" s="6">
        <v>2700000</v>
      </c>
      <c r="B316" s="7">
        <f t="shared" si="0"/>
        <v>7290000000000</v>
      </c>
      <c r="C316" s="8">
        <f t="shared" si="1"/>
        <v>14.808762330974558</v>
      </c>
      <c r="D316" s="9">
        <f t="shared" si="2"/>
        <v>2700</v>
      </c>
      <c r="E316" s="9">
        <v>0</v>
      </c>
      <c r="F316" s="9">
        <v>0</v>
      </c>
      <c r="G316" s="9">
        <v>0</v>
      </c>
      <c r="H316" s="9">
        <v>1</v>
      </c>
      <c r="I316" s="9">
        <v>1</v>
      </c>
      <c r="J316" s="9">
        <v>1</v>
      </c>
      <c r="K316" s="9">
        <v>40</v>
      </c>
      <c r="L316" s="9">
        <f t="shared" si="3"/>
        <v>1600</v>
      </c>
      <c r="M316" s="9">
        <v>0</v>
      </c>
      <c r="N316" s="9">
        <v>1</v>
      </c>
      <c r="O316" s="9">
        <v>1</v>
      </c>
      <c r="P316" s="9">
        <v>26</v>
      </c>
      <c r="Q316" s="9">
        <f t="shared" si="4"/>
        <v>676</v>
      </c>
      <c r="R316" s="10">
        <f t="shared" si="5"/>
        <v>3.2580965380214821</v>
      </c>
      <c r="S316" s="5"/>
      <c r="T316" s="5"/>
    </row>
    <row r="317" spans="1:20" ht="45.75" customHeight="1" x14ac:dyDescent="0.3">
      <c r="A317" s="6">
        <v>2000000</v>
      </c>
      <c r="B317" s="7">
        <f t="shared" si="0"/>
        <v>4000000000000</v>
      </c>
      <c r="C317" s="8">
        <f t="shared" si="1"/>
        <v>14.508657738524219</v>
      </c>
      <c r="D317" s="9">
        <f t="shared" si="2"/>
        <v>2000</v>
      </c>
      <c r="E317" s="9">
        <v>0</v>
      </c>
      <c r="F317" s="9">
        <v>0</v>
      </c>
      <c r="G317" s="9">
        <v>0</v>
      </c>
      <c r="H317" s="9">
        <v>1</v>
      </c>
      <c r="I317" s="9">
        <v>1</v>
      </c>
      <c r="J317" s="9">
        <v>0</v>
      </c>
      <c r="K317" s="9">
        <v>45</v>
      </c>
      <c r="L317" s="9">
        <f t="shared" si="3"/>
        <v>2025</v>
      </c>
      <c r="M317" s="9">
        <v>1</v>
      </c>
      <c r="N317" s="9">
        <v>1</v>
      </c>
      <c r="O317" s="9">
        <v>1</v>
      </c>
      <c r="P317" s="9">
        <v>10</v>
      </c>
      <c r="Q317" s="9">
        <f t="shared" si="4"/>
        <v>100</v>
      </c>
      <c r="R317" s="10">
        <f t="shared" si="5"/>
        <v>2.3025850929940459</v>
      </c>
      <c r="S317" s="5"/>
      <c r="T317" s="5"/>
    </row>
    <row r="318" spans="1:20" ht="45.75" customHeight="1" x14ac:dyDescent="0.3">
      <c r="A318" s="6">
        <v>3000000</v>
      </c>
      <c r="B318" s="7">
        <f t="shared" si="0"/>
        <v>9000000000000</v>
      </c>
      <c r="C318" s="8">
        <f t="shared" si="1"/>
        <v>14.914122846632385</v>
      </c>
      <c r="D318" s="9">
        <f t="shared" si="2"/>
        <v>3000</v>
      </c>
      <c r="E318" s="9">
        <v>1</v>
      </c>
      <c r="F318" s="9">
        <v>0</v>
      </c>
      <c r="G318" s="9">
        <v>0</v>
      </c>
      <c r="H318" s="9">
        <v>1</v>
      </c>
      <c r="I318" s="9">
        <v>0</v>
      </c>
      <c r="J318" s="9">
        <v>0</v>
      </c>
      <c r="K318" s="9">
        <v>26</v>
      </c>
      <c r="L318" s="9">
        <f t="shared" si="3"/>
        <v>676</v>
      </c>
      <c r="M318" s="9">
        <v>1</v>
      </c>
      <c r="N318" s="9">
        <v>0</v>
      </c>
      <c r="O318" s="9">
        <v>0</v>
      </c>
      <c r="P318" s="9">
        <v>4</v>
      </c>
      <c r="Q318" s="9">
        <f t="shared" si="4"/>
        <v>16</v>
      </c>
      <c r="R318" s="10">
        <f t="shared" si="5"/>
        <v>1.3862943611198906</v>
      </c>
      <c r="S318" s="5"/>
      <c r="T318" s="5"/>
    </row>
    <row r="319" spans="1:20" ht="45.75" customHeight="1" x14ac:dyDescent="0.3">
      <c r="A319" s="6">
        <v>4000000</v>
      </c>
      <c r="B319" s="7">
        <f t="shared" si="0"/>
        <v>16000000000000</v>
      </c>
      <c r="C319" s="8">
        <f t="shared" si="1"/>
        <v>15.201804919084164</v>
      </c>
      <c r="D319" s="9">
        <f t="shared" si="2"/>
        <v>4000</v>
      </c>
      <c r="E319" s="9">
        <v>0</v>
      </c>
      <c r="F319" s="9">
        <v>0</v>
      </c>
      <c r="G319" s="9">
        <v>0</v>
      </c>
      <c r="H319" s="9">
        <v>1</v>
      </c>
      <c r="I319" s="9">
        <v>0</v>
      </c>
      <c r="J319" s="9">
        <v>1</v>
      </c>
      <c r="K319" s="9">
        <v>37</v>
      </c>
      <c r="L319" s="9">
        <f t="shared" si="3"/>
        <v>1369</v>
      </c>
      <c r="M319" s="9">
        <v>1</v>
      </c>
      <c r="N319" s="9">
        <v>2</v>
      </c>
      <c r="O319" s="9">
        <v>1</v>
      </c>
      <c r="P319" s="9">
        <v>1</v>
      </c>
      <c r="Q319" s="9">
        <f t="shared" si="4"/>
        <v>1</v>
      </c>
      <c r="R319" s="10">
        <f t="shared" si="5"/>
        <v>0</v>
      </c>
      <c r="S319" s="5"/>
      <c r="T319" s="5"/>
    </row>
    <row r="320" spans="1:20" ht="45.75" customHeight="1" x14ac:dyDescent="0.3">
      <c r="A320" s="6">
        <v>1800000</v>
      </c>
      <c r="B320" s="7">
        <f t="shared" si="0"/>
        <v>3240000000000</v>
      </c>
      <c r="C320" s="8">
        <f t="shared" si="1"/>
        <v>14.403297222866392</v>
      </c>
      <c r="D320" s="9">
        <f t="shared" si="2"/>
        <v>1800</v>
      </c>
      <c r="E320" s="9">
        <v>1</v>
      </c>
      <c r="F320" s="9">
        <v>0</v>
      </c>
      <c r="G320" s="9">
        <v>1</v>
      </c>
      <c r="H320" s="9">
        <v>0</v>
      </c>
      <c r="I320" s="9">
        <v>1</v>
      </c>
      <c r="J320" s="9">
        <v>0</v>
      </c>
      <c r="K320" s="9">
        <v>21</v>
      </c>
      <c r="L320" s="9">
        <f t="shared" si="3"/>
        <v>441</v>
      </c>
      <c r="M320" s="9">
        <v>0</v>
      </c>
      <c r="N320" s="9">
        <v>0</v>
      </c>
      <c r="O320" s="9">
        <v>0</v>
      </c>
      <c r="P320" s="9">
        <v>2</v>
      </c>
      <c r="Q320" s="9">
        <f t="shared" si="4"/>
        <v>4</v>
      </c>
      <c r="R320" s="10">
        <f t="shared" si="5"/>
        <v>0.69314718055994529</v>
      </c>
      <c r="S320" s="5"/>
      <c r="T320" s="5"/>
    </row>
    <row r="321" spans="1:20" ht="45.75" customHeight="1" x14ac:dyDescent="0.3">
      <c r="A321" s="6">
        <v>1900000</v>
      </c>
      <c r="B321" s="7">
        <f t="shared" si="0"/>
        <v>3610000000000</v>
      </c>
      <c r="C321" s="8">
        <f t="shared" si="1"/>
        <v>14.457364444136669</v>
      </c>
      <c r="D321" s="9">
        <f t="shared" si="2"/>
        <v>1900</v>
      </c>
      <c r="E321" s="9">
        <v>0</v>
      </c>
      <c r="F321" s="9">
        <v>0</v>
      </c>
      <c r="G321" s="9">
        <v>0</v>
      </c>
      <c r="H321" s="9">
        <v>1</v>
      </c>
      <c r="I321" s="9">
        <v>0</v>
      </c>
      <c r="J321" s="9">
        <v>1</v>
      </c>
      <c r="K321" s="9">
        <v>23</v>
      </c>
      <c r="L321" s="9">
        <f t="shared" si="3"/>
        <v>529</v>
      </c>
      <c r="M321" s="9">
        <v>0</v>
      </c>
      <c r="N321" s="9">
        <v>0</v>
      </c>
      <c r="O321" s="9">
        <v>0</v>
      </c>
      <c r="P321" s="9">
        <v>2</v>
      </c>
      <c r="Q321" s="9">
        <f t="shared" si="4"/>
        <v>4</v>
      </c>
      <c r="R321" s="10">
        <f t="shared" si="5"/>
        <v>0.69314718055994529</v>
      </c>
      <c r="S321" s="5"/>
      <c r="T321" s="5"/>
    </row>
    <row r="322" spans="1:20" ht="45.75" customHeight="1" x14ac:dyDescent="0.3">
      <c r="A322" s="6">
        <v>1800000</v>
      </c>
      <c r="B322" s="7">
        <f t="shared" si="0"/>
        <v>3240000000000</v>
      </c>
      <c r="C322" s="8">
        <f t="shared" si="1"/>
        <v>14.403297222866392</v>
      </c>
      <c r="D322" s="9">
        <f t="shared" si="2"/>
        <v>1800</v>
      </c>
      <c r="E322" s="9">
        <v>0</v>
      </c>
      <c r="F322" s="9">
        <v>0</v>
      </c>
      <c r="G322" s="9">
        <v>1</v>
      </c>
      <c r="H322" s="9">
        <v>0</v>
      </c>
      <c r="I322" s="9">
        <v>0</v>
      </c>
      <c r="J322" s="9">
        <v>0</v>
      </c>
      <c r="K322" s="9">
        <v>24</v>
      </c>
      <c r="L322" s="9">
        <f t="shared" si="3"/>
        <v>576</v>
      </c>
      <c r="M322" s="9">
        <v>1</v>
      </c>
      <c r="N322" s="9">
        <v>0</v>
      </c>
      <c r="O322" s="9">
        <v>0</v>
      </c>
      <c r="P322" s="9">
        <v>2</v>
      </c>
      <c r="Q322" s="9">
        <f t="shared" si="4"/>
        <v>4</v>
      </c>
      <c r="R322" s="10">
        <f t="shared" si="5"/>
        <v>0.69314718055994529</v>
      </c>
      <c r="S322" s="5"/>
      <c r="T322" s="5"/>
    </row>
    <row r="323" spans="1:20" ht="45.75" customHeight="1" x14ac:dyDescent="0.3">
      <c r="A323" s="6">
        <v>1000000</v>
      </c>
      <c r="B323" s="7">
        <f t="shared" si="0"/>
        <v>1000000000000</v>
      </c>
      <c r="C323" s="8">
        <f t="shared" si="1"/>
        <v>13.815510557964274</v>
      </c>
      <c r="D323" s="9">
        <f t="shared" si="2"/>
        <v>1000</v>
      </c>
      <c r="E323" s="9">
        <v>1</v>
      </c>
      <c r="F323" s="9">
        <v>0</v>
      </c>
      <c r="G323" s="9">
        <v>1</v>
      </c>
      <c r="H323" s="9">
        <v>0</v>
      </c>
      <c r="I323" s="9">
        <v>0</v>
      </c>
      <c r="J323" s="9">
        <v>0</v>
      </c>
      <c r="K323" s="9">
        <v>23</v>
      </c>
      <c r="L323" s="9">
        <f t="shared" si="3"/>
        <v>529</v>
      </c>
      <c r="M323" s="9">
        <v>0</v>
      </c>
      <c r="N323" s="9">
        <v>0</v>
      </c>
      <c r="O323" s="9">
        <v>0</v>
      </c>
      <c r="P323" s="9">
        <v>1.3</v>
      </c>
      <c r="Q323" s="9">
        <f t="shared" si="4"/>
        <v>1.6900000000000002</v>
      </c>
      <c r="R323" s="10">
        <f t="shared" si="5"/>
        <v>0.26236426446749106</v>
      </c>
      <c r="S323" s="5"/>
      <c r="T323" s="5"/>
    </row>
    <row r="324" spans="1:20" ht="45.75" customHeight="1" x14ac:dyDescent="0.3">
      <c r="A324" s="6">
        <v>984000</v>
      </c>
      <c r="B324" s="7">
        <f t="shared" si="0"/>
        <v>968256000000</v>
      </c>
      <c r="C324" s="8">
        <f t="shared" si="1"/>
        <v>13.799381176034391</v>
      </c>
      <c r="D324" s="9">
        <f t="shared" si="2"/>
        <v>984</v>
      </c>
      <c r="E324" s="9">
        <v>1</v>
      </c>
      <c r="F324" s="9">
        <v>1</v>
      </c>
      <c r="G324" s="9">
        <v>0</v>
      </c>
      <c r="H324" s="9">
        <v>0</v>
      </c>
      <c r="I324" s="9">
        <v>0</v>
      </c>
      <c r="J324" s="9">
        <v>0</v>
      </c>
      <c r="K324" s="9">
        <v>23</v>
      </c>
      <c r="L324" s="9">
        <f t="shared" si="3"/>
        <v>529</v>
      </c>
      <c r="M324" s="9">
        <v>0</v>
      </c>
      <c r="N324" s="9">
        <v>0</v>
      </c>
      <c r="O324" s="9">
        <v>0</v>
      </c>
      <c r="P324" s="9">
        <v>0.5</v>
      </c>
      <c r="Q324" s="9">
        <f t="shared" si="4"/>
        <v>0.25</v>
      </c>
      <c r="R324" s="10">
        <f t="shared" si="5"/>
        <v>-0.69314718055994529</v>
      </c>
      <c r="S324" s="5"/>
      <c r="T324" s="5"/>
    </row>
    <row r="325" spans="1:20" ht="45.75" customHeight="1" x14ac:dyDescent="0.3">
      <c r="A325" s="6">
        <v>1200000</v>
      </c>
      <c r="B325" s="7">
        <f t="shared" si="0"/>
        <v>1440000000000</v>
      </c>
      <c r="C325" s="8">
        <f t="shared" si="1"/>
        <v>13.997832114758229</v>
      </c>
      <c r="D325" s="9">
        <f t="shared" si="2"/>
        <v>1200</v>
      </c>
      <c r="E325" s="9">
        <v>1</v>
      </c>
      <c r="F325" s="9">
        <v>0</v>
      </c>
      <c r="G325" s="9">
        <v>0</v>
      </c>
      <c r="H325" s="9">
        <v>1</v>
      </c>
      <c r="I325" s="9">
        <v>0</v>
      </c>
      <c r="J325" s="9">
        <v>1</v>
      </c>
      <c r="K325" s="9">
        <v>26</v>
      </c>
      <c r="L325" s="9">
        <f t="shared" si="3"/>
        <v>676</v>
      </c>
      <c r="M325" s="9">
        <v>0</v>
      </c>
      <c r="N325" s="9">
        <v>1</v>
      </c>
      <c r="O325" s="9">
        <v>1</v>
      </c>
      <c r="P325" s="9">
        <v>5</v>
      </c>
      <c r="Q325" s="9">
        <f t="shared" si="4"/>
        <v>25</v>
      </c>
      <c r="R325" s="10">
        <f t="shared" si="5"/>
        <v>1.6094379124341003</v>
      </c>
      <c r="S325" s="5"/>
      <c r="T325" s="5"/>
    </row>
    <row r="326" spans="1:20" ht="45.75" customHeight="1" x14ac:dyDescent="0.3">
      <c r="A326" s="6">
        <v>1400000</v>
      </c>
      <c r="B326" s="7">
        <f t="shared" si="0"/>
        <v>1960000000000</v>
      </c>
      <c r="C326" s="8">
        <f t="shared" si="1"/>
        <v>14.151982794585487</v>
      </c>
      <c r="D326" s="9">
        <f t="shared" si="2"/>
        <v>1400</v>
      </c>
      <c r="E326" s="9">
        <v>1</v>
      </c>
      <c r="F326" s="9">
        <v>0</v>
      </c>
      <c r="G326" s="9">
        <v>1</v>
      </c>
      <c r="H326" s="9">
        <v>0</v>
      </c>
      <c r="I326" s="9">
        <v>0</v>
      </c>
      <c r="J326" s="9">
        <v>1</v>
      </c>
      <c r="K326" s="9">
        <v>37</v>
      </c>
      <c r="L326" s="9">
        <f t="shared" si="3"/>
        <v>1369</v>
      </c>
      <c r="M326" s="9">
        <v>0</v>
      </c>
      <c r="N326" s="9">
        <v>1</v>
      </c>
      <c r="O326" s="9">
        <v>1</v>
      </c>
      <c r="P326" s="9">
        <v>14</v>
      </c>
      <c r="Q326" s="9">
        <f t="shared" si="4"/>
        <v>196</v>
      </c>
      <c r="R326" s="10">
        <f t="shared" si="5"/>
        <v>2.6390573296152584</v>
      </c>
      <c r="S326" s="5"/>
      <c r="T326" s="5"/>
    </row>
    <row r="327" spans="1:20" ht="45.75" customHeight="1" x14ac:dyDescent="0.3">
      <c r="A327" s="6">
        <v>1500000</v>
      </c>
      <c r="B327" s="7">
        <f t="shared" si="0"/>
        <v>2250000000000</v>
      </c>
      <c r="C327" s="8">
        <f t="shared" si="1"/>
        <v>14.220975666072439</v>
      </c>
      <c r="D327" s="9">
        <f t="shared" si="2"/>
        <v>1500</v>
      </c>
      <c r="E327" s="9">
        <v>0</v>
      </c>
      <c r="F327" s="9">
        <v>0</v>
      </c>
      <c r="G327" s="9">
        <v>1</v>
      </c>
      <c r="H327" s="9">
        <v>0</v>
      </c>
      <c r="I327" s="9">
        <v>1</v>
      </c>
      <c r="J327" s="9">
        <v>0</v>
      </c>
      <c r="K327" s="9">
        <v>24</v>
      </c>
      <c r="L327" s="9">
        <f t="shared" si="3"/>
        <v>576</v>
      </c>
      <c r="M327" s="9">
        <v>0</v>
      </c>
      <c r="N327" s="9">
        <v>0</v>
      </c>
      <c r="O327" s="9">
        <v>0</v>
      </c>
      <c r="P327" s="9">
        <v>4</v>
      </c>
      <c r="Q327" s="9">
        <f t="shared" si="4"/>
        <v>16</v>
      </c>
      <c r="R327" s="10">
        <f t="shared" si="5"/>
        <v>1.3862943611198906</v>
      </c>
      <c r="S327" s="5"/>
      <c r="T327" s="5"/>
    </row>
    <row r="328" spans="1:20" ht="45.75" customHeight="1" x14ac:dyDescent="0.3">
      <c r="A328" s="6">
        <v>500000</v>
      </c>
      <c r="B328" s="7">
        <f t="shared" si="0"/>
        <v>250000000000</v>
      </c>
      <c r="C328" s="8">
        <f t="shared" si="1"/>
        <v>13.122363377404328</v>
      </c>
      <c r="D328" s="9">
        <f t="shared" si="2"/>
        <v>500</v>
      </c>
      <c r="E328" s="9">
        <v>0</v>
      </c>
      <c r="F328" s="9">
        <v>1</v>
      </c>
      <c r="G328" s="9">
        <v>0</v>
      </c>
      <c r="H328" s="9">
        <v>0</v>
      </c>
      <c r="I328" s="9">
        <v>0</v>
      </c>
      <c r="J328" s="9">
        <v>1</v>
      </c>
      <c r="K328" s="9">
        <v>20</v>
      </c>
      <c r="L328" s="9">
        <f t="shared" si="3"/>
        <v>400</v>
      </c>
      <c r="M328" s="9">
        <v>0</v>
      </c>
      <c r="N328" s="9">
        <v>0</v>
      </c>
      <c r="O328" s="9">
        <v>0</v>
      </c>
      <c r="P328" s="9">
        <v>3</v>
      </c>
      <c r="Q328" s="9">
        <f t="shared" si="4"/>
        <v>9</v>
      </c>
      <c r="R328" s="10">
        <f t="shared" si="5"/>
        <v>1.0986122886681098</v>
      </c>
      <c r="S328" s="5"/>
      <c r="T328" s="5"/>
    </row>
    <row r="329" spans="1:20" ht="45.75" customHeight="1" x14ac:dyDescent="0.3">
      <c r="A329" s="6">
        <v>1200000</v>
      </c>
      <c r="B329" s="7">
        <f t="shared" si="0"/>
        <v>1440000000000</v>
      </c>
      <c r="C329" s="8">
        <f t="shared" si="1"/>
        <v>13.997832114758229</v>
      </c>
      <c r="D329" s="9">
        <f t="shared" si="2"/>
        <v>1200</v>
      </c>
      <c r="E329" s="9">
        <v>1</v>
      </c>
      <c r="F329" s="9">
        <v>1</v>
      </c>
      <c r="G329" s="9">
        <v>0</v>
      </c>
      <c r="H329" s="9">
        <v>0</v>
      </c>
      <c r="I329" s="9">
        <v>0</v>
      </c>
      <c r="J329" s="9">
        <v>1</v>
      </c>
      <c r="K329" s="9">
        <v>20</v>
      </c>
      <c r="L329" s="9">
        <f t="shared" si="3"/>
        <v>400</v>
      </c>
      <c r="M329" s="9">
        <v>0</v>
      </c>
      <c r="N329" s="9">
        <v>0</v>
      </c>
      <c r="O329" s="9">
        <v>0</v>
      </c>
      <c r="P329" s="9">
        <v>1</v>
      </c>
      <c r="Q329" s="9">
        <f t="shared" si="4"/>
        <v>1</v>
      </c>
      <c r="R329" s="10">
        <f t="shared" si="5"/>
        <v>0</v>
      </c>
      <c r="S329" s="5"/>
      <c r="T329" s="5"/>
    </row>
    <row r="330" spans="1:20" ht="45.75" customHeight="1" x14ac:dyDescent="0.3">
      <c r="A330" s="6">
        <v>2000000</v>
      </c>
      <c r="B330" s="7">
        <f t="shared" si="0"/>
        <v>4000000000000</v>
      </c>
      <c r="C330" s="8">
        <f t="shared" si="1"/>
        <v>14.508657738524219</v>
      </c>
      <c r="D330" s="9">
        <f t="shared" si="2"/>
        <v>2000</v>
      </c>
      <c r="E330" s="9">
        <v>1</v>
      </c>
      <c r="F330" s="9">
        <v>0</v>
      </c>
      <c r="G330" s="9">
        <v>1</v>
      </c>
      <c r="H330" s="9">
        <v>0</v>
      </c>
      <c r="I330" s="9">
        <v>0</v>
      </c>
      <c r="J330" s="9">
        <v>0</v>
      </c>
      <c r="K330" s="9">
        <v>29</v>
      </c>
      <c r="L330" s="9">
        <f t="shared" si="3"/>
        <v>841</v>
      </c>
      <c r="M330" s="9">
        <v>0</v>
      </c>
      <c r="N330" s="9">
        <v>1</v>
      </c>
      <c r="O330" s="9">
        <v>1</v>
      </c>
      <c r="P330" s="9">
        <v>9</v>
      </c>
      <c r="Q330" s="9">
        <f t="shared" si="4"/>
        <v>81</v>
      </c>
      <c r="R330" s="10">
        <f t="shared" si="5"/>
        <v>2.1972245773362196</v>
      </c>
      <c r="S330" s="5"/>
      <c r="T330" s="5"/>
    </row>
    <row r="331" spans="1:20" ht="45.75" customHeight="1" x14ac:dyDescent="0.3">
      <c r="A331" s="6">
        <v>1400000</v>
      </c>
      <c r="B331" s="7">
        <f t="shared" si="0"/>
        <v>1960000000000</v>
      </c>
      <c r="C331" s="8">
        <f t="shared" si="1"/>
        <v>14.151982794585487</v>
      </c>
      <c r="D331" s="9">
        <f t="shared" si="2"/>
        <v>1400</v>
      </c>
      <c r="E331" s="9">
        <v>0</v>
      </c>
      <c r="F331" s="9">
        <v>0</v>
      </c>
      <c r="G331" s="9">
        <v>1</v>
      </c>
      <c r="H331" s="9">
        <v>0</v>
      </c>
      <c r="I331" s="9">
        <v>0</v>
      </c>
      <c r="J331" s="9">
        <v>0</v>
      </c>
      <c r="K331" s="9">
        <v>33</v>
      </c>
      <c r="L331" s="9">
        <f t="shared" si="3"/>
        <v>1089</v>
      </c>
      <c r="M331" s="9">
        <v>1</v>
      </c>
      <c r="N331" s="9">
        <v>1</v>
      </c>
      <c r="O331" s="9">
        <v>1</v>
      </c>
      <c r="P331" s="9">
        <v>7</v>
      </c>
      <c r="Q331" s="9">
        <f t="shared" si="4"/>
        <v>49</v>
      </c>
      <c r="R331" s="10">
        <f t="shared" si="5"/>
        <v>1.9459101490553132</v>
      </c>
      <c r="S331" s="5"/>
      <c r="T331" s="5"/>
    </row>
    <row r="332" spans="1:20" ht="45.75" customHeight="1" x14ac:dyDescent="0.3">
      <c r="A332" s="6">
        <v>4000000</v>
      </c>
      <c r="B332" s="7">
        <f t="shared" si="0"/>
        <v>16000000000000</v>
      </c>
      <c r="C332" s="8">
        <f t="shared" si="1"/>
        <v>15.201804919084164</v>
      </c>
      <c r="D332" s="9">
        <f t="shared" si="2"/>
        <v>4000</v>
      </c>
      <c r="E332" s="9">
        <v>1</v>
      </c>
      <c r="F332" s="9">
        <v>0</v>
      </c>
      <c r="G332" s="9">
        <v>0</v>
      </c>
      <c r="H332" s="9">
        <v>1</v>
      </c>
      <c r="I332" s="9">
        <v>1</v>
      </c>
      <c r="J332" s="9">
        <v>1</v>
      </c>
      <c r="K332" s="9">
        <v>32</v>
      </c>
      <c r="L332" s="9">
        <f t="shared" si="3"/>
        <v>1024</v>
      </c>
      <c r="M332" s="9">
        <v>0</v>
      </c>
      <c r="N332" s="9">
        <v>0</v>
      </c>
      <c r="O332" s="9">
        <v>0</v>
      </c>
      <c r="P332" s="9">
        <v>10</v>
      </c>
      <c r="Q332" s="9">
        <f t="shared" si="4"/>
        <v>100</v>
      </c>
      <c r="R332" s="10">
        <f t="shared" si="5"/>
        <v>2.3025850929940459</v>
      </c>
      <c r="S332" s="5"/>
      <c r="T332" s="5"/>
    </row>
    <row r="333" spans="1:20" ht="45.75" customHeight="1" x14ac:dyDescent="0.3">
      <c r="A333" s="6">
        <v>1780000</v>
      </c>
      <c r="B333" s="7">
        <f t="shared" si="0"/>
        <v>3168400000000</v>
      </c>
      <c r="C333" s="8">
        <f t="shared" si="1"/>
        <v>14.392123922268269</v>
      </c>
      <c r="D333" s="9">
        <f t="shared" si="2"/>
        <v>1780</v>
      </c>
      <c r="E333" s="9">
        <v>1</v>
      </c>
      <c r="F333" s="9">
        <v>0</v>
      </c>
      <c r="G333" s="9">
        <v>1</v>
      </c>
      <c r="H333" s="9">
        <v>0</v>
      </c>
      <c r="I333" s="9">
        <v>1</v>
      </c>
      <c r="J333" s="9">
        <v>1</v>
      </c>
      <c r="K333" s="9">
        <v>25</v>
      </c>
      <c r="L333" s="9">
        <f t="shared" si="3"/>
        <v>625</v>
      </c>
      <c r="M333" s="9">
        <v>0</v>
      </c>
      <c r="N333" s="9">
        <v>0</v>
      </c>
      <c r="O333" s="9">
        <v>0</v>
      </c>
      <c r="P333" s="9">
        <v>2</v>
      </c>
      <c r="Q333" s="9">
        <f t="shared" si="4"/>
        <v>4</v>
      </c>
      <c r="R333" s="10">
        <f t="shared" si="5"/>
        <v>0.69314718055994529</v>
      </c>
      <c r="S333" s="5"/>
      <c r="T333" s="5"/>
    </row>
    <row r="334" spans="1:20" ht="45.75" customHeight="1" x14ac:dyDescent="0.3">
      <c r="A334" s="6">
        <v>1200000</v>
      </c>
      <c r="B334" s="7">
        <f t="shared" si="0"/>
        <v>1440000000000</v>
      </c>
      <c r="C334" s="8">
        <f t="shared" si="1"/>
        <v>13.997832114758229</v>
      </c>
      <c r="D334" s="9">
        <f t="shared" si="2"/>
        <v>1200</v>
      </c>
      <c r="E334" s="9">
        <v>1</v>
      </c>
      <c r="F334" s="9">
        <v>0</v>
      </c>
      <c r="G334" s="9">
        <v>1</v>
      </c>
      <c r="H334" s="9">
        <v>0</v>
      </c>
      <c r="I334" s="9">
        <v>0</v>
      </c>
      <c r="J334" s="9">
        <v>0</v>
      </c>
      <c r="K334" s="9">
        <v>21</v>
      </c>
      <c r="L334" s="9">
        <f t="shared" si="3"/>
        <v>441</v>
      </c>
      <c r="M334" s="9">
        <v>0</v>
      </c>
      <c r="N334" s="9">
        <v>0</v>
      </c>
      <c r="O334" s="9">
        <v>0</v>
      </c>
      <c r="P334" s="9">
        <v>1</v>
      </c>
      <c r="Q334" s="9">
        <f t="shared" si="4"/>
        <v>1</v>
      </c>
      <c r="R334" s="10">
        <f t="shared" si="5"/>
        <v>0</v>
      </c>
      <c r="S334" s="5"/>
      <c r="T334" s="5"/>
    </row>
    <row r="335" spans="1:20" ht="45.75" customHeight="1" x14ac:dyDescent="0.3">
      <c r="A335" s="6">
        <v>1000000</v>
      </c>
      <c r="B335" s="7">
        <f t="shared" si="0"/>
        <v>1000000000000</v>
      </c>
      <c r="C335" s="8">
        <f t="shared" si="1"/>
        <v>13.815510557964274</v>
      </c>
      <c r="D335" s="9">
        <f t="shared" si="2"/>
        <v>1000</v>
      </c>
      <c r="E335" s="9">
        <v>1</v>
      </c>
      <c r="F335" s="9">
        <v>0</v>
      </c>
      <c r="G335" s="9">
        <v>1</v>
      </c>
      <c r="H335" s="9">
        <v>0</v>
      </c>
      <c r="I335" s="9">
        <v>0</v>
      </c>
      <c r="J335" s="9">
        <v>0</v>
      </c>
      <c r="K335" s="9">
        <v>24</v>
      </c>
      <c r="L335" s="9">
        <f t="shared" si="3"/>
        <v>576</v>
      </c>
      <c r="M335" s="9">
        <v>1</v>
      </c>
      <c r="N335" s="9">
        <v>2</v>
      </c>
      <c r="O335" s="9">
        <v>1</v>
      </c>
      <c r="P335" s="9">
        <v>1</v>
      </c>
      <c r="Q335" s="9">
        <f t="shared" si="4"/>
        <v>1</v>
      </c>
      <c r="R335" s="10">
        <f t="shared" si="5"/>
        <v>0</v>
      </c>
      <c r="S335" s="5"/>
      <c r="T335" s="5"/>
    </row>
    <row r="336" spans="1:20" ht="45.75" customHeight="1" x14ac:dyDescent="0.3">
      <c r="A336" s="6">
        <v>1200000</v>
      </c>
      <c r="B336" s="7">
        <f t="shared" si="0"/>
        <v>1440000000000</v>
      </c>
      <c r="C336" s="8">
        <f t="shared" si="1"/>
        <v>13.997832114758229</v>
      </c>
      <c r="D336" s="9">
        <f t="shared" si="2"/>
        <v>1200</v>
      </c>
      <c r="E336" s="9">
        <v>1</v>
      </c>
      <c r="F336" s="9">
        <v>0</v>
      </c>
      <c r="G336" s="9">
        <v>1</v>
      </c>
      <c r="H336" s="9">
        <v>0</v>
      </c>
      <c r="I336" s="9">
        <v>1</v>
      </c>
      <c r="J336" s="9">
        <v>0</v>
      </c>
      <c r="K336" s="9">
        <v>24</v>
      </c>
      <c r="L336" s="9">
        <f t="shared" si="3"/>
        <v>576</v>
      </c>
      <c r="M336" s="9">
        <v>1</v>
      </c>
      <c r="N336" s="9">
        <v>0</v>
      </c>
      <c r="O336" s="9">
        <v>0</v>
      </c>
      <c r="P336" s="9">
        <v>6</v>
      </c>
      <c r="Q336" s="9">
        <f t="shared" si="4"/>
        <v>36</v>
      </c>
      <c r="R336" s="10">
        <f t="shared" si="5"/>
        <v>1.791759469228055</v>
      </c>
      <c r="S336" s="5"/>
      <c r="T336" s="5"/>
    </row>
    <row r="337" spans="1:20" ht="45.75" customHeight="1" x14ac:dyDescent="0.3">
      <c r="A337" s="6">
        <v>1460000</v>
      </c>
      <c r="B337" s="7">
        <f t="shared" si="0"/>
        <v>2131600000000</v>
      </c>
      <c r="C337" s="8">
        <f t="shared" si="1"/>
        <v>14.19394699368452</v>
      </c>
      <c r="D337" s="9">
        <f t="shared" si="2"/>
        <v>1460</v>
      </c>
      <c r="E337" s="9">
        <v>0</v>
      </c>
      <c r="F337" s="9">
        <v>0</v>
      </c>
      <c r="G337" s="9">
        <v>1</v>
      </c>
      <c r="H337" s="9">
        <v>0</v>
      </c>
      <c r="I337" s="9">
        <v>1</v>
      </c>
      <c r="J337" s="9">
        <v>0</v>
      </c>
      <c r="K337" s="9">
        <v>27</v>
      </c>
      <c r="L337" s="9">
        <f t="shared" si="3"/>
        <v>729</v>
      </c>
      <c r="M337" s="9">
        <v>0</v>
      </c>
      <c r="N337" s="9">
        <v>1</v>
      </c>
      <c r="O337" s="9">
        <v>1</v>
      </c>
      <c r="P337" s="9">
        <v>1.5</v>
      </c>
      <c r="Q337" s="9">
        <f t="shared" si="4"/>
        <v>2.25</v>
      </c>
      <c r="R337" s="10">
        <f t="shared" si="5"/>
        <v>0.40546510810816438</v>
      </c>
      <c r="S337" s="5"/>
      <c r="T337" s="5"/>
    </row>
    <row r="338" spans="1:20" ht="45.75" customHeight="1" x14ac:dyDescent="0.3">
      <c r="A338" s="6">
        <v>1650000</v>
      </c>
      <c r="B338" s="7">
        <f t="shared" si="0"/>
        <v>2722500000000</v>
      </c>
      <c r="C338" s="8">
        <f t="shared" si="1"/>
        <v>14.316285845876763</v>
      </c>
      <c r="D338" s="9">
        <f t="shared" si="2"/>
        <v>1650</v>
      </c>
      <c r="E338" s="9">
        <v>1</v>
      </c>
      <c r="F338" s="9">
        <v>0</v>
      </c>
      <c r="G338" s="9">
        <v>1</v>
      </c>
      <c r="H338" s="9">
        <v>0</v>
      </c>
      <c r="I338" s="9">
        <v>0</v>
      </c>
      <c r="J338" s="9">
        <v>0</v>
      </c>
      <c r="K338" s="9">
        <v>21</v>
      </c>
      <c r="L338" s="9">
        <f t="shared" si="3"/>
        <v>441</v>
      </c>
      <c r="M338" s="9">
        <v>0</v>
      </c>
      <c r="N338" s="9">
        <v>0</v>
      </c>
      <c r="O338" s="9">
        <v>0</v>
      </c>
      <c r="P338" s="9">
        <v>0.5</v>
      </c>
      <c r="Q338" s="9">
        <f t="shared" si="4"/>
        <v>0.25</v>
      </c>
      <c r="R338" s="10">
        <f t="shared" si="5"/>
        <v>-0.69314718055994529</v>
      </c>
      <c r="S338" s="5"/>
      <c r="T338" s="5"/>
    </row>
    <row r="339" spans="1:20" ht="45.75" customHeight="1" x14ac:dyDescent="0.3">
      <c r="A339" s="6">
        <v>920000</v>
      </c>
      <c r="B339" s="7">
        <f t="shared" si="0"/>
        <v>846400000000</v>
      </c>
      <c r="C339" s="8">
        <f t="shared" si="1"/>
        <v>13.732128949025222</v>
      </c>
      <c r="D339" s="9">
        <f t="shared" si="2"/>
        <v>920</v>
      </c>
      <c r="E339" s="9">
        <v>1</v>
      </c>
      <c r="F339" s="9">
        <v>0</v>
      </c>
      <c r="G339" s="9">
        <v>1</v>
      </c>
      <c r="H339" s="9">
        <v>0</v>
      </c>
      <c r="I339" s="9">
        <v>0</v>
      </c>
      <c r="J339" s="9">
        <v>0</v>
      </c>
      <c r="K339" s="9">
        <v>45</v>
      </c>
      <c r="L339" s="9">
        <f t="shared" si="3"/>
        <v>2025</v>
      </c>
      <c r="M339" s="9">
        <v>1</v>
      </c>
      <c r="N339" s="9">
        <v>2</v>
      </c>
      <c r="O339" s="9">
        <v>1</v>
      </c>
      <c r="P339" s="9">
        <v>19</v>
      </c>
      <c r="Q339" s="9">
        <f t="shared" si="4"/>
        <v>361</v>
      </c>
      <c r="R339" s="10">
        <f t="shared" si="5"/>
        <v>2.9444389791664403</v>
      </c>
      <c r="S339" s="5"/>
      <c r="T339" s="5"/>
    </row>
    <row r="340" spans="1:20" ht="45.75" customHeight="1" x14ac:dyDescent="0.3">
      <c r="A340" s="6">
        <v>970000</v>
      </c>
      <c r="B340" s="7">
        <f t="shared" si="0"/>
        <v>940900000000</v>
      </c>
      <c r="C340" s="8">
        <f t="shared" si="1"/>
        <v>13.785051350479566</v>
      </c>
      <c r="D340" s="9">
        <f t="shared" si="2"/>
        <v>970</v>
      </c>
      <c r="E340" s="9">
        <v>1</v>
      </c>
      <c r="F340" s="9">
        <v>0</v>
      </c>
      <c r="G340" s="9">
        <v>1</v>
      </c>
      <c r="H340" s="9">
        <v>0</v>
      </c>
      <c r="I340" s="9">
        <v>0</v>
      </c>
      <c r="J340" s="9">
        <v>0</v>
      </c>
      <c r="K340" s="9">
        <v>42</v>
      </c>
      <c r="L340" s="9">
        <f t="shared" si="3"/>
        <v>1764</v>
      </c>
      <c r="M340" s="9">
        <v>0</v>
      </c>
      <c r="N340" s="9">
        <v>3</v>
      </c>
      <c r="O340" s="9">
        <v>1</v>
      </c>
      <c r="P340" s="9">
        <v>17</v>
      </c>
      <c r="Q340" s="9">
        <f t="shared" si="4"/>
        <v>289</v>
      </c>
      <c r="R340" s="10">
        <f t="shared" si="5"/>
        <v>2.8332133440562162</v>
      </c>
      <c r="S340" s="5"/>
      <c r="T340" s="5"/>
    </row>
    <row r="341" spans="1:20" ht="45.75" customHeight="1" x14ac:dyDescent="0.3">
      <c r="A341" s="6">
        <v>1200000</v>
      </c>
      <c r="B341" s="7">
        <f t="shared" si="0"/>
        <v>1440000000000</v>
      </c>
      <c r="C341" s="8">
        <f t="shared" si="1"/>
        <v>13.997832114758229</v>
      </c>
      <c r="D341" s="9">
        <f t="shared" si="2"/>
        <v>1200</v>
      </c>
      <c r="E341" s="9">
        <v>0</v>
      </c>
      <c r="F341" s="9">
        <v>1</v>
      </c>
      <c r="G341" s="9">
        <v>0</v>
      </c>
      <c r="H341" s="9">
        <v>0</v>
      </c>
      <c r="I341" s="9">
        <v>1</v>
      </c>
      <c r="J341" s="9">
        <v>0</v>
      </c>
      <c r="K341" s="9">
        <v>45</v>
      </c>
      <c r="L341" s="9">
        <f t="shared" si="3"/>
        <v>2025</v>
      </c>
      <c r="M341" s="9">
        <v>1</v>
      </c>
      <c r="N341" s="9">
        <v>1</v>
      </c>
      <c r="O341" s="9">
        <v>1</v>
      </c>
      <c r="P341" s="9">
        <v>11</v>
      </c>
      <c r="Q341" s="9">
        <f t="shared" si="4"/>
        <v>121</v>
      </c>
      <c r="R341" s="10">
        <f t="shared" si="5"/>
        <v>2.3978952727983707</v>
      </c>
      <c r="S341" s="5"/>
      <c r="T341" s="5"/>
    </row>
    <row r="342" spans="1:20" ht="45.75" customHeight="1" x14ac:dyDescent="0.3">
      <c r="A342" s="6">
        <v>1000000</v>
      </c>
      <c r="B342" s="7">
        <f t="shared" si="0"/>
        <v>1000000000000</v>
      </c>
      <c r="C342" s="8">
        <f t="shared" si="1"/>
        <v>13.815510557964274</v>
      </c>
      <c r="D342" s="9">
        <f t="shared" si="2"/>
        <v>1000</v>
      </c>
      <c r="E342" s="9">
        <v>1</v>
      </c>
      <c r="F342" s="9">
        <v>1</v>
      </c>
      <c r="G342" s="9">
        <v>0</v>
      </c>
      <c r="H342" s="9">
        <v>0</v>
      </c>
      <c r="I342" s="9">
        <v>0</v>
      </c>
      <c r="J342" s="9">
        <v>0</v>
      </c>
      <c r="K342" s="9">
        <v>29</v>
      </c>
      <c r="L342" s="9">
        <f t="shared" si="3"/>
        <v>841</v>
      </c>
      <c r="M342" s="9">
        <v>1</v>
      </c>
      <c r="N342" s="9">
        <v>1</v>
      </c>
      <c r="O342" s="9">
        <v>1</v>
      </c>
      <c r="P342" s="9">
        <v>10</v>
      </c>
      <c r="Q342" s="9">
        <f t="shared" si="4"/>
        <v>100</v>
      </c>
      <c r="R342" s="10">
        <f t="shared" si="5"/>
        <v>2.3025850929940459</v>
      </c>
      <c r="S342" s="5"/>
      <c r="T342" s="5"/>
    </row>
    <row r="343" spans="1:20" ht="45.75" customHeight="1" x14ac:dyDescent="0.3">
      <c r="A343" s="6">
        <v>3500000</v>
      </c>
      <c r="B343" s="7">
        <f t="shared" si="0"/>
        <v>12250000000000</v>
      </c>
      <c r="C343" s="8">
        <f t="shared" si="1"/>
        <v>15.068273526459642</v>
      </c>
      <c r="D343" s="9">
        <f t="shared" si="2"/>
        <v>3500</v>
      </c>
      <c r="E343" s="9">
        <v>0</v>
      </c>
      <c r="F343" s="9">
        <v>1</v>
      </c>
      <c r="G343" s="9">
        <v>0</v>
      </c>
      <c r="H343" s="9">
        <v>0</v>
      </c>
      <c r="I343" s="9">
        <v>0</v>
      </c>
      <c r="J343" s="9">
        <v>0</v>
      </c>
      <c r="K343" s="9">
        <v>63</v>
      </c>
      <c r="L343" s="9">
        <f t="shared" si="3"/>
        <v>3969</v>
      </c>
      <c r="M343" s="9">
        <v>0</v>
      </c>
      <c r="N343" s="9">
        <v>5</v>
      </c>
      <c r="O343" s="9">
        <v>1</v>
      </c>
      <c r="P343" s="9">
        <v>15</v>
      </c>
      <c r="Q343" s="9">
        <f t="shared" si="4"/>
        <v>225</v>
      </c>
      <c r="R343" s="10">
        <f t="shared" si="5"/>
        <v>2.7080502011022101</v>
      </c>
      <c r="S343" s="5"/>
      <c r="T343" s="5"/>
    </row>
    <row r="344" spans="1:20" ht="45.75" customHeight="1" x14ac:dyDescent="0.3">
      <c r="A344" s="6">
        <v>1700000</v>
      </c>
      <c r="B344" s="7">
        <f t="shared" si="0"/>
        <v>2890000000000</v>
      </c>
      <c r="C344" s="8">
        <f t="shared" si="1"/>
        <v>14.346138809026444</v>
      </c>
      <c r="D344" s="9">
        <f t="shared" si="2"/>
        <v>1700</v>
      </c>
      <c r="E344" s="9">
        <v>1</v>
      </c>
      <c r="F344" s="9">
        <v>0</v>
      </c>
      <c r="G344" s="9">
        <v>1</v>
      </c>
      <c r="H344" s="9">
        <v>0</v>
      </c>
      <c r="I344" s="9">
        <v>0</v>
      </c>
      <c r="J344" s="9">
        <v>1</v>
      </c>
      <c r="K344" s="9">
        <v>30</v>
      </c>
      <c r="L344" s="9">
        <f t="shared" si="3"/>
        <v>900</v>
      </c>
      <c r="M344" s="9">
        <v>0</v>
      </c>
      <c r="N344" s="9">
        <v>0</v>
      </c>
      <c r="O344" s="9">
        <v>0</v>
      </c>
      <c r="P344" s="9">
        <v>7</v>
      </c>
      <c r="Q344" s="9">
        <f t="shared" si="4"/>
        <v>49</v>
      </c>
      <c r="R344" s="10">
        <f t="shared" si="5"/>
        <v>1.9459101490553132</v>
      </c>
      <c r="S344" s="5"/>
      <c r="T344" s="5"/>
    </row>
    <row r="345" spans="1:20" ht="45.75" customHeight="1" x14ac:dyDescent="0.3">
      <c r="A345" s="6">
        <v>1100000</v>
      </c>
      <c r="B345" s="7">
        <f t="shared" si="0"/>
        <v>1210000000000</v>
      </c>
      <c r="C345" s="8">
        <f t="shared" si="1"/>
        <v>13.910820737768599</v>
      </c>
      <c r="D345" s="9">
        <f t="shared" si="2"/>
        <v>1100</v>
      </c>
      <c r="E345" s="9">
        <v>1</v>
      </c>
      <c r="F345" s="9">
        <v>0</v>
      </c>
      <c r="G345" s="9">
        <v>0</v>
      </c>
      <c r="H345" s="9">
        <v>1</v>
      </c>
      <c r="I345" s="9">
        <v>1</v>
      </c>
      <c r="J345" s="9">
        <v>0</v>
      </c>
      <c r="K345" s="9">
        <v>30</v>
      </c>
      <c r="L345" s="9">
        <f t="shared" si="3"/>
        <v>900</v>
      </c>
      <c r="M345" s="9">
        <v>0</v>
      </c>
      <c r="N345" s="9">
        <v>0</v>
      </c>
      <c r="O345" s="9">
        <v>0</v>
      </c>
      <c r="P345" s="9">
        <v>3</v>
      </c>
      <c r="Q345" s="9">
        <f t="shared" si="4"/>
        <v>9</v>
      </c>
      <c r="R345" s="10">
        <f t="shared" si="5"/>
        <v>1.0986122886681098</v>
      </c>
      <c r="S345" s="5"/>
      <c r="T345" s="5"/>
    </row>
    <row r="346" spans="1:20" ht="45.75" customHeight="1" x14ac:dyDescent="0.3">
      <c r="A346" s="6">
        <v>1000000</v>
      </c>
      <c r="B346" s="7">
        <f t="shared" si="0"/>
        <v>1000000000000</v>
      </c>
      <c r="C346" s="8">
        <f t="shared" si="1"/>
        <v>13.815510557964274</v>
      </c>
      <c r="D346" s="9">
        <f t="shared" si="2"/>
        <v>1000</v>
      </c>
      <c r="E346" s="9">
        <v>0</v>
      </c>
      <c r="F346" s="9">
        <v>0</v>
      </c>
      <c r="G346" s="9">
        <v>1</v>
      </c>
      <c r="H346" s="9">
        <v>0</v>
      </c>
      <c r="I346" s="9">
        <v>0</v>
      </c>
      <c r="J346" s="9">
        <v>0</v>
      </c>
      <c r="K346" s="9">
        <v>22</v>
      </c>
      <c r="L346" s="9">
        <f t="shared" si="3"/>
        <v>484</v>
      </c>
      <c r="M346" s="9">
        <v>0</v>
      </c>
      <c r="N346" s="9">
        <v>0</v>
      </c>
      <c r="O346" s="9">
        <v>0</v>
      </c>
      <c r="P346" s="9">
        <v>3</v>
      </c>
      <c r="Q346" s="9">
        <f t="shared" si="4"/>
        <v>9</v>
      </c>
      <c r="R346" s="10">
        <f t="shared" si="5"/>
        <v>1.0986122886681098</v>
      </c>
      <c r="S346" s="5"/>
      <c r="T346" s="5"/>
    </row>
    <row r="347" spans="1:20" ht="45.75" customHeight="1" x14ac:dyDescent="0.3">
      <c r="A347" s="6">
        <v>1000000</v>
      </c>
      <c r="B347" s="7">
        <f t="shared" si="0"/>
        <v>1000000000000</v>
      </c>
      <c r="C347" s="8">
        <f t="shared" si="1"/>
        <v>13.815510557964274</v>
      </c>
      <c r="D347" s="9">
        <f t="shared" si="2"/>
        <v>1000</v>
      </c>
      <c r="E347" s="9">
        <v>1</v>
      </c>
      <c r="F347" s="9">
        <v>0</v>
      </c>
      <c r="G347" s="9">
        <v>1</v>
      </c>
      <c r="H347" s="9">
        <v>0</v>
      </c>
      <c r="I347" s="9">
        <v>0</v>
      </c>
      <c r="J347" s="9">
        <v>0</v>
      </c>
      <c r="K347" s="9">
        <v>27</v>
      </c>
      <c r="L347" s="9">
        <f t="shared" si="3"/>
        <v>729</v>
      </c>
      <c r="M347" s="9">
        <v>1</v>
      </c>
      <c r="N347" s="9">
        <v>1</v>
      </c>
      <c r="O347" s="9">
        <v>1</v>
      </c>
      <c r="P347" s="9">
        <v>3</v>
      </c>
      <c r="Q347" s="9">
        <f t="shared" si="4"/>
        <v>9</v>
      </c>
      <c r="R347" s="10">
        <f t="shared" si="5"/>
        <v>1.0986122886681098</v>
      </c>
      <c r="S347" s="5"/>
      <c r="T347" s="5"/>
    </row>
    <row r="348" spans="1:20" ht="45.75" customHeight="1" x14ac:dyDescent="0.3">
      <c r="A348" s="6">
        <v>3000000</v>
      </c>
      <c r="B348" s="7">
        <f t="shared" si="0"/>
        <v>9000000000000</v>
      </c>
      <c r="C348" s="8">
        <f t="shared" si="1"/>
        <v>14.914122846632385</v>
      </c>
      <c r="D348" s="9">
        <f t="shared" si="2"/>
        <v>3000</v>
      </c>
      <c r="E348" s="9">
        <v>1</v>
      </c>
      <c r="F348" s="9">
        <v>0</v>
      </c>
      <c r="G348" s="9">
        <v>0</v>
      </c>
      <c r="H348" s="9">
        <v>1</v>
      </c>
      <c r="I348" s="9">
        <v>0</v>
      </c>
      <c r="J348" s="9">
        <v>0</v>
      </c>
      <c r="K348" s="9">
        <v>25</v>
      </c>
      <c r="L348" s="9">
        <f t="shared" si="3"/>
        <v>625</v>
      </c>
      <c r="M348" s="9">
        <v>1</v>
      </c>
      <c r="N348" s="9">
        <v>0</v>
      </c>
      <c r="O348" s="9">
        <v>0</v>
      </c>
      <c r="P348" s="9">
        <v>5.5</v>
      </c>
      <c r="Q348" s="9">
        <f t="shared" si="4"/>
        <v>30.25</v>
      </c>
      <c r="R348" s="10">
        <f t="shared" si="5"/>
        <v>1.7047480922384253</v>
      </c>
      <c r="S348" s="5"/>
      <c r="T348" s="5"/>
    </row>
    <row r="349" spans="1:20" ht="45.75" customHeight="1" x14ac:dyDescent="0.3">
      <c r="A349" s="6">
        <v>1000000</v>
      </c>
      <c r="B349" s="7">
        <f t="shared" si="0"/>
        <v>1000000000000</v>
      </c>
      <c r="C349" s="8">
        <f t="shared" si="1"/>
        <v>13.815510557964274</v>
      </c>
      <c r="D349" s="9">
        <f t="shared" si="2"/>
        <v>1000</v>
      </c>
      <c r="E349" s="9">
        <v>0</v>
      </c>
      <c r="F349" s="9">
        <v>1</v>
      </c>
      <c r="G349" s="9">
        <v>0</v>
      </c>
      <c r="H349" s="9">
        <v>0</v>
      </c>
      <c r="I349" s="9">
        <v>0</v>
      </c>
      <c r="J349" s="9">
        <v>1</v>
      </c>
      <c r="K349" s="9">
        <v>25</v>
      </c>
      <c r="L349" s="9">
        <f t="shared" si="3"/>
        <v>625</v>
      </c>
      <c r="M349" s="9">
        <v>0</v>
      </c>
      <c r="N349" s="9">
        <v>0</v>
      </c>
      <c r="O349" s="9">
        <v>0</v>
      </c>
      <c r="P349" s="9">
        <v>1</v>
      </c>
      <c r="Q349" s="9">
        <f t="shared" si="4"/>
        <v>1</v>
      </c>
      <c r="R349" s="10">
        <f t="shared" si="5"/>
        <v>0</v>
      </c>
      <c r="S349" s="5"/>
      <c r="T349" s="5"/>
    </row>
    <row r="350" spans="1:20" ht="45.75" customHeight="1" x14ac:dyDescent="0.3">
      <c r="A350" s="6">
        <v>1100000</v>
      </c>
      <c r="B350" s="7">
        <f t="shared" si="0"/>
        <v>1210000000000</v>
      </c>
      <c r="C350" s="8">
        <f t="shared" si="1"/>
        <v>13.910820737768599</v>
      </c>
      <c r="D350" s="9">
        <f t="shared" si="2"/>
        <v>1100</v>
      </c>
      <c r="E350" s="9">
        <v>0</v>
      </c>
      <c r="F350" s="9">
        <v>1</v>
      </c>
      <c r="G350" s="9">
        <v>0</v>
      </c>
      <c r="H350" s="9">
        <v>0</v>
      </c>
      <c r="I350" s="9">
        <v>1</v>
      </c>
      <c r="J350" s="9">
        <v>1</v>
      </c>
      <c r="K350" s="9">
        <v>33</v>
      </c>
      <c r="L350" s="9">
        <f t="shared" si="3"/>
        <v>1089</v>
      </c>
      <c r="M350" s="9">
        <v>0</v>
      </c>
      <c r="N350" s="9">
        <v>1</v>
      </c>
      <c r="O350" s="9">
        <v>1</v>
      </c>
      <c r="P350" s="9">
        <v>13</v>
      </c>
      <c r="Q350" s="9">
        <f t="shared" si="4"/>
        <v>169</v>
      </c>
      <c r="R350" s="10">
        <f t="shared" si="5"/>
        <v>2.5649493574615367</v>
      </c>
      <c r="S350" s="5"/>
      <c r="T350" s="5"/>
    </row>
    <row r="351" spans="1:20" ht="45.75" customHeight="1" x14ac:dyDescent="0.3">
      <c r="A351" s="6">
        <v>2300000</v>
      </c>
      <c r="B351" s="7">
        <f t="shared" si="0"/>
        <v>5290000000000</v>
      </c>
      <c r="C351" s="8">
        <f t="shared" si="1"/>
        <v>14.648419680899378</v>
      </c>
      <c r="D351" s="9">
        <f t="shared" si="2"/>
        <v>2300</v>
      </c>
      <c r="E351" s="9">
        <v>0</v>
      </c>
      <c r="F351" s="9">
        <v>0</v>
      </c>
      <c r="G351" s="9">
        <v>0</v>
      </c>
      <c r="H351" s="9">
        <v>1</v>
      </c>
      <c r="I351" s="9">
        <v>1</v>
      </c>
      <c r="J351" s="9">
        <v>0</v>
      </c>
      <c r="K351" s="9">
        <v>30</v>
      </c>
      <c r="L351" s="9">
        <f t="shared" si="3"/>
        <v>900</v>
      </c>
      <c r="M351" s="9">
        <v>1</v>
      </c>
      <c r="N351" s="9">
        <v>1</v>
      </c>
      <c r="O351" s="9">
        <v>1</v>
      </c>
      <c r="P351" s="9">
        <v>3</v>
      </c>
      <c r="Q351" s="9">
        <f t="shared" si="4"/>
        <v>9</v>
      </c>
      <c r="R351" s="10">
        <f t="shared" si="5"/>
        <v>1.0986122886681098</v>
      </c>
      <c r="S351" s="5"/>
      <c r="T351" s="5"/>
    </row>
    <row r="352" spans="1:20" ht="45.75" customHeight="1" x14ac:dyDescent="0.3">
      <c r="A352" s="6">
        <v>6000000</v>
      </c>
      <c r="B352" s="7">
        <f t="shared" si="0"/>
        <v>36000000000000</v>
      </c>
      <c r="C352" s="8">
        <f t="shared" si="1"/>
        <v>15.60727002719233</v>
      </c>
      <c r="D352" s="9">
        <f t="shared" si="2"/>
        <v>6000</v>
      </c>
      <c r="E352" s="9">
        <v>1</v>
      </c>
      <c r="F352" s="9">
        <v>0</v>
      </c>
      <c r="G352" s="9">
        <v>0</v>
      </c>
      <c r="H352" s="9">
        <v>1</v>
      </c>
      <c r="I352" s="9">
        <v>1</v>
      </c>
      <c r="J352" s="9">
        <v>0</v>
      </c>
      <c r="K352" s="9">
        <v>40</v>
      </c>
      <c r="L352" s="9">
        <f t="shared" si="3"/>
        <v>1600</v>
      </c>
      <c r="M352" s="9">
        <v>0</v>
      </c>
      <c r="N352" s="9">
        <v>2</v>
      </c>
      <c r="O352" s="9">
        <v>1</v>
      </c>
      <c r="P352" s="9">
        <v>20</v>
      </c>
      <c r="Q352" s="9">
        <f t="shared" si="4"/>
        <v>400</v>
      </c>
      <c r="R352" s="10">
        <f t="shared" si="5"/>
        <v>2.9957322735539909</v>
      </c>
      <c r="S352" s="5"/>
      <c r="T352" s="5"/>
    </row>
    <row r="353" spans="1:20" ht="45.75" customHeight="1" x14ac:dyDescent="0.3">
      <c r="A353" s="6">
        <v>1000000</v>
      </c>
      <c r="B353" s="7">
        <f t="shared" si="0"/>
        <v>1000000000000</v>
      </c>
      <c r="C353" s="8">
        <f t="shared" si="1"/>
        <v>13.815510557964274</v>
      </c>
      <c r="D353" s="9">
        <f t="shared" si="2"/>
        <v>1000</v>
      </c>
      <c r="E353" s="9">
        <v>0</v>
      </c>
      <c r="F353" s="9">
        <v>0</v>
      </c>
      <c r="G353" s="9">
        <v>0</v>
      </c>
      <c r="H353" s="9">
        <v>1</v>
      </c>
      <c r="I353" s="9">
        <v>0</v>
      </c>
      <c r="J353" s="9">
        <v>0</v>
      </c>
      <c r="K353" s="9">
        <v>28</v>
      </c>
      <c r="L353" s="9">
        <f t="shared" si="3"/>
        <v>784</v>
      </c>
      <c r="M353" s="9">
        <v>0</v>
      </c>
      <c r="N353" s="9">
        <v>1</v>
      </c>
      <c r="O353" s="9">
        <v>1</v>
      </c>
      <c r="P353" s="9">
        <v>6</v>
      </c>
      <c r="Q353" s="9">
        <f t="shared" si="4"/>
        <v>36</v>
      </c>
      <c r="R353" s="10">
        <f t="shared" si="5"/>
        <v>1.791759469228055</v>
      </c>
      <c r="S353" s="5"/>
      <c r="T353" s="5"/>
    </row>
    <row r="354" spans="1:20" ht="45.75" customHeight="1" x14ac:dyDescent="0.3">
      <c r="A354" s="6">
        <v>2500000</v>
      </c>
      <c r="B354" s="7">
        <f t="shared" si="0"/>
        <v>6250000000000</v>
      </c>
      <c r="C354" s="8">
        <f t="shared" si="1"/>
        <v>14.73180128983843</v>
      </c>
      <c r="D354" s="9">
        <f t="shared" si="2"/>
        <v>2500</v>
      </c>
      <c r="E354" s="9">
        <v>1</v>
      </c>
      <c r="F354" s="9">
        <v>0</v>
      </c>
      <c r="G354" s="9">
        <v>0</v>
      </c>
      <c r="H354" s="9">
        <v>1</v>
      </c>
      <c r="I354" s="9">
        <v>1</v>
      </c>
      <c r="J354" s="9">
        <v>1</v>
      </c>
      <c r="K354" s="9">
        <v>30</v>
      </c>
      <c r="L354" s="9">
        <f t="shared" si="3"/>
        <v>900</v>
      </c>
      <c r="M354" s="9">
        <v>0</v>
      </c>
      <c r="N354" s="9">
        <v>0</v>
      </c>
      <c r="O354" s="9">
        <v>0</v>
      </c>
      <c r="P354" s="9">
        <v>5</v>
      </c>
      <c r="Q354" s="9">
        <f t="shared" si="4"/>
        <v>25</v>
      </c>
      <c r="R354" s="10">
        <f t="shared" si="5"/>
        <v>1.6094379124341003</v>
      </c>
      <c r="S354" s="5"/>
      <c r="T354" s="5"/>
    </row>
    <row r="355" spans="1:20" ht="45.75" customHeight="1" x14ac:dyDescent="0.3">
      <c r="A355" s="6">
        <v>3000000</v>
      </c>
      <c r="B355" s="7">
        <f t="shared" si="0"/>
        <v>9000000000000</v>
      </c>
      <c r="C355" s="8">
        <f t="shared" si="1"/>
        <v>14.914122846632385</v>
      </c>
      <c r="D355" s="9">
        <f t="shared" si="2"/>
        <v>3000</v>
      </c>
      <c r="E355" s="9">
        <v>0</v>
      </c>
      <c r="F355" s="9">
        <v>0</v>
      </c>
      <c r="G355" s="9">
        <v>0</v>
      </c>
      <c r="H355" s="9">
        <v>1</v>
      </c>
      <c r="I355" s="9">
        <v>0</v>
      </c>
      <c r="J355" s="9">
        <v>0</v>
      </c>
      <c r="K355" s="9">
        <v>32</v>
      </c>
      <c r="L355" s="9">
        <f t="shared" si="3"/>
        <v>1024</v>
      </c>
      <c r="M355" s="9">
        <v>1</v>
      </c>
      <c r="N355" s="9">
        <v>1</v>
      </c>
      <c r="O355" s="9">
        <v>1</v>
      </c>
      <c r="P355" s="9">
        <v>5</v>
      </c>
      <c r="Q355" s="9">
        <f t="shared" si="4"/>
        <v>25</v>
      </c>
      <c r="R355" s="10">
        <f t="shared" si="5"/>
        <v>1.6094379124341003</v>
      </c>
      <c r="S355" s="5"/>
      <c r="T355" s="5"/>
    </row>
    <row r="356" spans="1:20" ht="45.75" customHeight="1" x14ac:dyDescent="0.3">
      <c r="A356" s="6">
        <v>1500000</v>
      </c>
      <c r="B356" s="7">
        <f t="shared" si="0"/>
        <v>2250000000000</v>
      </c>
      <c r="C356" s="8">
        <f t="shared" si="1"/>
        <v>14.220975666072439</v>
      </c>
      <c r="D356" s="9">
        <f t="shared" si="2"/>
        <v>1500</v>
      </c>
      <c r="E356" s="9">
        <v>0</v>
      </c>
      <c r="F356" s="9">
        <v>0</v>
      </c>
      <c r="G356" s="9">
        <v>1</v>
      </c>
      <c r="H356" s="9">
        <v>0</v>
      </c>
      <c r="I356" s="9">
        <v>0</v>
      </c>
      <c r="J356" s="9">
        <v>0</v>
      </c>
      <c r="K356" s="9">
        <v>30</v>
      </c>
      <c r="L356" s="9">
        <f t="shared" si="3"/>
        <v>900</v>
      </c>
      <c r="M356" s="9">
        <v>1</v>
      </c>
      <c r="N356" s="9">
        <v>2</v>
      </c>
      <c r="O356" s="9">
        <v>1</v>
      </c>
      <c r="P356" s="9">
        <v>2</v>
      </c>
      <c r="Q356" s="9">
        <f t="shared" si="4"/>
        <v>4</v>
      </c>
      <c r="R356" s="10">
        <f t="shared" si="5"/>
        <v>0.69314718055994529</v>
      </c>
      <c r="S356" s="5"/>
      <c r="T356" s="5"/>
    </row>
    <row r="357" spans="1:20" ht="45.75" customHeight="1" x14ac:dyDescent="0.3">
      <c r="A357" s="6">
        <v>1500000</v>
      </c>
      <c r="B357" s="7">
        <f t="shared" si="0"/>
        <v>2250000000000</v>
      </c>
      <c r="C357" s="8">
        <f t="shared" si="1"/>
        <v>14.220975666072439</v>
      </c>
      <c r="D357" s="9">
        <f t="shared" si="2"/>
        <v>1500</v>
      </c>
      <c r="E357" s="9">
        <v>0</v>
      </c>
      <c r="F357" s="9">
        <v>0</v>
      </c>
      <c r="G357" s="9">
        <v>1</v>
      </c>
      <c r="H357" s="9">
        <v>0</v>
      </c>
      <c r="I357" s="9">
        <v>1</v>
      </c>
      <c r="J357" s="9">
        <v>0</v>
      </c>
      <c r="K357" s="9">
        <v>23</v>
      </c>
      <c r="L357" s="9">
        <f t="shared" si="3"/>
        <v>529</v>
      </c>
      <c r="M357" s="9">
        <v>0</v>
      </c>
      <c r="N357" s="9">
        <v>0</v>
      </c>
      <c r="O357" s="9">
        <v>0</v>
      </c>
      <c r="P357" s="9">
        <v>2</v>
      </c>
      <c r="Q357" s="9">
        <f t="shared" si="4"/>
        <v>4</v>
      </c>
      <c r="R357" s="10">
        <f t="shared" si="5"/>
        <v>0.69314718055994529</v>
      </c>
      <c r="S357" s="5"/>
      <c r="T357" s="5"/>
    </row>
    <row r="358" spans="1:20" ht="45.75" customHeight="1" x14ac:dyDescent="0.3">
      <c r="A358" s="6">
        <v>5000000</v>
      </c>
      <c r="B358" s="7">
        <f t="shared" si="0"/>
        <v>25000000000000</v>
      </c>
      <c r="C358" s="8">
        <f t="shared" si="1"/>
        <v>15.424948470398375</v>
      </c>
      <c r="D358" s="9">
        <f t="shared" si="2"/>
        <v>5000</v>
      </c>
      <c r="E358" s="9">
        <v>0</v>
      </c>
      <c r="F358" s="9">
        <v>0</v>
      </c>
      <c r="G358" s="9">
        <v>0</v>
      </c>
      <c r="H358" s="9">
        <v>1</v>
      </c>
      <c r="I358" s="9">
        <v>1</v>
      </c>
      <c r="J358" s="9">
        <v>1</v>
      </c>
      <c r="K358" s="9">
        <v>38</v>
      </c>
      <c r="L358" s="9">
        <f t="shared" si="3"/>
        <v>1444</v>
      </c>
      <c r="M358" s="9">
        <v>1</v>
      </c>
      <c r="N358" s="9">
        <v>1</v>
      </c>
      <c r="O358" s="9">
        <v>1</v>
      </c>
      <c r="P358" s="9">
        <v>4</v>
      </c>
      <c r="Q358" s="9">
        <f t="shared" si="4"/>
        <v>16</v>
      </c>
      <c r="R358" s="10">
        <f t="shared" si="5"/>
        <v>1.3862943611198906</v>
      </c>
      <c r="S358" s="5"/>
      <c r="T358" s="5"/>
    </row>
    <row r="359" spans="1:20" ht="45.75" customHeight="1" x14ac:dyDescent="0.3">
      <c r="A359" s="6">
        <v>1500000</v>
      </c>
      <c r="B359" s="7">
        <f t="shared" si="0"/>
        <v>2250000000000</v>
      </c>
      <c r="C359" s="8">
        <f t="shared" si="1"/>
        <v>14.220975666072439</v>
      </c>
      <c r="D359" s="9">
        <f t="shared" si="2"/>
        <v>1500</v>
      </c>
      <c r="E359" s="9">
        <v>0</v>
      </c>
      <c r="F359" s="9">
        <v>0</v>
      </c>
      <c r="G359" s="9">
        <v>1</v>
      </c>
      <c r="H359" s="9">
        <v>0</v>
      </c>
      <c r="I359" s="9">
        <v>0</v>
      </c>
      <c r="J359" s="9">
        <v>0</v>
      </c>
      <c r="K359" s="9">
        <v>25</v>
      </c>
      <c r="L359" s="9">
        <f t="shared" si="3"/>
        <v>625</v>
      </c>
      <c r="M359" s="9">
        <v>0</v>
      </c>
      <c r="N359" s="9">
        <v>0</v>
      </c>
      <c r="O359" s="9">
        <v>0</v>
      </c>
      <c r="P359" s="9">
        <v>4</v>
      </c>
      <c r="Q359" s="9">
        <f t="shared" si="4"/>
        <v>16</v>
      </c>
      <c r="R359" s="10">
        <f t="shared" si="5"/>
        <v>1.3862943611198906</v>
      </c>
      <c r="S359" s="5"/>
      <c r="T359" s="5"/>
    </row>
    <row r="360" spans="1:20" ht="45.75" customHeight="1" x14ac:dyDescent="0.3">
      <c r="A360" s="6">
        <v>580000</v>
      </c>
      <c r="B360" s="7">
        <f t="shared" si="0"/>
        <v>336400000000</v>
      </c>
      <c r="C360" s="8">
        <f t="shared" si="1"/>
        <v>13.270783382522602</v>
      </c>
      <c r="D360" s="9">
        <f t="shared" si="2"/>
        <v>580</v>
      </c>
      <c r="E360" s="9">
        <v>1</v>
      </c>
      <c r="F360" s="9">
        <v>0</v>
      </c>
      <c r="G360" s="9">
        <v>1</v>
      </c>
      <c r="H360" s="9">
        <v>0</v>
      </c>
      <c r="I360" s="9">
        <v>0</v>
      </c>
      <c r="J360" s="9">
        <v>0</v>
      </c>
      <c r="K360" s="9">
        <v>20</v>
      </c>
      <c r="L360" s="9">
        <f t="shared" si="3"/>
        <v>400</v>
      </c>
      <c r="M360" s="9">
        <v>0</v>
      </c>
      <c r="N360" s="9">
        <v>0</v>
      </c>
      <c r="O360" s="9">
        <v>0</v>
      </c>
      <c r="P360" s="9">
        <v>1</v>
      </c>
      <c r="Q360" s="9">
        <f t="shared" si="4"/>
        <v>1</v>
      </c>
      <c r="R360" s="10">
        <f t="shared" si="5"/>
        <v>0</v>
      </c>
      <c r="S360" s="5"/>
      <c r="T360" s="5"/>
    </row>
    <row r="361" spans="1:20" ht="45.75" customHeight="1" x14ac:dyDescent="0.3">
      <c r="A361" s="6">
        <v>1200000</v>
      </c>
      <c r="B361" s="7">
        <f t="shared" si="0"/>
        <v>1440000000000</v>
      </c>
      <c r="C361" s="8">
        <f t="shared" si="1"/>
        <v>13.997832114758229</v>
      </c>
      <c r="D361" s="9">
        <f t="shared" si="2"/>
        <v>1200</v>
      </c>
      <c r="E361" s="9">
        <v>1</v>
      </c>
      <c r="F361" s="9">
        <v>0</v>
      </c>
      <c r="G361" s="9">
        <v>1</v>
      </c>
      <c r="H361" s="9">
        <v>0</v>
      </c>
      <c r="I361" s="9">
        <v>1</v>
      </c>
      <c r="J361" s="9">
        <v>1</v>
      </c>
      <c r="K361" s="9">
        <v>24</v>
      </c>
      <c r="L361" s="9">
        <f t="shared" si="3"/>
        <v>576</v>
      </c>
      <c r="M361" s="9">
        <v>0</v>
      </c>
      <c r="N361" s="9">
        <v>0</v>
      </c>
      <c r="O361" s="9">
        <v>0</v>
      </c>
      <c r="P361" s="9">
        <v>3</v>
      </c>
      <c r="Q361" s="9">
        <f t="shared" si="4"/>
        <v>9</v>
      </c>
      <c r="R361" s="10">
        <f t="shared" si="5"/>
        <v>1.0986122886681098</v>
      </c>
      <c r="S361" s="5"/>
      <c r="T361" s="5"/>
    </row>
    <row r="362" spans="1:20" ht="45.75" customHeight="1" x14ac:dyDescent="0.3">
      <c r="A362" s="6">
        <v>1200000</v>
      </c>
      <c r="B362" s="7">
        <f t="shared" si="0"/>
        <v>1440000000000</v>
      </c>
      <c r="C362" s="8">
        <f t="shared" si="1"/>
        <v>13.997832114758229</v>
      </c>
      <c r="D362" s="9">
        <f t="shared" si="2"/>
        <v>1200</v>
      </c>
      <c r="E362" s="9">
        <v>1</v>
      </c>
      <c r="F362" s="9">
        <v>1</v>
      </c>
      <c r="G362" s="9">
        <v>0</v>
      </c>
      <c r="H362" s="9">
        <v>0</v>
      </c>
      <c r="I362" s="9">
        <v>1</v>
      </c>
      <c r="J362" s="9">
        <v>0</v>
      </c>
      <c r="K362" s="9">
        <v>45</v>
      </c>
      <c r="L362" s="9">
        <f t="shared" si="3"/>
        <v>2025</v>
      </c>
      <c r="M362" s="9">
        <v>1</v>
      </c>
      <c r="N362" s="9">
        <v>2</v>
      </c>
      <c r="O362" s="9">
        <v>1</v>
      </c>
      <c r="P362" s="9">
        <v>5</v>
      </c>
      <c r="Q362" s="9">
        <f t="shared" si="4"/>
        <v>25</v>
      </c>
      <c r="R362" s="10">
        <f t="shared" si="5"/>
        <v>1.6094379124341003</v>
      </c>
      <c r="S362" s="5"/>
      <c r="T362" s="5"/>
    </row>
    <row r="363" spans="1:20" ht="45.75" customHeight="1" x14ac:dyDescent="0.3">
      <c r="A363" s="6">
        <v>1000000</v>
      </c>
      <c r="B363" s="7">
        <f t="shared" si="0"/>
        <v>1000000000000</v>
      </c>
      <c r="C363" s="8">
        <f t="shared" si="1"/>
        <v>13.815510557964274</v>
      </c>
      <c r="D363" s="9">
        <f t="shared" si="2"/>
        <v>1000</v>
      </c>
      <c r="E363" s="9">
        <v>1</v>
      </c>
      <c r="F363" s="9">
        <v>1</v>
      </c>
      <c r="G363" s="9">
        <v>0</v>
      </c>
      <c r="H363" s="9">
        <v>0</v>
      </c>
      <c r="I363" s="9">
        <v>0</v>
      </c>
      <c r="J363" s="9">
        <v>0</v>
      </c>
      <c r="K363" s="9">
        <v>42</v>
      </c>
      <c r="L363" s="9">
        <f t="shared" si="3"/>
        <v>1764</v>
      </c>
      <c r="M363" s="9">
        <v>1</v>
      </c>
      <c r="N363" s="9">
        <v>3</v>
      </c>
      <c r="O363" s="9">
        <v>1</v>
      </c>
      <c r="P363" s="9">
        <v>30</v>
      </c>
      <c r="Q363" s="9">
        <f t="shared" si="4"/>
        <v>900</v>
      </c>
      <c r="R363" s="10">
        <f t="shared" si="5"/>
        <v>3.4011973816621555</v>
      </c>
      <c r="S363" s="5"/>
      <c r="T363" s="5"/>
    </row>
    <row r="364" spans="1:20" ht="45.75" customHeight="1" x14ac:dyDescent="0.3">
      <c r="A364" s="6">
        <v>1200000</v>
      </c>
      <c r="B364" s="7">
        <f t="shared" si="0"/>
        <v>1440000000000</v>
      </c>
      <c r="C364" s="8">
        <f t="shared" si="1"/>
        <v>13.997832114758229</v>
      </c>
      <c r="D364" s="9">
        <f t="shared" si="2"/>
        <v>1200</v>
      </c>
      <c r="E364" s="9">
        <v>1</v>
      </c>
      <c r="F364" s="9">
        <v>0</v>
      </c>
      <c r="G364" s="9">
        <v>1</v>
      </c>
      <c r="H364" s="9">
        <v>0</v>
      </c>
      <c r="I364" s="9">
        <v>1</v>
      </c>
      <c r="J364" s="9">
        <v>0</v>
      </c>
      <c r="K364" s="9">
        <v>46</v>
      </c>
      <c r="L364" s="9">
        <f t="shared" si="3"/>
        <v>2116</v>
      </c>
      <c r="M364" s="9">
        <v>1</v>
      </c>
      <c r="N364" s="9">
        <v>5</v>
      </c>
      <c r="O364" s="9">
        <v>1</v>
      </c>
      <c r="P364" s="9">
        <v>15</v>
      </c>
      <c r="Q364" s="9">
        <f t="shared" si="4"/>
        <v>225</v>
      </c>
      <c r="R364" s="10">
        <f t="shared" si="5"/>
        <v>2.7080502011022101</v>
      </c>
      <c r="S364" s="5"/>
      <c r="T364" s="5"/>
    </row>
    <row r="365" spans="1:20" ht="45.75" customHeight="1" x14ac:dyDescent="0.3">
      <c r="A365" s="6">
        <v>4500000</v>
      </c>
      <c r="B365" s="7">
        <f t="shared" si="0"/>
        <v>20250000000000</v>
      </c>
      <c r="C365" s="8">
        <f t="shared" si="1"/>
        <v>15.319587954740548</v>
      </c>
      <c r="D365" s="9">
        <f t="shared" si="2"/>
        <v>4500</v>
      </c>
      <c r="E365" s="9">
        <v>1</v>
      </c>
      <c r="F365" s="9">
        <v>0</v>
      </c>
      <c r="G365" s="9">
        <v>1</v>
      </c>
      <c r="H365" s="9">
        <v>0</v>
      </c>
      <c r="I365" s="9">
        <v>1</v>
      </c>
      <c r="J365" s="9">
        <v>1</v>
      </c>
      <c r="K365" s="9">
        <v>29</v>
      </c>
      <c r="L365" s="9">
        <f t="shared" si="3"/>
        <v>841</v>
      </c>
      <c r="M365" s="9">
        <v>0</v>
      </c>
      <c r="N365" s="9">
        <v>0</v>
      </c>
      <c r="O365" s="9">
        <v>0</v>
      </c>
      <c r="P365" s="9">
        <v>12</v>
      </c>
      <c r="Q365" s="9">
        <f t="shared" si="4"/>
        <v>144</v>
      </c>
      <c r="R365" s="10">
        <f t="shared" si="5"/>
        <v>2.4849066497880004</v>
      </c>
      <c r="S365" s="5"/>
      <c r="T365" s="5"/>
    </row>
    <row r="366" spans="1:20" ht="45.75" customHeight="1" x14ac:dyDescent="0.3">
      <c r="A366" s="6">
        <v>5000000</v>
      </c>
      <c r="B366" s="7">
        <f t="shared" si="0"/>
        <v>25000000000000</v>
      </c>
      <c r="C366" s="8">
        <f t="shared" si="1"/>
        <v>15.424948470398375</v>
      </c>
      <c r="D366" s="9">
        <f t="shared" si="2"/>
        <v>5000</v>
      </c>
      <c r="E366" s="9">
        <v>1</v>
      </c>
      <c r="F366" s="9">
        <v>0</v>
      </c>
      <c r="G366" s="9">
        <v>0</v>
      </c>
      <c r="H366" s="9">
        <v>1</v>
      </c>
      <c r="I366" s="9">
        <v>1</v>
      </c>
      <c r="J366" s="9">
        <v>1</v>
      </c>
      <c r="K366" s="9">
        <v>30</v>
      </c>
      <c r="L366" s="9">
        <f t="shared" si="3"/>
        <v>900</v>
      </c>
      <c r="M366" s="9">
        <v>0</v>
      </c>
      <c r="N366" s="9">
        <v>0</v>
      </c>
      <c r="O366" s="9">
        <v>0</v>
      </c>
      <c r="P366" s="9">
        <v>3</v>
      </c>
      <c r="Q366" s="9">
        <f t="shared" si="4"/>
        <v>9</v>
      </c>
      <c r="R366" s="10">
        <f t="shared" si="5"/>
        <v>1.0986122886681098</v>
      </c>
      <c r="S366" s="5"/>
      <c r="T366" s="5"/>
    </row>
    <row r="367" spans="1:20" ht="45.75" customHeight="1" x14ac:dyDescent="0.3">
      <c r="A367" s="6">
        <v>1500000</v>
      </c>
      <c r="B367" s="7">
        <f t="shared" si="0"/>
        <v>2250000000000</v>
      </c>
      <c r="C367" s="8">
        <f t="shared" si="1"/>
        <v>14.220975666072439</v>
      </c>
      <c r="D367" s="9">
        <f t="shared" si="2"/>
        <v>1500</v>
      </c>
      <c r="E367" s="9">
        <v>1</v>
      </c>
      <c r="F367" s="9">
        <v>1</v>
      </c>
      <c r="G367" s="9">
        <v>0</v>
      </c>
      <c r="H367" s="9">
        <v>0</v>
      </c>
      <c r="I367" s="9">
        <v>0</v>
      </c>
      <c r="J367" s="9">
        <v>1</v>
      </c>
      <c r="K367" s="9">
        <v>22</v>
      </c>
      <c r="L367" s="9">
        <f t="shared" si="3"/>
        <v>484</v>
      </c>
      <c r="M367" s="9">
        <v>0</v>
      </c>
      <c r="N367" s="9">
        <v>0</v>
      </c>
      <c r="O367" s="9">
        <v>0</v>
      </c>
      <c r="P367" s="9">
        <v>1</v>
      </c>
      <c r="Q367" s="9">
        <f t="shared" si="4"/>
        <v>1</v>
      </c>
      <c r="R367" s="10">
        <f t="shared" si="5"/>
        <v>0</v>
      </c>
      <c r="S367" s="5"/>
      <c r="T367" s="5"/>
    </row>
    <row r="368" spans="1:20" ht="45.75" customHeight="1" x14ac:dyDescent="0.3">
      <c r="A368" s="6">
        <v>1500000</v>
      </c>
      <c r="B368" s="7">
        <f t="shared" si="0"/>
        <v>2250000000000</v>
      </c>
      <c r="C368" s="8">
        <f t="shared" si="1"/>
        <v>14.220975666072439</v>
      </c>
      <c r="D368" s="9">
        <f t="shared" si="2"/>
        <v>1500</v>
      </c>
      <c r="E368" s="9">
        <v>1</v>
      </c>
      <c r="F368" s="9">
        <v>0</v>
      </c>
      <c r="G368" s="9">
        <v>1</v>
      </c>
      <c r="H368" s="9">
        <v>0</v>
      </c>
      <c r="I368" s="9">
        <v>0</v>
      </c>
      <c r="J368" s="9">
        <v>1</v>
      </c>
      <c r="K368" s="9">
        <v>23</v>
      </c>
      <c r="L368" s="9">
        <f t="shared" si="3"/>
        <v>529</v>
      </c>
      <c r="M368" s="9">
        <v>0</v>
      </c>
      <c r="N368" s="9">
        <v>0</v>
      </c>
      <c r="O368" s="9">
        <v>0</v>
      </c>
      <c r="P368" s="9">
        <v>2</v>
      </c>
      <c r="Q368" s="9">
        <f t="shared" si="4"/>
        <v>4</v>
      </c>
      <c r="R368" s="10">
        <f t="shared" si="5"/>
        <v>0.69314718055994529</v>
      </c>
      <c r="S368" s="5"/>
      <c r="T368" s="5"/>
    </row>
    <row r="369" spans="1:20" ht="45.75" customHeight="1" x14ac:dyDescent="0.3">
      <c r="A369" s="6">
        <v>1400000</v>
      </c>
      <c r="B369" s="7">
        <f t="shared" si="0"/>
        <v>1960000000000</v>
      </c>
      <c r="C369" s="8">
        <f t="shared" si="1"/>
        <v>14.151982794585487</v>
      </c>
      <c r="D369" s="9">
        <f t="shared" si="2"/>
        <v>1400</v>
      </c>
      <c r="E369" s="9">
        <v>1</v>
      </c>
      <c r="F369" s="9">
        <v>0</v>
      </c>
      <c r="G369" s="9">
        <v>0</v>
      </c>
      <c r="H369" s="9">
        <v>1</v>
      </c>
      <c r="I369" s="9">
        <v>1</v>
      </c>
      <c r="J369" s="9">
        <v>1</v>
      </c>
      <c r="K369" s="9">
        <v>26</v>
      </c>
      <c r="L369" s="9">
        <f t="shared" si="3"/>
        <v>676</v>
      </c>
      <c r="M369" s="9">
        <v>0</v>
      </c>
      <c r="N369" s="9">
        <v>0</v>
      </c>
      <c r="O369" s="9">
        <v>0</v>
      </c>
      <c r="P369" s="9">
        <v>9</v>
      </c>
      <c r="Q369" s="9">
        <f t="shared" si="4"/>
        <v>81</v>
      </c>
      <c r="R369" s="10">
        <f t="shared" si="5"/>
        <v>2.1972245773362196</v>
      </c>
      <c r="S369" s="5"/>
      <c r="T369" s="5"/>
    </row>
    <row r="370" spans="1:20" ht="45.75" customHeight="1" x14ac:dyDescent="0.3">
      <c r="A370" s="6">
        <v>3000000</v>
      </c>
      <c r="B370" s="7">
        <f t="shared" si="0"/>
        <v>9000000000000</v>
      </c>
      <c r="C370" s="8">
        <f t="shared" si="1"/>
        <v>14.914122846632385</v>
      </c>
      <c r="D370" s="9">
        <f t="shared" si="2"/>
        <v>3000</v>
      </c>
      <c r="E370" s="9">
        <v>0</v>
      </c>
      <c r="F370" s="9">
        <v>0</v>
      </c>
      <c r="G370" s="9">
        <v>0</v>
      </c>
      <c r="H370" s="9">
        <v>1</v>
      </c>
      <c r="I370" s="9">
        <v>0</v>
      </c>
      <c r="J370" s="9">
        <v>1</v>
      </c>
      <c r="K370" s="9">
        <v>25</v>
      </c>
      <c r="L370" s="9">
        <f t="shared" si="3"/>
        <v>625</v>
      </c>
      <c r="M370" s="9">
        <v>1</v>
      </c>
      <c r="N370" s="9">
        <v>0</v>
      </c>
      <c r="O370" s="9">
        <v>0</v>
      </c>
      <c r="P370" s="9">
        <v>3</v>
      </c>
      <c r="Q370" s="9">
        <f t="shared" si="4"/>
        <v>9</v>
      </c>
      <c r="R370" s="10">
        <f t="shared" si="5"/>
        <v>1.0986122886681098</v>
      </c>
      <c r="S370" s="5"/>
      <c r="T370" s="5"/>
    </row>
    <row r="371" spans="1:20" ht="45.75" customHeight="1" x14ac:dyDescent="0.3">
      <c r="A371" s="6">
        <v>800000</v>
      </c>
      <c r="B371" s="7">
        <f t="shared" si="0"/>
        <v>640000000000</v>
      </c>
      <c r="C371" s="8">
        <f t="shared" si="1"/>
        <v>13.592367006650065</v>
      </c>
      <c r="D371" s="9">
        <f t="shared" si="2"/>
        <v>800</v>
      </c>
      <c r="E371" s="9">
        <v>1</v>
      </c>
      <c r="F371" s="9">
        <v>1</v>
      </c>
      <c r="G371" s="9">
        <v>0</v>
      </c>
      <c r="H371" s="9">
        <v>0</v>
      </c>
      <c r="I371" s="9">
        <v>0</v>
      </c>
      <c r="J371" s="9">
        <v>0</v>
      </c>
      <c r="K371" s="9">
        <v>21</v>
      </c>
      <c r="L371" s="9">
        <f t="shared" si="3"/>
        <v>441</v>
      </c>
      <c r="M371" s="9">
        <v>1</v>
      </c>
      <c r="N371" s="9">
        <v>0</v>
      </c>
      <c r="O371" s="9">
        <v>0</v>
      </c>
      <c r="P371" s="9">
        <v>1</v>
      </c>
      <c r="Q371" s="9">
        <f t="shared" si="4"/>
        <v>1</v>
      </c>
      <c r="R371" s="10">
        <f t="shared" si="5"/>
        <v>0</v>
      </c>
      <c r="S371" s="5"/>
      <c r="T371" s="5"/>
    </row>
    <row r="372" spans="1:20" ht="45.75" customHeight="1" x14ac:dyDescent="0.3">
      <c r="A372" s="6">
        <v>2000000</v>
      </c>
      <c r="B372" s="7">
        <f t="shared" si="0"/>
        <v>4000000000000</v>
      </c>
      <c r="C372" s="8">
        <f t="shared" si="1"/>
        <v>14.508657738524219</v>
      </c>
      <c r="D372" s="9">
        <f t="shared" si="2"/>
        <v>2000</v>
      </c>
      <c r="E372" s="9">
        <v>0</v>
      </c>
      <c r="F372" s="9">
        <v>0</v>
      </c>
      <c r="G372" s="9">
        <v>1</v>
      </c>
      <c r="H372" s="9">
        <v>0</v>
      </c>
      <c r="I372" s="9">
        <v>0</v>
      </c>
      <c r="J372" s="9">
        <v>1</v>
      </c>
      <c r="K372" s="9">
        <v>25</v>
      </c>
      <c r="L372" s="9">
        <f t="shared" si="3"/>
        <v>625</v>
      </c>
      <c r="M372" s="9">
        <v>0</v>
      </c>
      <c r="N372" s="9">
        <v>0</v>
      </c>
      <c r="O372" s="9">
        <v>0</v>
      </c>
      <c r="P372" s="9">
        <v>1</v>
      </c>
      <c r="Q372" s="9">
        <f t="shared" si="4"/>
        <v>1</v>
      </c>
      <c r="R372" s="10">
        <f t="shared" si="5"/>
        <v>0</v>
      </c>
      <c r="S372" s="5"/>
      <c r="T372" s="5"/>
    </row>
    <row r="373" spans="1:20" ht="45.75" customHeight="1" x14ac:dyDescent="0.3">
      <c r="A373" s="6">
        <v>1000000</v>
      </c>
      <c r="B373" s="7">
        <f t="shared" si="0"/>
        <v>1000000000000</v>
      </c>
      <c r="C373" s="8">
        <f t="shared" si="1"/>
        <v>13.815510557964274</v>
      </c>
      <c r="D373" s="9">
        <f t="shared" si="2"/>
        <v>1000</v>
      </c>
      <c r="E373" s="9">
        <v>1</v>
      </c>
      <c r="F373" s="9">
        <v>1</v>
      </c>
      <c r="G373" s="9">
        <v>0</v>
      </c>
      <c r="H373" s="9">
        <v>0</v>
      </c>
      <c r="I373" s="9">
        <v>0</v>
      </c>
      <c r="J373" s="9">
        <v>0</v>
      </c>
      <c r="K373" s="9">
        <v>29</v>
      </c>
      <c r="L373" s="9">
        <f t="shared" si="3"/>
        <v>841</v>
      </c>
      <c r="M373" s="9">
        <v>0</v>
      </c>
      <c r="N373" s="9">
        <v>0</v>
      </c>
      <c r="O373" s="9">
        <v>0</v>
      </c>
      <c r="P373" s="9">
        <v>5</v>
      </c>
      <c r="Q373" s="9">
        <f t="shared" si="4"/>
        <v>25</v>
      </c>
      <c r="R373" s="10">
        <f t="shared" si="5"/>
        <v>1.6094379124341003</v>
      </c>
      <c r="S373" s="5"/>
      <c r="T373" s="5"/>
    </row>
    <row r="374" spans="1:20" ht="45.75" customHeight="1" x14ac:dyDescent="0.3">
      <c r="A374" s="6">
        <v>1700000</v>
      </c>
      <c r="B374" s="7">
        <f t="shared" si="0"/>
        <v>2890000000000</v>
      </c>
      <c r="C374" s="8">
        <f t="shared" si="1"/>
        <v>14.346138809026444</v>
      </c>
      <c r="D374" s="9">
        <f t="shared" si="2"/>
        <v>1700</v>
      </c>
      <c r="E374" s="9">
        <v>1</v>
      </c>
      <c r="F374" s="9">
        <v>0</v>
      </c>
      <c r="G374" s="9">
        <v>1</v>
      </c>
      <c r="H374" s="9">
        <v>0</v>
      </c>
      <c r="I374" s="9">
        <v>0</v>
      </c>
      <c r="J374" s="9">
        <v>1</v>
      </c>
      <c r="K374" s="9">
        <v>26</v>
      </c>
      <c r="L374" s="9">
        <f t="shared" si="3"/>
        <v>676</v>
      </c>
      <c r="M374" s="9">
        <v>0</v>
      </c>
      <c r="N374" s="9">
        <v>0</v>
      </c>
      <c r="O374" s="9">
        <v>0</v>
      </c>
      <c r="P374" s="9">
        <v>1</v>
      </c>
      <c r="Q374" s="9">
        <f t="shared" si="4"/>
        <v>1</v>
      </c>
      <c r="R374" s="10">
        <f t="shared" si="5"/>
        <v>0</v>
      </c>
      <c r="S374" s="5"/>
      <c r="T374" s="5"/>
    </row>
    <row r="375" spans="1:20" ht="45.75" customHeight="1" x14ac:dyDescent="0.3">
      <c r="A375" s="6">
        <v>1500000</v>
      </c>
      <c r="B375" s="7">
        <f t="shared" si="0"/>
        <v>2250000000000</v>
      </c>
      <c r="C375" s="8">
        <f t="shared" si="1"/>
        <v>14.220975666072439</v>
      </c>
      <c r="D375" s="9">
        <f t="shared" si="2"/>
        <v>1500</v>
      </c>
      <c r="E375" s="9">
        <v>0</v>
      </c>
      <c r="F375" s="9">
        <v>0</v>
      </c>
      <c r="G375" s="9">
        <v>1</v>
      </c>
      <c r="H375" s="9">
        <v>0</v>
      </c>
      <c r="I375" s="9">
        <v>0</v>
      </c>
      <c r="J375" s="9">
        <v>0</v>
      </c>
      <c r="K375" s="9">
        <v>30</v>
      </c>
      <c r="L375" s="9">
        <f t="shared" si="3"/>
        <v>900</v>
      </c>
      <c r="M375" s="9">
        <v>1</v>
      </c>
      <c r="N375" s="9">
        <v>2</v>
      </c>
      <c r="O375" s="9">
        <v>1</v>
      </c>
      <c r="P375" s="9">
        <v>2</v>
      </c>
      <c r="Q375" s="9">
        <f t="shared" si="4"/>
        <v>4</v>
      </c>
      <c r="R375" s="10">
        <f t="shared" si="5"/>
        <v>0.69314718055994529</v>
      </c>
      <c r="S375" s="5"/>
      <c r="T375" s="5"/>
    </row>
    <row r="376" spans="1:20" ht="45.75" customHeight="1" x14ac:dyDescent="0.3">
      <c r="A376" s="6">
        <v>1000000</v>
      </c>
      <c r="B376" s="7">
        <f t="shared" si="0"/>
        <v>1000000000000</v>
      </c>
      <c r="C376" s="8">
        <f t="shared" si="1"/>
        <v>13.815510557964274</v>
      </c>
      <c r="D376" s="9">
        <f t="shared" si="2"/>
        <v>1000</v>
      </c>
      <c r="E376" s="9">
        <v>1</v>
      </c>
      <c r="F376" s="9">
        <v>0</v>
      </c>
      <c r="G376" s="9">
        <v>1</v>
      </c>
      <c r="H376" s="9">
        <v>0</v>
      </c>
      <c r="I376" s="9">
        <v>0</v>
      </c>
      <c r="J376" s="9">
        <v>0</v>
      </c>
      <c r="K376" s="9">
        <v>65</v>
      </c>
      <c r="L376" s="9">
        <f t="shared" si="3"/>
        <v>4225</v>
      </c>
      <c r="M376" s="9">
        <v>0</v>
      </c>
      <c r="N376" s="9">
        <v>5</v>
      </c>
      <c r="O376" s="9">
        <v>1</v>
      </c>
      <c r="P376" s="9">
        <v>10</v>
      </c>
      <c r="Q376" s="9">
        <f t="shared" si="4"/>
        <v>100</v>
      </c>
      <c r="R376" s="10">
        <f t="shared" si="5"/>
        <v>2.3025850929940459</v>
      </c>
      <c r="S376" s="5"/>
      <c r="T376" s="5"/>
    </row>
    <row r="377" spans="1:20" ht="45.75" customHeight="1" x14ac:dyDescent="0.3">
      <c r="A377" s="6">
        <v>2000000</v>
      </c>
      <c r="B377" s="7">
        <f t="shared" si="0"/>
        <v>4000000000000</v>
      </c>
      <c r="C377" s="8">
        <f t="shared" si="1"/>
        <v>14.508657738524219</v>
      </c>
      <c r="D377" s="9">
        <f t="shared" si="2"/>
        <v>2000</v>
      </c>
      <c r="E377" s="9">
        <v>1</v>
      </c>
      <c r="F377" s="9">
        <v>0</v>
      </c>
      <c r="G377" s="9">
        <v>0</v>
      </c>
      <c r="H377" s="9">
        <v>1</v>
      </c>
      <c r="I377" s="9">
        <v>0</v>
      </c>
      <c r="J377" s="9">
        <v>0</v>
      </c>
      <c r="K377" s="9">
        <v>30</v>
      </c>
      <c r="L377" s="9">
        <f t="shared" si="3"/>
        <v>900</v>
      </c>
      <c r="M377" s="9">
        <v>1</v>
      </c>
      <c r="N377" s="9">
        <v>1</v>
      </c>
      <c r="O377" s="9">
        <v>1</v>
      </c>
      <c r="P377" s="9">
        <v>10</v>
      </c>
      <c r="Q377" s="9">
        <f t="shared" si="4"/>
        <v>100</v>
      </c>
      <c r="R377" s="10">
        <f t="shared" si="5"/>
        <v>2.3025850929940459</v>
      </c>
      <c r="S377" s="5"/>
      <c r="T377" s="5"/>
    </row>
    <row r="378" spans="1:20" ht="45.75" customHeight="1" x14ac:dyDescent="0.3">
      <c r="A378" s="6">
        <v>1000000</v>
      </c>
      <c r="B378" s="7">
        <f t="shared" si="0"/>
        <v>1000000000000</v>
      </c>
      <c r="C378" s="8">
        <f t="shared" si="1"/>
        <v>13.815510557964274</v>
      </c>
      <c r="D378" s="9">
        <f t="shared" si="2"/>
        <v>1000</v>
      </c>
      <c r="E378" s="9">
        <v>1</v>
      </c>
      <c r="F378" s="9">
        <v>0</v>
      </c>
      <c r="G378" s="9">
        <v>1</v>
      </c>
      <c r="H378" s="9">
        <v>0</v>
      </c>
      <c r="I378" s="9">
        <v>1</v>
      </c>
      <c r="J378" s="9">
        <v>1</v>
      </c>
      <c r="K378" s="9">
        <v>42</v>
      </c>
      <c r="L378" s="9">
        <f t="shared" si="3"/>
        <v>1764</v>
      </c>
      <c r="M378" s="9">
        <v>1</v>
      </c>
      <c r="N378" s="9">
        <v>3</v>
      </c>
      <c r="O378" s="9">
        <v>1</v>
      </c>
      <c r="P378" s="9">
        <v>13</v>
      </c>
      <c r="Q378" s="9">
        <f t="shared" si="4"/>
        <v>169</v>
      </c>
      <c r="R378" s="10">
        <f t="shared" si="5"/>
        <v>2.5649493574615367</v>
      </c>
      <c r="S378" s="5"/>
      <c r="T378" s="5"/>
    </row>
    <row r="379" spans="1:20" ht="45.75" customHeight="1" x14ac:dyDescent="0.3">
      <c r="A379" s="6">
        <v>3000000</v>
      </c>
      <c r="B379" s="7">
        <f t="shared" si="0"/>
        <v>9000000000000</v>
      </c>
      <c r="C379" s="8">
        <f t="shared" si="1"/>
        <v>14.914122846632385</v>
      </c>
      <c r="D379" s="9">
        <f t="shared" si="2"/>
        <v>3000</v>
      </c>
      <c r="E379" s="9">
        <v>1</v>
      </c>
      <c r="F379" s="9">
        <v>1</v>
      </c>
      <c r="G379" s="9">
        <v>0</v>
      </c>
      <c r="H379" s="9">
        <v>0</v>
      </c>
      <c r="I379" s="9">
        <v>1</v>
      </c>
      <c r="J379" s="9">
        <v>1</v>
      </c>
      <c r="K379" s="9">
        <v>40</v>
      </c>
      <c r="L379" s="9">
        <f t="shared" si="3"/>
        <v>1600</v>
      </c>
      <c r="M379" s="9">
        <v>1</v>
      </c>
      <c r="N379" s="9">
        <v>0</v>
      </c>
      <c r="O379" s="9">
        <v>0</v>
      </c>
      <c r="P379" s="9">
        <v>30</v>
      </c>
      <c r="Q379" s="9">
        <f t="shared" si="4"/>
        <v>900</v>
      </c>
      <c r="R379" s="10">
        <f t="shared" si="5"/>
        <v>3.4011973816621555</v>
      </c>
      <c r="S379" s="5"/>
      <c r="T379" s="5"/>
    </row>
    <row r="380" spans="1:20" ht="45.75" customHeight="1" x14ac:dyDescent="0.3">
      <c r="A380" s="6">
        <v>1200000</v>
      </c>
      <c r="B380" s="7">
        <f t="shared" si="0"/>
        <v>1440000000000</v>
      </c>
      <c r="C380" s="8">
        <f t="shared" si="1"/>
        <v>13.997832114758229</v>
      </c>
      <c r="D380" s="9">
        <f t="shared" si="2"/>
        <v>1200</v>
      </c>
      <c r="E380" s="9">
        <v>1</v>
      </c>
      <c r="F380" s="9">
        <v>0</v>
      </c>
      <c r="G380" s="9">
        <v>1</v>
      </c>
      <c r="H380" s="9">
        <v>0</v>
      </c>
      <c r="I380" s="9">
        <v>0</v>
      </c>
      <c r="J380" s="9">
        <v>0</v>
      </c>
      <c r="K380" s="9">
        <v>25</v>
      </c>
      <c r="L380" s="9">
        <f t="shared" si="3"/>
        <v>625</v>
      </c>
      <c r="M380" s="9">
        <v>0</v>
      </c>
      <c r="N380" s="9">
        <v>0</v>
      </c>
      <c r="O380" s="9">
        <v>0</v>
      </c>
      <c r="P380" s="9">
        <v>7</v>
      </c>
      <c r="Q380" s="9">
        <f t="shared" si="4"/>
        <v>49</v>
      </c>
      <c r="R380" s="10">
        <f t="shared" si="5"/>
        <v>1.9459101490553132</v>
      </c>
      <c r="S380" s="5"/>
      <c r="T380" s="5"/>
    </row>
    <row r="381" spans="1:20" ht="45.75" customHeight="1" x14ac:dyDescent="0.3">
      <c r="A381" s="6">
        <v>1600000</v>
      </c>
      <c r="B381" s="7">
        <f t="shared" si="0"/>
        <v>2560000000000</v>
      </c>
      <c r="C381" s="8">
        <f t="shared" si="1"/>
        <v>14.28551418721001</v>
      </c>
      <c r="D381" s="9">
        <f t="shared" si="2"/>
        <v>1600</v>
      </c>
      <c r="E381" s="9">
        <v>1</v>
      </c>
      <c r="F381" s="9">
        <v>0</v>
      </c>
      <c r="G381" s="9">
        <v>0</v>
      </c>
      <c r="H381" s="9">
        <v>1</v>
      </c>
      <c r="I381" s="9">
        <v>0</v>
      </c>
      <c r="J381" s="9">
        <v>1</v>
      </c>
      <c r="K381" s="9">
        <v>26</v>
      </c>
      <c r="L381" s="9">
        <f t="shared" si="3"/>
        <v>676</v>
      </c>
      <c r="M381" s="9">
        <v>0</v>
      </c>
      <c r="N381" s="9">
        <v>0</v>
      </c>
      <c r="O381" s="9">
        <v>0</v>
      </c>
      <c r="P381" s="9">
        <v>10</v>
      </c>
      <c r="Q381" s="9">
        <f t="shared" si="4"/>
        <v>100</v>
      </c>
      <c r="R381" s="10">
        <f t="shared" si="5"/>
        <v>2.3025850929940459</v>
      </c>
      <c r="S381" s="5"/>
      <c r="T381" s="5"/>
    </row>
    <row r="382" spans="1:20" ht="45.75" customHeight="1" x14ac:dyDescent="0.3">
      <c r="A382" s="6">
        <v>1800000</v>
      </c>
      <c r="B382" s="7">
        <f t="shared" si="0"/>
        <v>3240000000000</v>
      </c>
      <c r="C382" s="8">
        <f t="shared" si="1"/>
        <v>14.403297222866392</v>
      </c>
      <c r="D382" s="9">
        <f t="shared" si="2"/>
        <v>1800</v>
      </c>
      <c r="E382" s="9">
        <v>1</v>
      </c>
      <c r="F382" s="9">
        <v>0</v>
      </c>
      <c r="G382" s="9">
        <v>0</v>
      </c>
      <c r="H382" s="9">
        <v>1</v>
      </c>
      <c r="I382" s="9">
        <v>0</v>
      </c>
      <c r="J382" s="9">
        <v>1</v>
      </c>
      <c r="K382" s="9">
        <v>26</v>
      </c>
      <c r="L382" s="9">
        <f t="shared" si="3"/>
        <v>676</v>
      </c>
      <c r="M382" s="9">
        <v>0</v>
      </c>
      <c r="N382" s="9">
        <v>0</v>
      </c>
      <c r="O382" s="9">
        <v>0</v>
      </c>
      <c r="P382" s="9">
        <v>2</v>
      </c>
      <c r="Q382" s="9">
        <f t="shared" si="4"/>
        <v>4</v>
      </c>
      <c r="R382" s="10">
        <f t="shared" si="5"/>
        <v>0.69314718055994529</v>
      </c>
      <c r="S382" s="5"/>
      <c r="T382" s="5"/>
    </row>
    <row r="383" spans="1:20" ht="45.75" customHeight="1" x14ac:dyDescent="0.3">
      <c r="A383" s="6">
        <v>1000000</v>
      </c>
      <c r="B383" s="7">
        <f t="shared" si="0"/>
        <v>1000000000000</v>
      </c>
      <c r="C383" s="8">
        <f t="shared" si="1"/>
        <v>13.815510557964274</v>
      </c>
      <c r="D383" s="9">
        <f t="shared" si="2"/>
        <v>1000</v>
      </c>
      <c r="E383" s="9">
        <v>1</v>
      </c>
      <c r="F383" s="9">
        <v>1</v>
      </c>
      <c r="G383" s="9">
        <v>0</v>
      </c>
      <c r="H383" s="9">
        <v>0</v>
      </c>
      <c r="I383" s="9">
        <v>0</v>
      </c>
      <c r="J383" s="9">
        <v>1</v>
      </c>
      <c r="K383" s="9">
        <v>30</v>
      </c>
      <c r="L383" s="9">
        <f t="shared" si="3"/>
        <v>900</v>
      </c>
      <c r="M383" s="9">
        <v>1</v>
      </c>
      <c r="N383" s="9">
        <v>1</v>
      </c>
      <c r="O383" s="9">
        <v>1</v>
      </c>
      <c r="P383" s="9">
        <v>5</v>
      </c>
      <c r="Q383" s="9">
        <f t="shared" si="4"/>
        <v>25</v>
      </c>
      <c r="R383" s="10">
        <f t="shared" si="5"/>
        <v>1.6094379124341003</v>
      </c>
      <c r="S383" s="5"/>
      <c r="T383" s="5"/>
    </row>
    <row r="384" spans="1:20" ht="45.75" customHeight="1" x14ac:dyDescent="0.3">
      <c r="A384" s="6">
        <v>1000000</v>
      </c>
      <c r="B384" s="7">
        <f t="shared" si="0"/>
        <v>1000000000000</v>
      </c>
      <c r="C384" s="8">
        <f t="shared" si="1"/>
        <v>13.815510557964274</v>
      </c>
      <c r="D384" s="9">
        <f t="shared" si="2"/>
        <v>1000</v>
      </c>
      <c r="E384" s="9">
        <v>1</v>
      </c>
      <c r="F384" s="9">
        <v>1</v>
      </c>
      <c r="G384" s="9">
        <v>0</v>
      </c>
      <c r="H384" s="9">
        <v>0</v>
      </c>
      <c r="I384" s="9">
        <v>1</v>
      </c>
      <c r="J384" s="9">
        <v>1</v>
      </c>
      <c r="K384" s="9">
        <v>26</v>
      </c>
      <c r="L384" s="9">
        <f t="shared" si="3"/>
        <v>676</v>
      </c>
      <c r="M384" s="9">
        <v>0</v>
      </c>
      <c r="N384" s="9">
        <v>0</v>
      </c>
      <c r="O384" s="9">
        <v>0</v>
      </c>
      <c r="P384" s="9">
        <v>2</v>
      </c>
      <c r="Q384" s="9">
        <f t="shared" si="4"/>
        <v>4</v>
      </c>
      <c r="R384" s="10">
        <f t="shared" si="5"/>
        <v>0.69314718055994529</v>
      </c>
      <c r="S384" s="5"/>
      <c r="T384" s="5"/>
    </row>
    <row r="385" spans="1:20" ht="45.75" customHeight="1" x14ac:dyDescent="0.3">
      <c r="A385" s="6">
        <v>3000000</v>
      </c>
      <c r="B385" s="7">
        <f t="shared" si="0"/>
        <v>9000000000000</v>
      </c>
      <c r="C385" s="8">
        <f t="shared" si="1"/>
        <v>14.914122846632385</v>
      </c>
      <c r="D385" s="9">
        <f t="shared" si="2"/>
        <v>3000</v>
      </c>
      <c r="E385" s="9">
        <v>1</v>
      </c>
      <c r="F385" s="9">
        <v>0</v>
      </c>
      <c r="G385" s="9">
        <v>0</v>
      </c>
      <c r="H385" s="9">
        <v>1</v>
      </c>
      <c r="I385" s="9">
        <v>0</v>
      </c>
      <c r="J385" s="9">
        <v>1</v>
      </c>
      <c r="K385" s="9">
        <v>25</v>
      </c>
      <c r="L385" s="9">
        <f t="shared" si="3"/>
        <v>625</v>
      </c>
      <c r="M385" s="9">
        <v>1</v>
      </c>
      <c r="N385" s="9">
        <v>1</v>
      </c>
      <c r="O385" s="9">
        <v>1</v>
      </c>
      <c r="P385" s="9">
        <v>5</v>
      </c>
      <c r="Q385" s="9">
        <f t="shared" si="4"/>
        <v>25</v>
      </c>
      <c r="R385" s="10">
        <f t="shared" si="5"/>
        <v>1.6094379124341003</v>
      </c>
      <c r="S385" s="5"/>
      <c r="T385" s="5"/>
    </row>
    <row r="386" spans="1:20" ht="45.75" customHeight="1" x14ac:dyDescent="0.3">
      <c r="A386" s="6">
        <v>1000000</v>
      </c>
      <c r="B386" s="7">
        <f t="shared" si="0"/>
        <v>1000000000000</v>
      </c>
      <c r="C386" s="8">
        <f t="shared" si="1"/>
        <v>13.815510557964274</v>
      </c>
      <c r="D386" s="9">
        <f t="shared" si="2"/>
        <v>1000</v>
      </c>
      <c r="E386" s="9">
        <v>1</v>
      </c>
      <c r="F386" s="9">
        <v>1</v>
      </c>
      <c r="G386" s="9">
        <v>0</v>
      </c>
      <c r="H386" s="9">
        <v>0</v>
      </c>
      <c r="I386" s="9">
        <v>0</v>
      </c>
      <c r="J386" s="9">
        <v>0</v>
      </c>
      <c r="K386" s="9">
        <v>21</v>
      </c>
      <c r="L386" s="9">
        <f t="shared" si="3"/>
        <v>441</v>
      </c>
      <c r="M386" s="9">
        <v>0</v>
      </c>
      <c r="N386" s="9">
        <v>0</v>
      </c>
      <c r="O386" s="9">
        <v>0</v>
      </c>
      <c r="P386" s="9">
        <v>1</v>
      </c>
      <c r="Q386" s="9">
        <f t="shared" si="4"/>
        <v>1</v>
      </c>
      <c r="R386" s="10">
        <f t="shared" si="5"/>
        <v>0</v>
      </c>
      <c r="S386" s="5"/>
      <c r="T386" s="5"/>
    </row>
    <row r="387" spans="1:20" ht="45.75" customHeight="1" x14ac:dyDescent="0.3">
      <c r="A387" s="6">
        <v>800000</v>
      </c>
      <c r="B387" s="7">
        <f t="shared" si="0"/>
        <v>640000000000</v>
      </c>
      <c r="C387" s="8">
        <f t="shared" si="1"/>
        <v>13.592367006650065</v>
      </c>
      <c r="D387" s="9">
        <f t="shared" si="2"/>
        <v>800</v>
      </c>
      <c r="E387" s="9">
        <v>1</v>
      </c>
      <c r="F387" s="9">
        <v>0</v>
      </c>
      <c r="G387" s="9">
        <v>1</v>
      </c>
      <c r="H387" s="9">
        <v>0</v>
      </c>
      <c r="I387" s="9">
        <v>1</v>
      </c>
      <c r="J387" s="9">
        <v>1</v>
      </c>
      <c r="K387" s="9">
        <v>25</v>
      </c>
      <c r="L387" s="9">
        <f t="shared" si="3"/>
        <v>625</v>
      </c>
      <c r="M387" s="9">
        <v>0</v>
      </c>
      <c r="N387" s="9">
        <v>0</v>
      </c>
      <c r="O387" s="9">
        <v>0</v>
      </c>
      <c r="P387" s="9">
        <v>1</v>
      </c>
      <c r="Q387" s="9">
        <f t="shared" si="4"/>
        <v>1</v>
      </c>
      <c r="R387" s="10">
        <f t="shared" si="5"/>
        <v>0</v>
      </c>
      <c r="S387" s="5"/>
      <c r="T387" s="5"/>
    </row>
    <row r="388" spans="1:20" ht="45.75" customHeight="1" x14ac:dyDescent="0.3">
      <c r="A388" s="6">
        <v>1000000</v>
      </c>
      <c r="B388" s="7">
        <f t="shared" si="0"/>
        <v>1000000000000</v>
      </c>
      <c r="C388" s="8">
        <f t="shared" si="1"/>
        <v>13.815510557964274</v>
      </c>
      <c r="D388" s="9">
        <f t="shared" si="2"/>
        <v>1000</v>
      </c>
      <c r="E388" s="9">
        <v>1</v>
      </c>
      <c r="F388" s="9">
        <v>1</v>
      </c>
      <c r="G388" s="9">
        <v>0</v>
      </c>
      <c r="H388" s="9">
        <v>0</v>
      </c>
      <c r="I388" s="9">
        <v>0</v>
      </c>
      <c r="J388" s="9">
        <v>0</v>
      </c>
      <c r="K388" s="9">
        <v>19</v>
      </c>
      <c r="L388" s="9">
        <f t="shared" si="3"/>
        <v>361</v>
      </c>
      <c r="M388" s="9">
        <v>0</v>
      </c>
      <c r="N388" s="9">
        <v>0</v>
      </c>
      <c r="O388" s="9">
        <v>0</v>
      </c>
      <c r="P388" s="9">
        <v>5</v>
      </c>
      <c r="Q388" s="9">
        <f t="shared" si="4"/>
        <v>25</v>
      </c>
      <c r="R388" s="10">
        <f t="shared" si="5"/>
        <v>1.6094379124341003</v>
      </c>
      <c r="S388" s="5"/>
      <c r="T388" s="5"/>
    </row>
    <row r="389" spans="1:20" ht="45.75" customHeight="1" x14ac:dyDescent="0.3">
      <c r="A389" s="6">
        <v>1500000</v>
      </c>
      <c r="B389" s="7">
        <f t="shared" si="0"/>
        <v>2250000000000</v>
      </c>
      <c r="C389" s="8">
        <f t="shared" si="1"/>
        <v>14.220975666072439</v>
      </c>
      <c r="D389" s="9">
        <f t="shared" si="2"/>
        <v>1500</v>
      </c>
      <c r="E389" s="9">
        <v>0</v>
      </c>
      <c r="F389" s="9">
        <v>0</v>
      </c>
      <c r="G389" s="9">
        <v>1</v>
      </c>
      <c r="H389" s="9">
        <v>0</v>
      </c>
      <c r="I389" s="9">
        <v>0</v>
      </c>
      <c r="J389" s="9">
        <v>0</v>
      </c>
      <c r="K389" s="9">
        <v>25</v>
      </c>
      <c r="L389" s="9">
        <f t="shared" si="3"/>
        <v>625</v>
      </c>
      <c r="M389" s="9">
        <v>0</v>
      </c>
      <c r="N389" s="9">
        <v>1</v>
      </c>
      <c r="O389" s="9">
        <v>1</v>
      </c>
      <c r="P389" s="9">
        <v>10</v>
      </c>
      <c r="Q389" s="9">
        <f t="shared" si="4"/>
        <v>100</v>
      </c>
      <c r="R389" s="10">
        <f t="shared" si="5"/>
        <v>2.3025850929940459</v>
      </c>
      <c r="S389" s="5"/>
      <c r="T389" s="5"/>
    </row>
    <row r="390" spans="1:20" ht="45.75" customHeight="1" x14ac:dyDescent="0.3">
      <c r="A390" s="6">
        <v>1500000</v>
      </c>
      <c r="B390" s="7">
        <f t="shared" si="0"/>
        <v>2250000000000</v>
      </c>
      <c r="C390" s="8">
        <f t="shared" si="1"/>
        <v>14.220975666072439</v>
      </c>
      <c r="D390" s="9">
        <f t="shared" si="2"/>
        <v>1500</v>
      </c>
      <c r="E390" s="9">
        <v>0</v>
      </c>
      <c r="F390" s="9">
        <v>0</v>
      </c>
      <c r="G390" s="9">
        <v>1</v>
      </c>
      <c r="H390" s="9">
        <v>0</v>
      </c>
      <c r="I390" s="9">
        <v>0</v>
      </c>
      <c r="J390" s="9">
        <v>0</v>
      </c>
      <c r="K390" s="9">
        <v>30</v>
      </c>
      <c r="L390" s="9">
        <f t="shared" si="3"/>
        <v>900</v>
      </c>
      <c r="M390" s="9">
        <v>1</v>
      </c>
      <c r="N390" s="9">
        <v>2</v>
      </c>
      <c r="O390" s="9">
        <v>1</v>
      </c>
      <c r="P390" s="9">
        <v>2</v>
      </c>
      <c r="Q390" s="9">
        <f t="shared" si="4"/>
        <v>4</v>
      </c>
      <c r="R390" s="10">
        <f t="shared" si="5"/>
        <v>0.69314718055994529</v>
      </c>
      <c r="S390" s="5"/>
      <c r="T390" s="5"/>
    </row>
    <row r="391" spans="1:20" ht="45.75" customHeight="1" x14ac:dyDescent="0.3">
      <c r="A391" s="6">
        <v>2500000</v>
      </c>
      <c r="B391" s="7">
        <f t="shared" si="0"/>
        <v>6250000000000</v>
      </c>
      <c r="C391" s="8">
        <f t="shared" si="1"/>
        <v>14.73180128983843</v>
      </c>
      <c r="D391" s="9">
        <f t="shared" si="2"/>
        <v>2500</v>
      </c>
      <c r="E391" s="9">
        <v>0</v>
      </c>
      <c r="F391" s="9">
        <v>0</v>
      </c>
      <c r="G391" s="9">
        <v>0</v>
      </c>
      <c r="H391" s="9">
        <v>1</v>
      </c>
      <c r="I391" s="9">
        <v>0</v>
      </c>
      <c r="J391" s="9">
        <v>1</v>
      </c>
      <c r="K391" s="9">
        <v>27</v>
      </c>
      <c r="L391" s="9">
        <f t="shared" si="3"/>
        <v>729</v>
      </c>
      <c r="M391" s="9">
        <v>0</v>
      </c>
      <c r="N391" s="9">
        <v>1</v>
      </c>
      <c r="O391" s="9">
        <v>1</v>
      </c>
      <c r="P391" s="9">
        <v>2</v>
      </c>
      <c r="Q391" s="9">
        <f t="shared" si="4"/>
        <v>4</v>
      </c>
      <c r="R391" s="10">
        <f t="shared" si="5"/>
        <v>0.69314718055994529</v>
      </c>
      <c r="S391" s="5"/>
      <c r="T391" s="5"/>
    </row>
    <row r="392" spans="1:20" ht="45.75" customHeight="1" thickBot="1" x14ac:dyDescent="0.35">
      <c r="A392" s="11">
        <v>3000000</v>
      </c>
      <c r="B392" s="12">
        <f t="shared" si="0"/>
        <v>9000000000000</v>
      </c>
      <c r="C392" s="13">
        <f t="shared" si="1"/>
        <v>14.914122846632385</v>
      </c>
      <c r="D392" s="14">
        <f t="shared" si="2"/>
        <v>3000</v>
      </c>
      <c r="E392" s="14">
        <v>0</v>
      </c>
      <c r="F392" s="14">
        <v>0</v>
      </c>
      <c r="G392" s="14">
        <v>0</v>
      </c>
      <c r="H392" s="14">
        <v>1</v>
      </c>
      <c r="I392" s="14">
        <v>0</v>
      </c>
      <c r="J392" s="14">
        <v>1</v>
      </c>
      <c r="K392" s="14">
        <v>30</v>
      </c>
      <c r="L392" s="14">
        <f t="shared" si="3"/>
        <v>900</v>
      </c>
      <c r="M392" s="14">
        <v>1</v>
      </c>
      <c r="N392" s="14">
        <v>0</v>
      </c>
      <c r="O392" s="14">
        <v>0</v>
      </c>
      <c r="P392" s="9">
        <v>18</v>
      </c>
      <c r="Q392" s="9">
        <f t="shared" si="4"/>
        <v>324</v>
      </c>
      <c r="R392" s="10">
        <f t="shared" si="5"/>
        <v>2.8903717578961645</v>
      </c>
      <c r="S392" s="5"/>
      <c r="T392" s="5"/>
    </row>
    <row r="393" spans="1:20" ht="45.75" customHeight="1" x14ac:dyDescent="0.3">
      <c r="A393" s="1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spans="1:20" ht="45.75" customHeight="1" x14ac:dyDescent="0.3">
      <c r="A394" s="1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spans="1:20" ht="45.75" customHeight="1" x14ac:dyDescent="0.3">
      <c r="A395" s="1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spans="1:20" ht="45.75" customHeight="1" x14ac:dyDescent="0.3">
      <c r="A396" s="1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spans="1:20" ht="45.75" customHeight="1" x14ac:dyDescent="0.3">
      <c r="A397" s="1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spans="1:20" ht="45.75" customHeight="1" x14ac:dyDescent="0.3">
      <c r="A398" s="1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spans="1:20" ht="45.75" customHeight="1" x14ac:dyDescent="0.3">
      <c r="A399" s="1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spans="1:20" ht="45.75" customHeight="1" x14ac:dyDescent="0.3">
      <c r="A400" s="1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spans="1:20" ht="45.75" customHeight="1" x14ac:dyDescent="0.3">
      <c r="A401" s="1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spans="1:20" ht="45.75" customHeight="1" x14ac:dyDescent="0.3">
      <c r="A402" s="1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spans="1:20" ht="45.75" customHeight="1" x14ac:dyDescent="0.3">
      <c r="A403" s="1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spans="1:20" ht="45.75" customHeight="1" x14ac:dyDescent="0.3">
      <c r="A404" s="1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spans="1:20" ht="45.75" customHeight="1" x14ac:dyDescent="0.3">
      <c r="A405" s="1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spans="1:20" ht="45.75" customHeight="1" x14ac:dyDescent="0.3">
      <c r="A406" s="1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spans="1:20" ht="45.75" customHeight="1" x14ac:dyDescent="0.3">
      <c r="A407" s="1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spans="1:20" ht="45.75" customHeight="1" x14ac:dyDescent="0.3">
      <c r="A408" s="1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spans="1:20" ht="45.75" customHeight="1" x14ac:dyDescent="0.3">
      <c r="A409" s="1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spans="1:20" ht="45.75" customHeight="1" x14ac:dyDescent="0.3">
      <c r="A410" s="1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spans="1:20" ht="45.75" customHeight="1" x14ac:dyDescent="0.3">
      <c r="A411" s="1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spans="1:20" ht="45.75" customHeight="1" x14ac:dyDescent="0.3">
      <c r="A412" s="1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spans="1:20" ht="45.75" customHeight="1" x14ac:dyDescent="0.3">
      <c r="A413" s="1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spans="1:20" ht="45.75" customHeight="1" x14ac:dyDescent="0.3">
      <c r="A414" s="1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spans="1:20" ht="45.75" customHeight="1" x14ac:dyDescent="0.3">
      <c r="A415" s="1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spans="1:20" ht="45.75" customHeight="1" x14ac:dyDescent="0.3">
      <c r="A416" s="1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spans="1:20" ht="45.75" customHeight="1" x14ac:dyDescent="0.3">
      <c r="A417" s="1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spans="1:20" ht="45.75" customHeight="1" x14ac:dyDescent="0.3">
      <c r="A418" s="1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spans="1:20" ht="45.75" customHeight="1" x14ac:dyDescent="0.3">
      <c r="A419" s="1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spans="1:20" ht="45.75" customHeight="1" x14ac:dyDescent="0.3">
      <c r="A420" s="1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spans="1:20" ht="45.75" customHeight="1" x14ac:dyDescent="0.3">
      <c r="A421" s="1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spans="1:20" ht="45.75" customHeight="1" x14ac:dyDescent="0.3">
      <c r="A422" s="1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spans="1:20" ht="45.75" customHeight="1" x14ac:dyDescent="0.3">
      <c r="A423" s="1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spans="1:20" ht="45.75" customHeight="1" x14ac:dyDescent="0.3">
      <c r="A424" s="1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spans="1:20" ht="45.75" customHeight="1" x14ac:dyDescent="0.3">
      <c r="A425" s="1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spans="1:20" ht="45.75" customHeight="1" x14ac:dyDescent="0.3">
      <c r="A426" s="1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spans="1:20" ht="45.75" customHeight="1" x14ac:dyDescent="0.3">
      <c r="A427" s="1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spans="1:20" ht="45.75" customHeight="1" x14ac:dyDescent="0.3">
      <c r="A428" s="1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 ht="45.75" customHeight="1" x14ac:dyDescent="0.3">
      <c r="A429" s="1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 ht="45.75" customHeight="1" x14ac:dyDescent="0.3">
      <c r="A430" s="1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 ht="45.75" customHeight="1" x14ac:dyDescent="0.3">
      <c r="A431" s="1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 ht="45.75" customHeight="1" x14ac:dyDescent="0.3">
      <c r="A432" s="1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ht="45.75" customHeight="1" x14ac:dyDescent="0.3">
      <c r="A433" s="1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spans="1:20" ht="45.75" customHeight="1" x14ac:dyDescent="0.3">
      <c r="A434" s="1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spans="1:20" ht="45.75" customHeight="1" x14ac:dyDescent="0.3">
      <c r="A435" s="1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spans="1:20" ht="45.75" customHeight="1" x14ac:dyDescent="0.3">
      <c r="A436" s="1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spans="1:20" ht="45.75" customHeight="1" x14ac:dyDescent="0.3">
      <c r="A437" s="1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1:20" ht="45.75" customHeight="1" x14ac:dyDescent="0.3">
      <c r="A438" s="1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spans="1:20" ht="45.75" customHeight="1" x14ac:dyDescent="0.3">
      <c r="A439" s="1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spans="1:20" ht="45.75" customHeight="1" x14ac:dyDescent="0.3">
      <c r="A440" s="1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spans="1:20" ht="45.75" customHeight="1" x14ac:dyDescent="0.3">
      <c r="A441" s="1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spans="1:20" ht="45.75" customHeight="1" x14ac:dyDescent="0.3">
      <c r="A442" s="1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1:20" ht="45.75" customHeight="1" x14ac:dyDescent="0.3">
      <c r="A443" s="1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spans="1:20" ht="45.75" customHeight="1" x14ac:dyDescent="0.3">
      <c r="A444" s="1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spans="1:20" ht="45.75" customHeight="1" x14ac:dyDescent="0.3">
      <c r="A445" s="1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spans="1:20" ht="45.75" customHeight="1" x14ac:dyDescent="0.3">
      <c r="A446" s="1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spans="1:20" ht="45.75" customHeight="1" x14ac:dyDescent="0.3">
      <c r="A447" s="1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spans="1:20" ht="45.75" customHeight="1" x14ac:dyDescent="0.3">
      <c r="A448" s="1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spans="1:20" ht="45.75" customHeight="1" x14ac:dyDescent="0.3">
      <c r="A449" s="1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spans="1:20" ht="45.75" customHeight="1" x14ac:dyDescent="0.3">
      <c r="A450" s="1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spans="1:20" ht="45.75" customHeight="1" x14ac:dyDescent="0.3">
      <c r="A451" s="1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spans="1:20" ht="45.75" customHeight="1" x14ac:dyDescent="0.3">
      <c r="A452" s="1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spans="1:20" ht="45.75" customHeight="1" x14ac:dyDescent="0.3">
      <c r="A453" s="1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spans="1:20" ht="45.75" customHeight="1" x14ac:dyDescent="0.3">
      <c r="A454" s="1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spans="1:20" ht="45.75" customHeight="1" x14ac:dyDescent="0.3">
      <c r="A455" s="1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spans="1:20" ht="45.75" customHeight="1" x14ac:dyDescent="0.3">
      <c r="A456" s="1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spans="1:20" ht="45.75" customHeight="1" x14ac:dyDescent="0.3">
      <c r="A457" s="1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spans="1:20" ht="45.75" customHeight="1" x14ac:dyDescent="0.3">
      <c r="A458" s="1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spans="1:20" ht="45.75" customHeight="1" x14ac:dyDescent="0.3">
      <c r="A459" s="1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spans="1:20" ht="45.75" customHeight="1" x14ac:dyDescent="0.3">
      <c r="A460" s="1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spans="1:20" ht="45.75" customHeight="1" x14ac:dyDescent="0.3">
      <c r="A461" s="1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spans="1:20" ht="45.75" customHeight="1" x14ac:dyDescent="0.3">
      <c r="A462" s="1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spans="1:20" ht="45.75" customHeight="1" x14ac:dyDescent="0.3">
      <c r="A463" s="1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spans="1:20" ht="45.75" customHeight="1" x14ac:dyDescent="0.3">
      <c r="A464" s="1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spans="1:20" ht="45.75" customHeight="1" x14ac:dyDescent="0.3">
      <c r="A465" s="1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spans="1:20" ht="45.75" customHeight="1" x14ac:dyDescent="0.3">
      <c r="A466" s="1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spans="1:20" ht="45.75" customHeight="1" x14ac:dyDescent="0.3">
      <c r="A467" s="1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spans="1:20" ht="45.75" customHeight="1" x14ac:dyDescent="0.3">
      <c r="A468" s="1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spans="1:20" ht="45.75" customHeight="1" x14ac:dyDescent="0.3">
      <c r="A469" s="1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spans="1:20" ht="45.75" customHeight="1" x14ac:dyDescent="0.3">
      <c r="A470" s="1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spans="1:20" ht="45.75" customHeight="1" x14ac:dyDescent="0.3">
      <c r="A471" s="1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spans="1:20" ht="45.75" customHeight="1" x14ac:dyDescent="0.3">
      <c r="A472" s="1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spans="1:20" ht="45.75" customHeight="1" x14ac:dyDescent="0.3">
      <c r="A473" s="1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spans="1:20" ht="45.75" customHeight="1" x14ac:dyDescent="0.3">
      <c r="A474" s="1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spans="1:20" ht="45.75" customHeight="1" x14ac:dyDescent="0.3">
      <c r="A475" s="1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spans="1:20" ht="45.75" customHeight="1" x14ac:dyDescent="0.3">
      <c r="A476" s="1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spans="1:20" ht="45.75" customHeight="1" x14ac:dyDescent="0.3">
      <c r="A477" s="1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spans="1:20" ht="45.75" customHeight="1" x14ac:dyDescent="0.3">
      <c r="A478" s="1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spans="1:20" ht="45.75" customHeight="1" x14ac:dyDescent="0.3">
      <c r="A479" s="1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spans="1:20" ht="45.75" customHeight="1" x14ac:dyDescent="0.3">
      <c r="A480" s="1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spans="1:20" ht="45.75" customHeight="1" x14ac:dyDescent="0.3">
      <c r="A481" s="1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spans="1:20" ht="45.75" customHeight="1" x14ac:dyDescent="0.3">
      <c r="A482" s="1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spans="1:20" ht="45.75" customHeight="1" x14ac:dyDescent="0.3">
      <c r="A483" s="1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spans="1:20" ht="45.75" customHeight="1" x14ac:dyDescent="0.3">
      <c r="A484" s="1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spans="1:20" ht="45.75" customHeight="1" x14ac:dyDescent="0.3">
      <c r="A485" s="1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spans="1:20" ht="45.75" customHeight="1" x14ac:dyDescent="0.3">
      <c r="A486" s="1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spans="1:20" ht="45.75" customHeight="1" x14ac:dyDescent="0.3">
      <c r="A487" s="1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spans="1:20" ht="45.75" customHeight="1" x14ac:dyDescent="0.3">
      <c r="A488" s="1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spans="1:20" ht="45.75" customHeight="1" x14ac:dyDescent="0.3">
      <c r="A489" s="1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spans="1:20" ht="45.75" customHeight="1" x14ac:dyDescent="0.3">
      <c r="A490" s="1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spans="1:20" ht="45.75" customHeight="1" x14ac:dyDescent="0.3">
      <c r="A491" s="1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spans="1:20" ht="45.75" customHeight="1" x14ac:dyDescent="0.3">
      <c r="A492" s="1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spans="1:20" ht="45.75" customHeight="1" x14ac:dyDescent="0.3">
      <c r="A493" s="1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spans="1:20" ht="45.75" customHeight="1" x14ac:dyDescent="0.3">
      <c r="A494" s="1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spans="1:20" ht="45.75" customHeight="1" x14ac:dyDescent="0.3">
      <c r="A495" s="1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spans="1:20" ht="45.75" customHeight="1" x14ac:dyDescent="0.3">
      <c r="A496" s="1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spans="1:20" ht="45.75" customHeight="1" x14ac:dyDescent="0.3">
      <c r="A497" s="1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spans="1:20" ht="45.75" customHeight="1" x14ac:dyDescent="0.3">
      <c r="A498" s="1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spans="1:20" ht="45.75" customHeight="1" x14ac:dyDescent="0.3">
      <c r="A499" s="1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spans="1:20" ht="45.75" customHeight="1" x14ac:dyDescent="0.3">
      <c r="A500" s="1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spans="1:20" ht="45.75" customHeight="1" x14ac:dyDescent="0.3">
      <c r="A501" s="1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spans="1:20" ht="45.75" customHeight="1" x14ac:dyDescent="0.3">
      <c r="A502" s="1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spans="1:20" ht="45.75" customHeight="1" x14ac:dyDescent="0.3">
      <c r="A503" s="1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spans="1:20" ht="45.75" customHeight="1" x14ac:dyDescent="0.3">
      <c r="A504" s="1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spans="1:20" ht="45.75" customHeight="1" x14ac:dyDescent="0.3">
      <c r="A505" s="1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spans="1:20" ht="45.75" customHeight="1" x14ac:dyDescent="0.3">
      <c r="A506" s="1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spans="1:20" ht="45.75" customHeight="1" x14ac:dyDescent="0.3">
      <c r="A507" s="1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spans="1:20" ht="45.75" customHeight="1" x14ac:dyDescent="0.3">
      <c r="A508" s="1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spans="1:20" ht="45.75" customHeight="1" x14ac:dyDescent="0.3">
      <c r="A509" s="1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spans="1:20" ht="45.75" customHeight="1" x14ac:dyDescent="0.3">
      <c r="A510" s="1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spans="1:20" ht="45.75" customHeight="1" x14ac:dyDescent="0.3">
      <c r="A511" s="1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spans="1:20" ht="45.75" customHeight="1" x14ac:dyDescent="0.3">
      <c r="A512" s="1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spans="1:20" ht="45.75" customHeight="1" x14ac:dyDescent="0.3">
      <c r="A513" s="1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1:20" ht="45.75" customHeight="1" x14ac:dyDescent="0.3">
      <c r="A514" s="1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spans="1:20" ht="45.75" customHeight="1" x14ac:dyDescent="0.3">
      <c r="A515" s="1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spans="1:20" ht="45.75" customHeight="1" x14ac:dyDescent="0.3">
      <c r="A516" s="1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spans="1:20" ht="45.75" customHeight="1" x14ac:dyDescent="0.3">
      <c r="A517" s="1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spans="1:20" ht="45.75" customHeight="1" x14ac:dyDescent="0.3">
      <c r="A518" s="1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1:20" ht="45.75" customHeight="1" x14ac:dyDescent="0.3">
      <c r="A519" s="1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spans="1:20" ht="45.75" customHeight="1" x14ac:dyDescent="0.3">
      <c r="A520" s="1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spans="1:20" ht="45.75" customHeight="1" x14ac:dyDescent="0.3">
      <c r="A521" s="1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spans="1:20" ht="45.75" customHeight="1" x14ac:dyDescent="0.3">
      <c r="A522" s="1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spans="1:20" ht="45.75" customHeight="1" x14ac:dyDescent="0.3">
      <c r="A523" s="1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1:20" ht="45.75" customHeight="1" x14ac:dyDescent="0.3">
      <c r="A524" s="1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spans="1:20" ht="45.75" customHeight="1" x14ac:dyDescent="0.3">
      <c r="A525" s="1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spans="1:20" ht="45.75" customHeight="1" x14ac:dyDescent="0.3">
      <c r="A526" s="1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spans="1:20" ht="45.75" customHeight="1" x14ac:dyDescent="0.3">
      <c r="A527" s="1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spans="1:20" ht="45.75" customHeight="1" x14ac:dyDescent="0.3">
      <c r="A528" s="1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spans="1:20" ht="45.75" customHeight="1" x14ac:dyDescent="0.3">
      <c r="A529" s="1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spans="1:20" ht="45.75" customHeight="1" x14ac:dyDescent="0.3">
      <c r="A530" s="1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spans="1:20" ht="45.75" customHeight="1" x14ac:dyDescent="0.3">
      <c r="A531" s="1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spans="1:20" ht="45.75" customHeight="1" x14ac:dyDescent="0.3">
      <c r="A532" s="1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spans="1:20" ht="45.75" customHeight="1" x14ac:dyDescent="0.3">
      <c r="A533" s="1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spans="1:20" ht="45.75" customHeight="1" x14ac:dyDescent="0.3">
      <c r="A534" s="1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spans="1:20" ht="45.75" customHeight="1" x14ac:dyDescent="0.3">
      <c r="A535" s="1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spans="1:20" ht="45.75" customHeight="1" x14ac:dyDescent="0.3">
      <c r="A536" s="1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spans="1:20" ht="45.75" customHeight="1" x14ac:dyDescent="0.3">
      <c r="A537" s="1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spans="1:20" ht="45.75" customHeight="1" x14ac:dyDescent="0.3">
      <c r="A538" s="1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spans="1:20" ht="45.75" customHeight="1" x14ac:dyDescent="0.3">
      <c r="A539" s="1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spans="1:20" ht="45.75" customHeight="1" x14ac:dyDescent="0.3">
      <c r="A540" s="1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spans="1:20" ht="45.75" customHeight="1" x14ac:dyDescent="0.3">
      <c r="A541" s="1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spans="1:20" ht="45.75" customHeight="1" x14ac:dyDescent="0.3">
      <c r="A542" s="1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spans="1:20" ht="45.75" customHeight="1" x14ac:dyDescent="0.3">
      <c r="A543" s="1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spans="1:20" ht="45.75" customHeight="1" x14ac:dyDescent="0.3">
      <c r="A544" s="1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spans="1:20" ht="45.75" customHeight="1" x14ac:dyDescent="0.3">
      <c r="A545" s="1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spans="1:20" ht="45.75" customHeight="1" x14ac:dyDescent="0.3">
      <c r="A546" s="1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spans="1:20" ht="45.75" customHeight="1" x14ac:dyDescent="0.3">
      <c r="A547" s="1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spans="1:20" ht="45.75" customHeight="1" x14ac:dyDescent="0.3">
      <c r="A548" s="1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spans="1:20" ht="45.75" customHeight="1" x14ac:dyDescent="0.3">
      <c r="A549" s="1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spans="1:20" ht="45.75" customHeight="1" x14ac:dyDescent="0.3">
      <c r="A550" s="1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spans="1:20" ht="45.75" customHeight="1" x14ac:dyDescent="0.3">
      <c r="A551" s="1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spans="1:20" ht="45.75" customHeight="1" x14ac:dyDescent="0.3">
      <c r="A552" s="1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spans="1:20" ht="45.75" customHeight="1" x14ac:dyDescent="0.3">
      <c r="A553" s="1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spans="1:20" ht="45.75" customHeight="1" x14ac:dyDescent="0.3">
      <c r="A554" s="1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spans="1:20" ht="45.75" customHeight="1" x14ac:dyDescent="0.3">
      <c r="A555" s="1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spans="1:20" ht="45.75" customHeight="1" x14ac:dyDescent="0.3">
      <c r="A556" s="1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spans="1:20" ht="45.75" customHeight="1" x14ac:dyDescent="0.3">
      <c r="A557" s="1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spans="1:20" ht="45.75" customHeight="1" x14ac:dyDescent="0.3">
      <c r="A558" s="1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spans="1:20" ht="45.75" customHeight="1" x14ac:dyDescent="0.3">
      <c r="A559" s="1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spans="1:20" ht="45.75" customHeight="1" x14ac:dyDescent="0.3">
      <c r="A560" s="1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spans="1:20" ht="45.75" customHeight="1" x14ac:dyDescent="0.3">
      <c r="A561" s="1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spans="1:20" ht="45.75" customHeight="1" x14ac:dyDescent="0.3">
      <c r="A562" s="1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spans="1:20" ht="45.75" customHeight="1" x14ac:dyDescent="0.3">
      <c r="A563" s="1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spans="1:20" ht="45.75" customHeight="1" x14ac:dyDescent="0.3">
      <c r="A564" s="1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spans="1:20" ht="45.75" customHeight="1" x14ac:dyDescent="0.3">
      <c r="A565" s="1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spans="1:20" ht="45.75" customHeight="1" x14ac:dyDescent="0.3">
      <c r="A566" s="1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spans="1:20" ht="45.75" customHeight="1" x14ac:dyDescent="0.3">
      <c r="A567" s="1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spans="1:20" ht="45.75" customHeight="1" x14ac:dyDescent="0.3">
      <c r="A568" s="1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spans="1:20" ht="45.75" customHeight="1" x14ac:dyDescent="0.3">
      <c r="A569" s="1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spans="1:20" ht="45.75" customHeight="1" x14ac:dyDescent="0.3">
      <c r="A570" s="1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spans="1:20" ht="45.75" customHeight="1" x14ac:dyDescent="0.3">
      <c r="A571" s="1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spans="1:20" ht="45.75" customHeight="1" x14ac:dyDescent="0.3">
      <c r="A572" s="1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spans="1:20" ht="45.75" customHeight="1" x14ac:dyDescent="0.3">
      <c r="A573" s="1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spans="1:20" ht="45.75" customHeight="1" x14ac:dyDescent="0.3">
      <c r="A574" s="1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spans="1:20" ht="45.75" customHeight="1" x14ac:dyDescent="0.3">
      <c r="A575" s="1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spans="1:20" ht="45.75" customHeight="1" x14ac:dyDescent="0.3">
      <c r="A576" s="1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spans="1:20" ht="45.75" customHeight="1" x14ac:dyDescent="0.3">
      <c r="A577" s="1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spans="1:20" ht="45.75" customHeight="1" x14ac:dyDescent="0.3">
      <c r="A578" s="1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spans="1:20" ht="45.75" customHeight="1" x14ac:dyDescent="0.3">
      <c r="A579" s="1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spans="1:20" ht="45.75" customHeight="1" x14ac:dyDescent="0.3">
      <c r="A580" s="1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spans="1:20" ht="45.75" customHeight="1" x14ac:dyDescent="0.3">
      <c r="A581" s="1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spans="1:20" ht="45.75" customHeight="1" x14ac:dyDescent="0.3">
      <c r="A582" s="1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spans="1:20" ht="45.75" customHeight="1" x14ac:dyDescent="0.3">
      <c r="A583" s="1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spans="1:20" ht="45.75" customHeight="1" x14ac:dyDescent="0.3">
      <c r="A584" s="1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spans="1:20" ht="45.75" customHeight="1" x14ac:dyDescent="0.3">
      <c r="A585" s="1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spans="1:20" ht="45.75" customHeight="1" x14ac:dyDescent="0.3">
      <c r="A586" s="1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spans="1:20" ht="45.75" customHeight="1" x14ac:dyDescent="0.3">
      <c r="A587" s="1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spans="1:20" ht="45.75" customHeight="1" x14ac:dyDescent="0.3">
      <c r="A588" s="1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spans="1:20" ht="45.75" customHeight="1" x14ac:dyDescent="0.3">
      <c r="A589" s="1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spans="1:20" ht="45.75" customHeight="1" x14ac:dyDescent="0.3">
      <c r="A590" s="1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spans="1:20" ht="45.75" customHeight="1" x14ac:dyDescent="0.3">
      <c r="A591" s="1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spans="1:20" ht="45.75" customHeight="1" x14ac:dyDescent="0.3">
      <c r="A592" s="1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spans="1:20" ht="45.75" customHeight="1" x14ac:dyDescent="0.3">
      <c r="A593" s="1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spans="1:20" ht="45.75" customHeight="1" x14ac:dyDescent="0.3">
      <c r="A594" s="1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spans="1:20" ht="45.75" customHeight="1" x14ac:dyDescent="0.3">
      <c r="A595" s="1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spans="1:20" ht="45.75" customHeight="1" x14ac:dyDescent="0.3">
      <c r="A596" s="1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spans="1:20" ht="45.75" customHeight="1" x14ac:dyDescent="0.3">
      <c r="A597" s="1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spans="1:20" ht="45.75" customHeight="1" x14ac:dyDescent="0.3">
      <c r="A598" s="1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spans="1:20" ht="45.75" customHeight="1" x14ac:dyDescent="0.3">
      <c r="A599" s="1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spans="1:20" ht="45.75" customHeight="1" x14ac:dyDescent="0.3">
      <c r="A600" s="1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spans="1:20" ht="45.75" customHeight="1" x14ac:dyDescent="0.3">
      <c r="A601" s="1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spans="1:20" ht="45.75" customHeight="1" x14ac:dyDescent="0.3">
      <c r="A602" s="1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spans="1:20" ht="45.75" customHeight="1" x14ac:dyDescent="0.3">
      <c r="A603" s="1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spans="1:20" ht="45.75" customHeight="1" x14ac:dyDescent="0.3">
      <c r="A604" s="1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spans="1:20" ht="45.75" customHeight="1" x14ac:dyDescent="0.3">
      <c r="A605" s="1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spans="1:20" ht="45.75" customHeight="1" x14ac:dyDescent="0.3">
      <c r="A606" s="1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spans="1:20" ht="45.75" customHeight="1" x14ac:dyDescent="0.3">
      <c r="A607" s="1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spans="1:20" ht="45.75" customHeight="1" x14ac:dyDescent="0.3">
      <c r="A608" s="1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spans="1:20" ht="45.75" customHeight="1" x14ac:dyDescent="0.3">
      <c r="A609" s="1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spans="1:20" ht="45.75" customHeight="1" x14ac:dyDescent="0.3">
      <c r="A610" s="1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spans="1:20" ht="45.75" customHeight="1" x14ac:dyDescent="0.3">
      <c r="A611" s="1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spans="1:20" ht="45.75" customHeight="1" x14ac:dyDescent="0.3">
      <c r="A612" s="1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spans="1:20" ht="45.75" customHeight="1" x14ac:dyDescent="0.3">
      <c r="A613" s="1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spans="1:20" ht="45.75" customHeight="1" x14ac:dyDescent="0.3">
      <c r="A614" s="1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spans="1:20" ht="45.75" customHeight="1" x14ac:dyDescent="0.3">
      <c r="A615" s="1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spans="1:20" ht="45.75" customHeight="1" x14ac:dyDescent="0.3">
      <c r="A616" s="1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spans="1:20" ht="45.75" customHeight="1" x14ac:dyDescent="0.3">
      <c r="A617" s="1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spans="1:20" ht="45.75" customHeight="1" x14ac:dyDescent="0.3">
      <c r="A618" s="1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spans="1:20" ht="45.75" customHeight="1" x14ac:dyDescent="0.3">
      <c r="A619" s="1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spans="1:20" ht="45.75" customHeight="1" x14ac:dyDescent="0.3">
      <c r="A620" s="1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spans="1:20" ht="45.75" customHeight="1" x14ac:dyDescent="0.3">
      <c r="A621" s="1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spans="1:20" ht="45.75" customHeight="1" x14ac:dyDescent="0.3">
      <c r="A622" s="1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spans="1:20" ht="45.75" customHeight="1" x14ac:dyDescent="0.3">
      <c r="A623" s="1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spans="1:20" ht="45.75" customHeight="1" x14ac:dyDescent="0.3">
      <c r="A624" s="1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spans="1:20" ht="45.75" customHeight="1" x14ac:dyDescent="0.3">
      <c r="A625" s="1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spans="1:20" ht="45.75" customHeight="1" x14ac:dyDescent="0.3">
      <c r="A626" s="1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spans="1:20" ht="45.75" customHeight="1" x14ac:dyDescent="0.3">
      <c r="A627" s="1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spans="1:20" ht="45.75" customHeight="1" x14ac:dyDescent="0.3">
      <c r="A628" s="1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spans="1:20" ht="45.75" customHeight="1" x14ac:dyDescent="0.3">
      <c r="A629" s="1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spans="1:20" ht="45.75" customHeight="1" x14ac:dyDescent="0.3">
      <c r="A630" s="1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spans="1:20" ht="45.75" customHeight="1" x14ac:dyDescent="0.3">
      <c r="A631" s="1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spans="1:20" ht="45.75" customHeight="1" x14ac:dyDescent="0.3">
      <c r="A632" s="1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spans="1:20" ht="45.75" customHeight="1" x14ac:dyDescent="0.3">
      <c r="A633" s="1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spans="1:20" ht="45.75" customHeight="1" x14ac:dyDescent="0.3">
      <c r="A634" s="1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spans="1:20" ht="45.75" customHeight="1" x14ac:dyDescent="0.3">
      <c r="A635" s="1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spans="1:20" ht="45.75" customHeight="1" x14ac:dyDescent="0.3">
      <c r="A636" s="1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spans="1:20" ht="45.75" customHeight="1" x14ac:dyDescent="0.3">
      <c r="A637" s="1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spans="1:20" ht="45.75" customHeight="1" x14ac:dyDescent="0.3">
      <c r="A638" s="1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spans="1:20" ht="45.75" customHeight="1" x14ac:dyDescent="0.3">
      <c r="A639" s="1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spans="1:20" ht="45.75" customHeight="1" x14ac:dyDescent="0.3">
      <c r="A640" s="1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spans="1:20" ht="45.75" customHeight="1" x14ac:dyDescent="0.3">
      <c r="A641" s="1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spans="1:20" ht="45.75" customHeight="1" x14ac:dyDescent="0.3">
      <c r="A642" s="1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spans="1:20" ht="45.75" customHeight="1" x14ac:dyDescent="0.3">
      <c r="A643" s="1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spans="1:20" ht="45.75" customHeight="1" x14ac:dyDescent="0.3">
      <c r="A644" s="1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spans="1:20" ht="45.75" customHeight="1" x14ac:dyDescent="0.3">
      <c r="A645" s="1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spans="1:20" ht="45.75" customHeight="1" x14ac:dyDescent="0.3">
      <c r="A646" s="1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spans="1:20" ht="45.75" customHeight="1" x14ac:dyDescent="0.3">
      <c r="A647" s="1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spans="1:20" ht="45.75" customHeight="1" x14ac:dyDescent="0.3">
      <c r="A648" s="1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spans="1:20" ht="45.75" customHeight="1" x14ac:dyDescent="0.3">
      <c r="A649" s="1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spans="1:20" ht="45.75" customHeight="1" x14ac:dyDescent="0.3">
      <c r="A650" s="1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spans="1:20" ht="45.75" customHeight="1" x14ac:dyDescent="0.3">
      <c r="A651" s="1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spans="1:20" ht="45.75" customHeight="1" x14ac:dyDescent="0.3">
      <c r="A652" s="1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spans="1:20" ht="45.75" customHeight="1" x14ac:dyDescent="0.3">
      <c r="A653" s="1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spans="1:20" ht="45.75" customHeight="1" x14ac:dyDescent="0.3">
      <c r="A654" s="1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spans="1:20" ht="45.75" customHeight="1" x14ac:dyDescent="0.3">
      <c r="A655" s="1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spans="1:20" ht="45.75" customHeight="1" x14ac:dyDescent="0.3">
      <c r="A656" s="1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spans="1:20" ht="45.75" customHeight="1" x14ac:dyDescent="0.3">
      <c r="A657" s="1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spans="1:20" ht="45.75" customHeight="1" x14ac:dyDescent="0.3">
      <c r="A658" s="1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spans="1:20" ht="45.75" customHeight="1" x14ac:dyDescent="0.3">
      <c r="A659" s="1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spans="1:20" ht="45.75" customHeight="1" x14ac:dyDescent="0.3">
      <c r="A660" s="1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spans="1:20" ht="45.75" customHeight="1" x14ac:dyDescent="0.3">
      <c r="A661" s="1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spans="1:20" ht="45.75" customHeight="1" x14ac:dyDescent="0.3">
      <c r="A662" s="1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spans="1:20" ht="45.75" customHeight="1" x14ac:dyDescent="0.3">
      <c r="A663" s="1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spans="1:20" ht="45.75" customHeight="1" x14ac:dyDescent="0.3">
      <c r="A664" s="1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spans="1:20" ht="45.75" customHeight="1" x14ac:dyDescent="0.3">
      <c r="A665" s="1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spans="1:20" ht="45.75" customHeight="1" x14ac:dyDescent="0.3">
      <c r="A666" s="1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spans="1:20" ht="45.75" customHeight="1" x14ac:dyDescent="0.3">
      <c r="A667" s="1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spans="1:20" ht="45.75" customHeight="1" x14ac:dyDescent="0.3">
      <c r="A668" s="1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spans="1:20" ht="45.75" customHeight="1" x14ac:dyDescent="0.3">
      <c r="A669" s="1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spans="1:20" ht="45.75" customHeight="1" x14ac:dyDescent="0.3">
      <c r="A670" s="1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spans="1:20" ht="45.75" customHeight="1" x14ac:dyDescent="0.3">
      <c r="A671" s="1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spans="1:20" ht="45.75" customHeight="1" x14ac:dyDescent="0.3">
      <c r="A672" s="1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spans="1:20" ht="45.75" customHeight="1" x14ac:dyDescent="0.3">
      <c r="A673" s="1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spans="1:20" ht="45.75" customHeight="1" x14ac:dyDescent="0.3">
      <c r="A674" s="1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spans="1:20" ht="45.75" customHeight="1" x14ac:dyDescent="0.3">
      <c r="A675" s="1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spans="1:20" ht="45.75" customHeight="1" x14ac:dyDescent="0.3">
      <c r="A676" s="1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spans="1:20" ht="45.75" customHeight="1" x14ac:dyDescent="0.3">
      <c r="A677" s="1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spans="1:20" ht="45.75" customHeight="1" x14ac:dyDescent="0.3">
      <c r="A678" s="1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spans="1:20" ht="45.75" customHeight="1" x14ac:dyDescent="0.3">
      <c r="A679" s="1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spans="1:20" ht="45.75" customHeight="1" x14ac:dyDescent="0.3">
      <c r="A680" s="1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spans="1:20" ht="45.75" customHeight="1" x14ac:dyDescent="0.3">
      <c r="A681" s="1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spans="1:20" ht="45.75" customHeight="1" x14ac:dyDescent="0.3">
      <c r="A682" s="1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spans="1:20" ht="45.75" customHeight="1" x14ac:dyDescent="0.3">
      <c r="A683" s="1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spans="1:20" ht="45.75" customHeight="1" x14ac:dyDescent="0.3">
      <c r="A684" s="1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spans="1:20" ht="45.75" customHeight="1" x14ac:dyDescent="0.3">
      <c r="A685" s="1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spans="1:20" ht="45.75" customHeight="1" x14ac:dyDescent="0.3">
      <c r="A686" s="1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spans="1:20" ht="45.75" customHeight="1" x14ac:dyDescent="0.3">
      <c r="A687" s="1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spans="1:20" ht="45.75" customHeight="1" x14ac:dyDescent="0.3">
      <c r="A688" s="1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spans="1:20" ht="45.75" customHeight="1" x14ac:dyDescent="0.3">
      <c r="A689" s="1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spans="1:20" ht="45.75" customHeight="1" x14ac:dyDescent="0.3">
      <c r="A690" s="1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spans="1:20" ht="45.75" customHeight="1" x14ac:dyDescent="0.3">
      <c r="A691" s="1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spans="1:20" ht="45.75" customHeight="1" x14ac:dyDescent="0.3">
      <c r="A692" s="1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spans="1:20" ht="45.75" customHeight="1" x14ac:dyDescent="0.3">
      <c r="A693" s="1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spans="1:20" ht="45.75" customHeight="1" x14ac:dyDescent="0.3">
      <c r="A694" s="1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spans="1:20" ht="45.75" customHeight="1" x14ac:dyDescent="0.3">
      <c r="A695" s="1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spans="1:20" ht="45.75" customHeight="1" x14ac:dyDescent="0.3">
      <c r="A696" s="1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spans="1:20" ht="45.75" customHeight="1" x14ac:dyDescent="0.3">
      <c r="A697" s="1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spans="1:20" ht="45.75" customHeight="1" x14ac:dyDescent="0.3">
      <c r="A698" s="1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spans="1:20" ht="45.75" customHeight="1" x14ac:dyDescent="0.3">
      <c r="A699" s="1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spans="1:20" ht="45.75" customHeight="1" x14ac:dyDescent="0.3">
      <c r="A700" s="1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spans="1:20" ht="45.75" customHeight="1" x14ac:dyDescent="0.3">
      <c r="A701" s="1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spans="1:20" ht="45.75" customHeight="1" x14ac:dyDescent="0.3">
      <c r="A702" s="1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spans="1:20" ht="45.75" customHeight="1" x14ac:dyDescent="0.3">
      <c r="A703" s="1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spans="1:20" ht="45.75" customHeight="1" x14ac:dyDescent="0.3">
      <c r="A704" s="1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spans="1:20" ht="45.75" customHeight="1" x14ac:dyDescent="0.3">
      <c r="A705" s="1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spans="1:20" ht="45.75" customHeight="1" x14ac:dyDescent="0.3">
      <c r="A706" s="1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spans="1:20" ht="45.75" customHeight="1" x14ac:dyDescent="0.3">
      <c r="A707" s="1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spans="1:20" ht="45.75" customHeight="1" x14ac:dyDescent="0.3">
      <c r="A708" s="1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spans="1:20" ht="45.75" customHeight="1" x14ac:dyDescent="0.3">
      <c r="A709" s="1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spans="1:20" ht="45.75" customHeight="1" x14ac:dyDescent="0.3">
      <c r="A710" s="1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spans="1:20" ht="45.75" customHeight="1" x14ac:dyDescent="0.3">
      <c r="A711" s="1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spans="1:20" ht="45.75" customHeight="1" x14ac:dyDescent="0.3">
      <c r="A712" s="1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spans="1:20" ht="45.75" customHeight="1" x14ac:dyDescent="0.3">
      <c r="A713" s="1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spans="1:20" ht="45.75" customHeight="1" x14ac:dyDescent="0.3">
      <c r="A714" s="1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spans="1:20" ht="45.75" customHeight="1" x14ac:dyDescent="0.3">
      <c r="A715" s="1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spans="1:20" ht="45.75" customHeight="1" x14ac:dyDescent="0.3">
      <c r="A716" s="1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 ht="45.75" customHeight="1" x14ac:dyDescent="0.3">
      <c r="A717" s="1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 ht="45.75" customHeight="1" x14ac:dyDescent="0.3">
      <c r="A718" s="1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 ht="45.75" customHeight="1" x14ac:dyDescent="0.3">
      <c r="A719" s="1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spans="1:20" ht="45.75" customHeight="1" x14ac:dyDescent="0.3">
      <c r="A720" s="1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spans="1:20" ht="45.75" customHeight="1" x14ac:dyDescent="0.3">
      <c r="A721" s="1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spans="1:20" ht="45.75" customHeight="1" x14ac:dyDescent="0.3">
      <c r="A722" s="1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spans="1:20" ht="45.75" customHeight="1" x14ac:dyDescent="0.3">
      <c r="A723" s="1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spans="1:20" ht="45.75" customHeight="1" x14ac:dyDescent="0.3">
      <c r="A724" s="1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spans="1:20" ht="45.75" customHeight="1" x14ac:dyDescent="0.3">
      <c r="A725" s="1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spans="1:20" ht="45.75" customHeight="1" x14ac:dyDescent="0.3">
      <c r="A726" s="1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spans="1:20" ht="45.75" customHeight="1" x14ac:dyDescent="0.3">
      <c r="A727" s="1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spans="1:20" ht="45.75" customHeight="1" x14ac:dyDescent="0.3">
      <c r="A728" s="1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spans="1:20" ht="45.75" customHeight="1" x14ac:dyDescent="0.3">
      <c r="A729" s="1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spans="1:20" ht="45.75" customHeight="1" x14ac:dyDescent="0.3">
      <c r="A730" s="1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spans="1:20" ht="45.75" customHeight="1" x14ac:dyDescent="0.3">
      <c r="A731" s="1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spans="1:20" ht="45.75" customHeight="1" x14ac:dyDescent="0.3">
      <c r="A732" s="1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spans="1:20" ht="45.75" customHeight="1" x14ac:dyDescent="0.3">
      <c r="A733" s="1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spans="1:20" ht="45.75" customHeight="1" x14ac:dyDescent="0.3">
      <c r="A734" s="1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spans="1:20" ht="45.75" customHeight="1" x14ac:dyDescent="0.3">
      <c r="A735" s="1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spans="1:20" ht="45.75" customHeight="1" x14ac:dyDescent="0.3">
      <c r="A736" s="1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spans="1:20" ht="45.75" customHeight="1" x14ac:dyDescent="0.3">
      <c r="A737" s="1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spans="1:20" ht="45.75" customHeight="1" x14ac:dyDescent="0.3">
      <c r="A738" s="1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spans="1:20" ht="45.75" customHeight="1" x14ac:dyDescent="0.3">
      <c r="A739" s="1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spans="1:20" ht="45.75" customHeight="1" x14ac:dyDescent="0.3">
      <c r="A740" s="1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spans="1:20" ht="45.75" customHeight="1" x14ac:dyDescent="0.3">
      <c r="A741" s="1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spans="1:20" ht="45.75" customHeight="1" x14ac:dyDescent="0.3">
      <c r="A742" s="1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spans="1:20" ht="45.75" customHeight="1" x14ac:dyDescent="0.3">
      <c r="A743" s="1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spans="1:20" ht="45.75" customHeight="1" x14ac:dyDescent="0.3">
      <c r="A744" s="1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spans="1:20" ht="45.75" customHeight="1" x14ac:dyDescent="0.3">
      <c r="A745" s="1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spans="1:20" ht="45.75" customHeight="1" x14ac:dyDescent="0.3">
      <c r="A746" s="1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spans="1:20" ht="45.75" customHeight="1" x14ac:dyDescent="0.3">
      <c r="A747" s="1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spans="1:20" ht="45.75" customHeight="1" x14ac:dyDescent="0.3">
      <c r="A748" s="1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spans="1:20" ht="45.75" customHeight="1" x14ac:dyDescent="0.3">
      <c r="A749" s="1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spans="1:20" ht="45.75" customHeight="1" x14ac:dyDescent="0.3">
      <c r="A750" s="1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spans="1:20" ht="45.75" customHeight="1" x14ac:dyDescent="0.3">
      <c r="A751" s="1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spans="1:20" ht="45.75" customHeight="1" x14ac:dyDescent="0.3">
      <c r="A752" s="1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spans="1:20" ht="45.75" customHeight="1" x14ac:dyDescent="0.3">
      <c r="A753" s="1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spans="1:20" ht="45.75" customHeight="1" x14ac:dyDescent="0.3">
      <c r="A754" s="1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spans="1:20" ht="45.75" customHeight="1" x14ac:dyDescent="0.3">
      <c r="A755" s="1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spans="1:20" ht="45.75" customHeight="1" x14ac:dyDescent="0.3">
      <c r="A756" s="1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spans="1:20" ht="45.75" customHeight="1" x14ac:dyDescent="0.3">
      <c r="A757" s="1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spans="1:20" ht="45.75" customHeight="1" x14ac:dyDescent="0.3">
      <c r="A758" s="1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spans="1:20" ht="45.75" customHeight="1" x14ac:dyDescent="0.3">
      <c r="A759" s="1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spans="1:20" ht="45.75" customHeight="1" x14ac:dyDescent="0.3">
      <c r="A760" s="1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spans="1:20" ht="45.75" customHeight="1" x14ac:dyDescent="0.3">
      <c r="A761" s="1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spans="1:20" ht="45.75" customHeight="1" x14ac:dyDescent="0.3">
      <c r="A762" s="1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spans="1:20" ht="45.75" customHeight="1" x14ac:dyDescent="0.3">
      <c r="A763" s="1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spans="1:20" ht="45.75" customHeight="1" x14ac:dyDescent="0.3">
      <c r="A764" s="1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spans="1:20" ht="45.75" customHeight="1" x14ac:dyDescent="0.3">
      <c r="A765" s="1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spans="1:20" ht="45.75" customHeight="1" x14ac:dyDescent="0.3">
      <c r="A766" s="1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spans="1:20" ht="45.75" customHeight="1" x14ac:dyDescent="0.3">
      <c r="A767" s="1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spans="1:20" ht="45.75" customHeight="1" x14ac:dyDescent="0.3">
      <c r="A768" s="1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spans="1:20" ht="45.75" customHeight="1" x14ac:dyDescent="0.3">
      <c r="A769" s="1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spans="1:20" ht="45.75" customHeight="1" x14ac:dyDescent="0.3">
      <c r="A770" s="1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spans="1:20" ht="45.75" customHeight="1" x14ac:dyDescent="0.3">
      <c r="A771" s="1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spans="1:20" ht="45.75" customHeight="1" x14ac:dyDescent="0.3">
      <c r="A772" s="1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spans="1:20" ht="45.75" customHeight="1" x14ac:dyDescent="0.3">
      <c r="A773" s="1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spans="1:20" ht="45.75" customHeight="1" x14ac:dyDescent="0.3">
      <c r="A774" s="1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spans="1:20" ht="45.75" customHeight="1" x14ac:dyDescent="0.3">
      <c r="A775" s="1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spans="1:20" ht="45.75" customHeight="1" x14ac:dyDescent="0.3">
      <c r="A776" s="1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spans="1:20" ht="45.75" customHeight="1" x14ac:dyDescent="0.3">
      <c r="A777" s="1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spans="1:20" ht="45.75" customHeight="1" x14ac:dyDescent="0.3">
      <c r="A778" s="1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spans="1:20" ht="45.75" customHeight="1" x14ac:dyDescent="0.3">
      <c r="A779" s="1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spans="1:20" ht="45.75" customHeight="1" x14ac:dyDescent="0.3">
      <c r="A780" s="1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spans="1:20" ht="45.75" customHeight="1" x14ac:dyDescent="0.3">
      <c r="A781" s="1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spans="1:20" ht="45.75" customHeight="1" x14ac:dyDescent="0.3">
      <c r="A782" s="1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spans="1:20" ht="45.75" customHeight="1" x14ac:dyDescent="0.3">
      <c r="A783" s="1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spans="1:20" ht="45.75" customHeight="1" x14ac:dyDescent="0.3">
      <c r="A784" s="1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spans="1:20" ht="45.75" customHeight="1" x14ac:dyDescent="0.3">
      <c r="A785" s="1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spans="1:20" ht="45.75" customHeight="1" x14ac:dyDescent="0.3">
      <c r="A786" s="1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spans="1:20" ht="45.75" customHeight="1" x14ac:dyDescent="0.3">
      <c r="A787" s="1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spans="1:20" ht="45.75" customHeight="1" x14ac:dyDescent="0.3">
      <c r="A788" s="1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spans="1:20" ht="45.75" customHeight="1" x14ac:dyDescent="0.3">
      <c r="A789" s="1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spans="1:20" ht="45.75" customHeight="1" x14ac:dyDescent="0.3">
      <c r="A790" s="1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spans="1:20" ht="45.75" customHeight="1" x14ac:dyDescent="0.3">
      <c r="A791" s="1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spans="1:20" ht="45.75" customHeight="1" x14ac:dyDescent="0.3">
      <c r="A792" s="1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spans="1:20" ht="45.75" customHeight="1" x14ac:dyDescent="0.3">
      <c r="A793" s="1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spans="1:20" ht="45.75" customHeight="1" x14ac:dyDescent="0.3">
      <c r="A794" s="1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spans="1:20" ht="45.75" customHeight="1" x14ac:dyDescent="0.3">
      <c r="A795" s="1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spans="1:20" ht="45.75" customHeight="1" x14ac:dyDescent="0.3">
      <c r="A796" s="1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spans="1:20" ht="45.75" customHeight="1" x14ac:dyDescent="0.3">
      <c r="A797" s="1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spans="1:20" ht="45.75" customHeight="1" x14ac:dyDescent="0.3">
      <c r="A798" s="1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spans="1:20" ht="45.75" customHeight="1" x14ac:dyDescent="0.3">
      <c r="A799" s="1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spans="1:20" ht="45.75" customHeight="1" x14ac:dyDescent="0.3">
      <c r="A800" s="1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spans="1:20" ht="45.75" customHeight="1" x14ac:dyDescent="0.3">
      <c r="A801" s="1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spans="1:20" ht="45.75" customHeight="1" x14ac:dyDescent="0.3">
      <c r="A802" s="1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spans="1:20" ht="45.75" customHeight="1" x14ac:dyDescent="0.3">
      <c r="A803" s="1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spans="1:20" ht="45.75" customHeight="1" x14ac:dyDescent="0.3">
      <c r="A804" s="1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spans="1:20" ht="45.75" customHeight="1" x14ac:dyDescent="0.3">
      <c r="A805" s="1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spans="1:20" ht="45.75" customHeight="1" x14ac:dyDescent="0.3">
      <c r="A806" s="1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spans="1:20" ht="45.75" customHeight="1" x14ac:dyDescent="0.3">
      <c r="A807" s="1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spans="1:20" ht="45.75" customHeight="1" x14ac:dyDescent="0.3">
      <c r="A808" s="1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spans="1:20" ht="45.75" customHeight="1" x14ac:dyDescent="0.3">
      <c r="A809" s="1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spans="1:20" ht="45.75" customHeight="1" x14ac:dyDescent="0.3">
      <c r="A810" s="1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spans="1:20" ht="45.75" customHeight="1" x14ac:dyDescent="0.3">
      <c r="A811" s="1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spans="1:20" ht="45.75" customHeight="1" x14ac:dyDescent="0.3">
      <c r="A812" s="1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spans="1:20" ht="45.75" customHeight="1" x14ac:dyDescent="0.3">
      <c r="A813" s="1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spans="1:20" ht="45.75" customHeight="1" x14ac:dyDescent="0.3">
      <c r="A814" s="1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spans="1:20" ht="45.75" customHeight="1" x14ac:dyDescent="0.3">
      <c r="A815" s="1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spans="1:20" ht="45.75" customHeight="1" x14ac:dyDescent="0.3">
      <c r="A816" s="1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spans="1:20" ht="45.75" customHeight="1" x14ac:dyDescent="0.3">
      <c r="A817" s="1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spans="1:20" ht="45.75" customHeight="1" x14ac:dyDescent="0.3">
      <c r="A818" s="1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spans="1:20" ht="45.75" customHeight="1" x14ac:dyDescent="0.3">
      <c r="A819" s="1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spans="1:20" ht="45.75" customHeight="1" x14ac:dyDescent="0.3">
      <c r="A820" s="1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spans="1:20" ht="45.75" customHeight="1" x14ac:dyDescent="0.3">
      <c r="A821" s="1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spans="1:20" ht="45.75" customHeight="1" x14ac:dyDescent="0.3">
      <c r="A822" s="1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spans="1:20" ht="45.75" customHeight="1" x14ac:dyDescent="0.3">
      <c r="A823" s="1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spans="1:20" ht="45.75" customHeight="1" x14ac:dyDescent="0.3">
      <c r="A824" s="1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spans="1:20" ht="45.75" customHeight="1" x14ac:dyDescent="0.3">
      <c r="A825" s="1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spans="1:20" ht="45.75" customHeight="1" x14ac:dyDescent="0.3">
      <c r="A826" s="1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spans="1:20" ht="45.75" customHeight="1" x14ac:dyDescent="0.3">
      <c r="A827" s="1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spans="1:20" ht="45.75" customHeight="1" x14ac:dyDescent="0.3">
      <c r="A828" s="1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spans="1:20" ht="45.75" customHeight="1" x14ac:dyDescent="0.3">
      <c r="A829" s="1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spans="1:20" ht="45.75" customHeight="1" x14ac:dyDescent="0.3">
      <c r="A830" s="1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spans="1:20" ht="45.75" customHeight="1" x14ac:dyDescent="0.3">
      <c r="A831" s="1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spans="1:20" ht="45.75" customHeight="1" x14ac:dyDescent="0.3">
      <c r="A832" s="1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spans="1:20" ht="45.75" customHeight="1" x14ac:dyDescent="0.3">
      <c r="A833" s="1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spans="1:20" ht="45.75" customHeight="1" x14ac:dyDescent="0.3">
      <c r="A834" s="1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spans="1:20" ht="45.75" customHeight="1" x14ac:dyDescent="0.3">
      <c r="A835" s="1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spans="1:20" ht="45.75" customHeight="1" x14ac:dyDescent="0.3">
      <c r="A836" s="1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spans="1:20" ht="45.75" customHeight="1" x14ac:dyDescent="0.3">
      <c r="A837" s="1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spans="1:20" ht="45.75" customHeight="1" x14ac:dyDescent="0.3">
      <c r="A838" s="1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spans="1:20" ht="45.75" customHeight="1" x14ac:dyDescent="0.3">
      <c r="A839" s="1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spans="1:20" ht="45.75" customHeight="1" x14ac:dyDescent="0.3">
      <c r="A840" s="1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spans="1:20" ht="45.75" customHeight="1" x14ac:dyDescent="0.3">
      <c r="A841" s="1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spans="1:20" ht="45.75" customHeight="1" x14ac:dyDescent="0.3">
      <c r="A842" s="1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spans="1:20" ht="45.75" customHeight="1" x14ac:dyDescent="0.3">
      <c r="A843" s="1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spans="1:20" ht="45.75" customHeight="1" x14ac:dyDescent="0.3">
      <c r="A844" s="1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spans="1:20" ht="45.75" customHeight="1" x14ac:dyDescent="0.3">
      <c r="A845" s="1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spans="1:20" ht="45.75" customHeight="1" x14ac:dyDescent="0.3">
      <c r="A846" s="1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spans="1:20" ht="45.75" customHeight="1" x14ac:dyDescent="0.3">
      <c r="A847" s="1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spans="1:20" ht="45.75" customHeight="1" x14ac:dyDescent="0.3">
      <c r="A848" s="1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spans="1:20" ht="45.75" customHeight="1" x14ac:dyDescent="0.3">
      <c r="A849" s="1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spans="1:20" ht="45.75" customHeight="1" x14ac:dyDescent="0.3">
      <c r="A850" s="1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spans="1:20" ht="45.75" customHeight="1" x14ac:dyDescent="0.3">
      <c r="A851" s="1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spans="1:20" ht="45.75" customHeight="1" x14ac:dyDescent="0.3">
      <c r="A852" s="1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spans="1:20" ht="45.75" customHeight="1" x14ac:dyDescent="0.3">
      <c r="A853" s="1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spans="1:20" ht="45.75" customHeight="1" x14ac:dyDescent="0.3">
      <c r="A854" s="1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spans="1:20" ht="45.75" customHeight="1" x14ac:dyDescent="0.3">
      <c r="A855" s="1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spans="1:20" ht="45.75" customHeight="1" x14ac:dyDescent="0.3">
      <c r="A856" s="1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spans="1:20" ht="45.75" customHeight="1" x14ac:dyDescent="0.3">
      <c r="A857" s="1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spans="1:20" ht="45.75" customHeight="1" x14ac:dyDescent="0.3">
      <c r="A858" s="1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spans="1:20" ht="45.75" customHeight="1" x14ac:dyDescent="0.3">
      <c r="A859" s="1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spans="1:20" ht="45.75" customHeight="1" x14ac:dyDescent="0.3">
      <c r="A860" s="1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spans="1:20" ht="45.75" customHeight="1" x14ac:dyDescent="0.3">
      <c r="A861" s="1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spans="1:20" ht="45.75" customHeight="1" x14ac:dyDescent="0.3">
      <c r="A862" s="1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spans="1:20" ht="45.75" customHeight="1" x14ac:dyDescent="0.3">
      <c r="A863" s="1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spans="1:20" ht="45.75" customHeight="1" x14ac:dyDescent="0.3">
      <c r="A864" s="1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spans="1:20" ht="45.75" customHeight="1" x14ac:dyDescent="0.3">
      <c r="A865" s="1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spans="1:20" ht="45.75" customHeight="1" x14ac:dyDescent="0.3">
      <c r="A866" s="1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spans="1:20" ht="45.75" customHeight="1" x14ac:dyDescent="0.3">
      <c r="A867" s="1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spans="1:20" ht="45.75" customHeight="1" x14ac:dyDescent="0.3">
      <c r="A868" s="1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spans="1:20" ht="45.75" customHeight="1" x14ac:dyDescent="0.3">
      <c r="A869" s="1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spans="1:20" ht="45.75" customHeight="1" x14ac:dyDescent="0.3">
      <c r="A870" s="1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spans="1:20" ht="45.75" customHeight="1" x14ac:dyDescent="0.3">
      <c r="A871" s="1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spans="1:20" ht="45.75" customHeight="1" x14ac:dyDescent="0.3">
      <c r="A872" s="1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spans="1:20" ht="45.75" customHeight="1" x14ac:dyDescent="0.3">
      <c r="A873" s="1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spans="1:20" ht="45.75" customHeight="1" x14ac:dyDescent="0.3">
      <c r="A874" s="1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spans="1:20" ht="45.75" customHeight="1" x14ac:dyDescent="0.3">
      <c r="A875" s="1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spans="1:20" ht="45.75" customHeight="1" x14ac:dyDescent="0.3">
      <c r="A876" s="1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spans="1:20" ht="45.75" customHeight="1" x14ac:dyDescent="0.3">
      <c r="A877" s="1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spans="1:20" ht="45.75" customHeight="1" x14ac:dyDescent="0.3">
      <c r="A878" s="1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spans="1:20" ht="45.75" customHeight="1" x14ac:dyDescent="0.3">
      <c r="A879" s="1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spans="1:20" ht="45.75" customHeight="1" x14ac:dyDescent="0.3">
      <c r="A880" s="1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spans="1:20" ht="45.75" customHeight="1" x14ac:dyDescent="0.3">
      <c r="A881" s="1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spans="1:20" ht="45.75" customHeight="1" x14ac:dyDescent="0.3">
      <c r="A882" s="1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spans="1:20" ht="45.75" customHeight="1" x14ac:dyDescent="0.3">
      <c r="A883" s="1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spans="1:20" ht="45.75" customHeight="1" x14ac:dyDescent="0.3">
      <c r="A884" s="1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spans="1:20" ht="45.75" customHeight="1" x14ac:dyDescent="0.3">
      <c r="A885" s="1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spans="1:20" ht="45.75" customHeight="1" x14ac:dyDescent="0.3">
      <c r="A886" s="1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spans="1:20" ht="45.75" customHeight="1" x14ac:dyDescent="0.3">
      <c r="A887" s="1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spans="1:20" ht="45.75" customHeight="1" x14ac:dyDescent="0.3">
      <c r="A888" s="1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spans="1:20" ht="45.75" customHeight="1" x14ac:dyDescent="0.3">
      <c r="A889" s="1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spans="1:20" ht="45.75" customHeight="1" x14ac:dyDescent="0.3">
      <c r="A890" s="1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spans="1:20" ht="45.75" customHeight="1" x14ac:dyDescent="0.3">
      <c r="A891" s="1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spans="1:20" ht="45.75" customHeight="1" x14ac:dyDescent="0.3">
      <c r="A892" s="1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spans="1:20" ht="45.75" customHeight="1" x14ac:dyDescent="0.3">
      <c r="A893" s="1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spans="1:20" ht="45.75" customHeight="1" x14ac:dyDescent="0.3">
      <c r="A894" s="1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spans="1:20" ht="45.75" customHeight="1" x14ac:dyDescent="0.3">
      <c r="A895" s="1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spans="1:20" ht="45.75" customHeight="1" x14ac:dyDescent="0.3">
      <c r="A896" s="1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spans="1:20" ht="45.75" customHeight="1" x14ac:dyDescent="0.3">
      <c r="A897" s="1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spans="1:20" ht="45.75" customHeight="1" x14ac:dyDescent="0.3">
      <c r="A898" s="1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spans="1:20" ht="45.75" customHeight="1" x14ac:dyDescent="0.3">
      <c r="A899" s="1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spans="1:20" ht="45.75" customHeight="1" x14ac:dyDescent="0.3">
      <c r="A900" s="1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spans="1:20" ht="45.75" customHeight="1" x14ac:dyDescent="0.3">
      <c r="A901" s="1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spans="1:20" ht="45.75" customHeight="1" x14ac:dyDescent="0.3">
      <c r="A902" s="1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spans="1:20" ht="45.75" customHeight="1" x14ac:dyDescent="0.3">
      <c r="A903" s="1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spans="1:20" ht="45.75" customHeight="1" x14ac:dyDescent="0.3">
      <c r="A904" s="1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spans="1:20" ht="45.75" customHeight="1" x14ac:dyDescent="0.3">
      <c r="A905" s="1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spans="1:20" ht="45.75" customHeight="1" x14ac:dyDescent="0.3">
      <c r="A906" s="1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spans="1:20" ht="45.75" customHeight="1" x14ac:dyDescent="0.3">
      <c r="A907" s="1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spans="1:20" ht="45.75" customHeight="1" x14ac:dyDescent="0.3">
      <c r="A908" s="1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spans="1:20" ht="45.75" customHeight="1" x14ac:dyDescent="0.3">
      <c r="A909" s="1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spans="1:20" ht="45.75" customHeight="1" x14ac:dyDescent="0.3">
      <c r="A910" s="1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spans="1:20" ht="45.75" customHeight="1" x14ac:dyDescent="0.3">
      <c r="A911" s="1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spans="1:20" ht="45.75" customHeight="1" x14ac:dyDescent="0.3">
      <c r="A912" s="1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spans="1:20" ht="45.75" customHeight="1" x14ac:dyDescent="0.3">
      <c r="A913" s="1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spans="1:20" ht="45.75" customHeight="1" x14ac:dyDescent="0.3">
      <c r="A914" s="1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spans="1:20" ht="45.75" customHeight="1" x14ac:dyDescent="0.3">
      <c r="A915" s="1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spans="1:20" ht="45.75" customHeight="1" x14ac:dyDescent="0.3">
      <c r="A916" s="1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spans="1:20" ht="45.75" customHeight="1" x14ac:dyDescent="0.3">
      <c r="A917" s="1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spans="1:20" ht="45.75" customHeight="1" x14ac:dyDescent="0.3">
      <c r="A918" s="1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spans="1:20" ht="45.75" customHeight="1" x14ac:dyDescent="0.3">
      <c r="A919" s="1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spans="1:20" ht="45.75" customHeight="1" x14ac:dyDescent="0.3">
      <c r="A920" s="1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spans="1:20" ht="45.75" customHeight="1" x14ac:dyDescent="0.3">
      <c r="A921" s="1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spans="1:20" ht="45.75" customHeight="1" x14ac:dyDescent="0.3">
      <c r="A922" s="1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spans="1:20" ht="45.75" customHeight="1" x14ac:dyDescent="0.3">
      <c r="A923" s="1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spans="1:20" ht="45.75" customHeight="1" x14ac:dyDescent="0.3">
      <c r="A924" s="1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spans="1:20" ht="45.75" customHeight="1" x14ac:dyDescent="0.3">
      <c r="A925" s="1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spans="1:20" ht="45.75" customHeight="1" x14ac:dyDescent="0.3">
      <c r="A926" s="1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spans="1:20" ht="45.75" customHeight="1" x14ac:dyDescent="0.3">
      <c r="A927" s="1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spans="1:20" ht="45.75" customHeight="1" x14ac:dyDescent="0.3">
      <c r="A928" s="1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spans="1:20" ht="45.75" customHeight="1" x14ac:dyDescent="0.3">
      <c r="A929" s="1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spans="1:20" ht="45.75" customHeight="1" x14ac:dyDescent="0.3">
      <c r="A930" s="1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spans="1:20" ht="45.75" customHeight="1" x14ac:dyDescent="0.3">
      <c r="A931" s="1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spans="1:20" ht="45.75" customHeight="1" x14ac:dyDescent="0.3">
      <c r="A932" s="1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spans="1:20" ht="45.75" customHeight="1" x14ac:dyDescent="0.3">
      <c r="A933" s="1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spans="1:20" ht="45.75" customHeight="1" x14ac:dyDescent="0.3">
      <c r="A934" s="1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spans="1:20" ht="45.75" customHeight="1" x14ac:dyDescent="0.3">
      <c r="A935" s="1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spans="1:20" ht="45.75" customHeight="1" x14ac:dyDescent="0.3">
      <c r="A936" s="1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spans="1:20" ht="45.75" customHeight="1" x14ac:dyDescent="0.3">
      <c r="A937" s="1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spans="1:20" ht="45.75" customHeight="1" x14ac:dyDescent="0.3">
      <c r="A938" s="1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spans="1:20" ht="45.75" customHeight="1" x14ac:dyDescent="0.3">
      <c r="A939" s="1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spans="1:20" ht="45.75" customHeight="1" x14ac:dyDescent="0.3">
      <c r="A940" s="1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spans="1:20" ht="45.75" customHeight="1" x14ac:dyDescent="0.3">
      <c r="A941" s="1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spans="1:20" ht="45.75" customHeight="1" x14ac:dyDescent="0.3">
      <c r="A942" s="1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spans="1:20" ht="45.75" customHeight="1" x14ac:dyDescent="0.3">
      <c r="A943" s="1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spans="1:20" ht="45.75" customHeight="1" x14ac:dyDescent="0.3">
      <c r="A944" s="1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spans="1:20" ht="45.75" customHeight="1" x14ac:dyDescent="0.3">
      <c r="A945" s="1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spans="1:20" ht="45.75" customHeight="1" x14ac:dyDescent="0.3">
      <c r="A946" s="1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spans="1:20" ht="45.75" customHeight="1" x14ac:dyDescent="0.3">
      <c r="A947" s="1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spans="1:20" ht="45.75" customHeight="1" x14ac:dyDescent="0.3">
      <c r="A948" s="1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spans="1:20" ht="45.75" customHeight="1" x14ac:dyDescent="0.3">
      <c r="A949" s="1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spans="1:20" ht="45.75" customHeight="1" x14ac:dyDescent="0.3">
      <c r="A950" s="1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spans="1:20" ht="45.75" customHeight="1" x14ac:dyDescent="0.3">
      <c r="A951" s="1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spans="1:20" ht="45.75" customHeight="1" x14ac:dyDescent="0.3">
      <c r="A952" s="1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spans="1:20" ht="45.75" customHeight="1" x14ac:dyDescent="0.3">
      <c r="A953" s="1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spans="1:20" ht="45.75" customHeight="1" x14ac:dyDescent="0.3">
      <c r="A954" s="1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spans="1:20" ht="45.75" customHeight="1" x14ac:dyDescent="0.3">
      <c r="A955" s="1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spans="1:20" ht="45.75" customHeight="1" x14ac:dyDescent="0.3">
      <c r="A956" s="1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spans="1:20" ht="45.75" customHeight="1" x14ac:dyDescent="0.3">
      <c r="A957" s="1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spans="1:20" ht="45.75" customHeight="1" x14ac:dyDescent="0.3">
      <c r="A958" s="1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spans="1:20" ht="45.75" customHeight="1" x14ac:dyDescent="0.3">
      <c r="A959" s="1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spans="1:20" ht="45.75" customHeight="1" x14ac:dyDescent="0.3">
      <c r="A960" s="1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spans="1:20" ht="45.75" customHeight="1" x14ac:dyDescent="0.3">
      <c r="A961" s="1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spans="1:20" ht="45.75" customHeight="1" x14ac:dyDescent="0.3">
      <c r="A962" s="1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spans="1:20" ht="45.75" customHeight="1" x14ac:dyDescent="0.3">
      <c r="A963" s="1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spans="1:20" ht="45.75" customHeight="1" x14ac:dyDescent="0.3">
      <c r="A964" s="1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spans="1:20" ht="45.75" customHeight="1" x14ac:dyDescent="0.3">
      <c r="A965" s="1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spans="1:20" ht="45.75" customHeight="1" x14ac:dyDescent="0.3">
      <c r="A966" s="1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spans="1:20" ht="45.75" customHeight="1" x14ac:dyDescent="0.3">
      <c r="A967" s="1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spans="1:20" ht="45.75" customHeight="1" x14ac:dyDescent="0.3">
      <c r="A968" s="1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spans="1:20" ht="45.75" customHeight="1" x14ac:dyDescent="0.3">
      <c r="A969" s="1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spans="1:20" ht="45.75" customHeight="1" x14ac:dyDescent="0.3">
      <c r="A970" s="1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spans="1:20" ht="45.75" customHeight="1" x14ac:dyDescent="0.3">
      <c r="A971" s="1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spans="1:20" ht="45.75" customHeight="1" x14ac:dyDescent="0.3">
      <c r="A972" s="1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spans="1:20" ht="45.75" customHeight="1" x14ac:dyDescent="0.3">
      <c r="A973" s="1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spans="1:20" ht="45.75" customHeight="1" x14ac:dyDescent="0.3">
      <c r="A974" s="1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spans="1:20" ht="45.75" customHeight="1" x14ac:dyDescent="0.3">
      <c r="A975" s="1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spans="1:20" ht="45.75" customHeight="1" x14ac:dyDescent="0.3">
      <c r="A976" s="1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spans="1:20" ht="45.75" customHeight="1" x14ac:dyDescent="0.3">
      <c r="A977" s="1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spans="1:20" ht="45.75" customHeight="1" x14ac:dyDescent="0.3">
      <c r="A978" s="1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spans="1:20" ht="45.75" customHeight="1" x14ac:dyDescent="0.3">
      <c r="A979" s="1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spans="1:20" ht="45.75" customHeight="1" x14ac:dyDescent="0.3">
      <c r="A980" s="1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spans="1:20" ht="45.75" customHeight="1" x14ac:dyDescent="0.3">
      <c r="A981" s="1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spans="1:20" ht="45.75" customHeight="1" x14ac:dyDescent="0.3">
      <c r="A982" s="1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spans="1:20" ht="45.75" customHeight="1" x14ac:dyDescent="0.3">
      <c r="A983" s="1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spans="1:20" ht="45.75" customHeight="1" x14ac:dyDescent="0.3">
      <c r="A984" s="1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spans="1:20" ht="45.75" customHeight="1" x14ac:dyDescent="0.3">
      <c r="A985" s="1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spans="1:20" ht="45.75" customHeight="1" x14ac:dyDescent="0.3">
      <c r="A986" s="1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spans="1:20" ht="45.75" customHeight="1" x14ac:dyDescent="0.3">
      <c r="A987" s="1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spans="1:20" ht="45.75" customHeight="1" x14ac:dyDescent="0.3">
      <c r="A988" s="1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spans="1:20" ht="45.75" customHeight="1" x14ac:dyDescent="0.3">
      <c r="A989" s="1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spans="1:20" ht="45.75" customHeight="1" x14ac:dyDescent="0.3">
      <c r="A990" s="1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spans="1:20" ht="45.75" customHeight="1" x14ac:dyDescent="0.3">
      <c r="A991" s="1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spans="1:20" ht="45.75" customHeight="1" x14ac:dyDescent="0.3">
      <c r="A992" s="1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spans="1:20" ht="45.75" customHeight="1" x14ac:dyDescent="0.3">
      <c r="A993" s="1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spans="1:20" ht="45.75" customHeight="1" x14ac:dyDescent="0.3">
      <c r="A994" s="1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spans="1:20" ht="45.75" customHeight="1" x14ac:dyDescent="0.3">
      <c r="A995" s="1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spans="1:20" ht="45.75" customHeight="1" x14ac:dyDescent="0.3">
      <c r="A996" s="1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spans="1:20" ht="45.75" customHeight="1" x14ac:dyDescent="0.3">
      <c r="A997" s="1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spans="1:20" ht="45.75" customHeight="1" x14ac:dyDescent="0.3">
      <c r="A998" s="1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spans="1:20" ht="45.75" customHeight="1" x14ac:dyDescent="0.3">
      <c r="A999" s="1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spans="1:20" ht="45.75" customHeight="1" x14ac:dyDescent="0.3">
      <c r="A1000" s="1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  <row r="1001" spans="1:20" ht="45.75" customHeight="1" x14ac:dyDescent="0.3">
      <c r="A1001" s="1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</row>
    <row r="1002" spans="1:20" ht="45.75" customHeight="1" x14ac:dyDescent="0.3">
      <c r="A1002" s="1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</row>
    <row r="1003" spans="1:20" ht="45.75" customHeight="1" x14ac:dyDescent="0.3">
      <c r="A1003" s="1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</row>
    <row r="1004" spans="1:20" ht="45.75" customHeight="1" x14ac:dyDescent="0.3">
      <c r="A1004" s="1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</row>
    <row r="1005" spans="1:20" ht="45.75" customHeight="1" x14ac:dyDescent="0.3">
      <c r="A1005" s="1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</row>
    <row r="1006" spans="1:20" ht="45.75" customHeight="1" x14ac:dyDescent="0.3">
      <c r="A1006" s="1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</row>
    <row r="1007" spans="1:20" ht="45.75" customHeight="1" x14ac:dyDescent="0.3">
      <c r="A1007" s="1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</row>
    <row r="1008" spans="1:20" ht="45.75" customHeight="1" x14ac:dyDescent="0.3">
      <c r="A1008" s="1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</row>
    <row r="1009" spans="1:20" ht="45.75" customHeight="1" x14ac:dyDescent="0.3">
      <c r="A1009" s="1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</row>
    <row r="1010" spans="1:20" ht="45.75" customHeight="1" x14ac:dyDescent="0.3">
      <c r="A1010" s="1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</row>
    <row r="1011" spans="1:20" ht="45.75" customHeight="1" x14ac:dyDescent="0.3">
      <c r="A1011" s="1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</row>
    <row r="1012" spans="1:20" ht="45.75" customHeight="1" x14ac:dyDescent="0.3">
      <c r="A1012" s="1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</row>
    <row r="1013" spans="1:20" ht="45.75" customHeight="1" x14ac:dyDescent="0.3">
      <c r="A1013" s="1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</row>
    <row r="1014" spans="1:20" ht="45.75" customHeight="1" x14ac:dyDescent="0.3">
      <c r="A1014" s="1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</row>
    <row r="1015" spans="1:20" ht="45.75" customHeight="1" x14ac:dyDescent="0.3">
      <c r="A1015" s="1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</row>
    <row r="1016" spans="1:20" ht="45.75" customHeight="1" x14ac:dyDescent="0.3">
      <c r="A1016" s="1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</row>
    <row r="1017" spans="1:20" ht="45.75" customHeight="1" x14ac:dyDescent="0.3">
      <c r="A1017" s="1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</row>
    <row r="1018" spans="1:20" ht="45.75" customHeight="1" x14ac:dyDescent="0.3">
      <c r="A1018" s="1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</row>
    <row r="1019" spans="1:20" ht="45.75" customHeight="1" x14ac:dyDescent="0.3">
      <c r="A1019" s="1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</row>
    <row r="1020" spans="1:20" ht="45.75" customHeight="1" x14ac:dyDescent="0.3">
      <c r="A1020" s="1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</row>
    <row r="1021" spans="1:20" ht="45.75" customHeight="1" x14ac:dyDescent="0.3">
      <c r="A1021" s="1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</row>
    <row r="1022" spans="1:20" ht="45.75" customHeight="1" x14ac:dyDescent="0.3">
      <c r="A1022" s="1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</row>
    <row r="1023" spans="1:20" ht="45.75" customHeight="1" x14ac:dyDescent="0.3">
      <c r="A1023" s="1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</row>
    <row r="1024" spans="1:20" ht="45.75" customHeight="1" x14ac:dyDescent="0.3">
      <c r="A1024" s="1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</row>
    <row r="1025" spans="1:20" ht="45.75" customHeight="1" x14ac:dyDescent="0.3">
      <c r="A1025" s="1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</row>
    <row r="1026" spans="1:20" ht="45.75" customHeight="1" x14ac:dyDescent="0.3">
      <c r="A1026" s="1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</row>
    <row r="1027" spans="1:20" ht="45.75" customHeight="1" x14ac:dyDescent="0.3">
      <c r="A1027" s="1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</row>
    <row r="1028" spans="1:20" ht="45.75" customHeight="1" x14ac:dyDescent="0.3">
      <c r="A1028" s="1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</row>
    <row r="1029" spans="1:20" ht="45.75" customHeight="1" x14ac:dyDescent="0.3">
      <c r="A1029" s="1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</row>
    <row r="1030" spans="1:20" ht="45.75" customHeight="1" x14ac:dyDescent="0.3">
      <c r="A1030" s="1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</row>
    <row r="1031" spans="1:20" ht="45.75" customHeight="1" x14ac:dyDescent="0.3">
      <c r="A1031" s="1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</row>
    <row r="1032" spans="1:20" ht="45.75" customHeight="1" x14ac:dyDescent="0.3">
      <c r="A1032" s="1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</row>
    <row r="1033" spans="1:20" ht="45.75" customHeight="1" x14ac:dyDescent="0.3">
      <c r="A1033" s="1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</row>
    <row r="1034" spans="1:20" ht="45.75" customHeight="1" x14ac:dyDescent="0.3">
      <c r="A1034" s="1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</row>
    <row r="1035" spans="1:20" ht="45.75" customHeight="1" x14ac:dyDescent="0.3">
      <c r="A1035" s="1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</row>
    <row r="1036" spans="1:20" ht="45.75" customHeight="1" x14ac:dyDescent="0.3">
      <c r="A1036" s="1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</row>
    <row r="1037" spans="1:20" ht="45.75" customHeight="1" x14ac:dyDescent="0.3">
      <c r="A1037" s="1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</row>
    <row r="1038" spans="1:20" ht="45.75" customHeight="1" x14ac:dyDescent="0.3">
      <c r="A1038" s="1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</row>
    <row r="1039" spans="1:20" ht="45.75" customHeight="1" x14ac:dyDescent="0.3">
      <c r="A1039" s="1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</row>
    <row r="1040" spans="1:20" ht="45.75" customHeight="1" x14ac:dyDescent="0.3">
      <c r="A1040" s="1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</row>
    <row r="1041" spans="1:20" ht="45.75" customHeight="1" x14ac:dyDescent="0.3">
      <c r="A1041" s="1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</row>
    <row r="1042" spans="1:20" ht="45.75" customHeight="1" x14ac:dyDescent="0.3">
      <c r="A1042" s="1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</row>
    <row r="1043" spans="1:20" ht="45.75" customHeight="1" x14ac:dyDescent="0.3">
      <c r="A1043" s="1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</row>
    <row r="1044" spans="1:20" ht="45.75" customHeight="1" x14ac:dyDescent="0.3">
      <c r="A1044" s="1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</row>
    <row r="1045" spans="1:20" ht="45.75" customHeight="1" x14ac:dyDescent="0.3">
      <c r="A1045" s="1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</row>
    <row r="1046" spans="1:20" ht="45.75" customHeight="1" x14ac:dyDescent="0.3">
      <c r="A1046" s="1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</row>
    <row r="1047" spans="1:20" ht="45.75" customHeight="1" x14ac:dyDescent="0.3">
      <c r="A1047" s="1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</row>
    <row r="1048" spans="1:20" ht="45.75" customHeight="1" x14ac:dyDescent="0.3">
      <c r="A1048" s="1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</row>
    <row r="1049" spans="1:20" ht="45.75" customHeight="1" x14ac:dyDescent="0.3">
      <c r="A1049" s="1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</row>
    <row r="1050" spans="1:20" ht="45.75" customHeight="1" x14ac:dyDescent="0.3">
      <c r="A1050" s="1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</row>
    <row r="1051" spans="1:20" ht="45.75" customHeight="1" x14ac:dyDescent="0.3">
      <c r="A1051" s="1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</row>
    <row r="1052" spans="1:20" ht="45.75" customHeight="1" x14ac:dyDescent="0.3">
      <c r="A1052" s="1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</row>
    <row r="1053" spans="1:20" ht="45.75" customHeight="1" x14ac:dyDescent="0.3">
      <c r="A1053" s="1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</row>
    <row r="1054" spans="1:20" ht="45.75" customHeight="1" x14ac:dyDescent="0.3">
      <c r="A1054" s="1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</row>
    <row r="1055" spans="1:20" ht="45.75" customHeight="1" x14ac:dyDescent="0.3">
      <c r="A1055" s="1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</row>
    <row r="1056" spans="1:20" ht="45.75" customHeight="1" x14ac:dyDescent="0.3">
      <c r="A1056" s="1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</row>
    <row r="1057" spans="1:20" ht="45.75" customHeight="1" x14ac:dyDescent="0.3">
      <c r="A1057" s="1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</row>
    <row r="1058" spans="1:20" ht="45.75" customHeight="1" x14ac:dyDescent="0.3">
      <c r="A1058" s="1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</row>
    <row r="1059" spans="1:20" ht="45.75" customHeight="1" x14ac:dyDescent="0.3">
      <c r="A1059" s="1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</row>
    <row r="1060" spans="1:20" ht="45.75" customHeight="1" x14ac:dyDescent="0.3">
      <c r="A1060" s="1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</row>
    <row r="1061" spans="1:20" ht="45.75" customHeight="1" x14ac:dyDescent="0.3">
      <c r="A1061" s="1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</row>
    <row r="1062" spans="1:20" ht="45.75" customHeight="1" x14ac:dyDescent="0.3">
      <c r="A1062" s="1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</row>
    <row r="1063" spans="1:20" ht="45.75" customHeight="1" x14ac:dyDescent="0.3">
      <c r="A1063" s="1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</row>
    <row r="1064" spans="1:20" ht="45.75" customHeight="1" x14ac:dyDescent="0.3">
      <c r="A1064" s="1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</row>
    <row r="1065" spans="1:20" ht="45.75" customHeight="1" x14ac:dyDescent="0.3">
      <c r="A1065" s="1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</row>
    <row r="1066" spans="1:20" ht="45.75" customHeight="1" x14ac:dyDescent="0.3">
      <c r="A1066" s="1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</row>
    <row r="1067" spans="1:20" ht="45.75" customHeight="1" x14ac:dyDescent="0.3">
      <c r="A1067" s="1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</row>
    <row r="1068" spans="1:20" ht="45.75" customHeight="1" x14ac:dyDescent="0.3">
      <c r="A1068" s="1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</row>
    <row r="1069" spans="1:20" ht="45.75" customHeight="1" x14ac:dyDescent="0.3">
      <c r="A1069" s="1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</row>
    <row r="1070" spans="1:20" ht="45.75" customHeight="1" x14ac:dyDescent="0.3">
      <c r="A1070" s="1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</row>
    <row r="1071" spans="1:20" ht="45.75" customHeight="1" x14ac:dyDescent="0.3">
      <c r="A1071" s="1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</row>
    <row r="1072" spans="1:20" ht="45.75" customHeight="1" x14ac:dyDescent="0.3">
      <c r="A1072" s="1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</row>
    <row r="1073" spans="1:20" ht="45.75" customHeight="1" x14ac:dyDescent="0.3">
      <c r="A1073" s="1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</row>
    <row r="1074" spans="1:20" ht="45.75" customHeight="1" x14ac:dyDescent="0.3">
      <c r="A1074" s="1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</row>
    <row r="1075" spans="1:20" ht="45.75" customHeight="1" x14ac:dyDescent="0.3">
      <c r="A1075" s="1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</row>
    <row r="1076" spans="1:20" ht="45.75" customHeight="1" x14ac:dyDescent="0.3">
      <c r="A1076" s="1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</row>
    <row r="1077" spans="1:20" ht="45.75" customHeight="1" x14ac:dyDescent="0.3">
      <c r="A1077" s="1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</row>
    <row r="1078" spans="1:20" ht="45.75" customHeight="1" x14ac:dyDescent="0.3">
      <c r="A1078" s="1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</row>
    <row r="1079" spans="1:20" ht="45.75" customHeight="1" x14ac:dyDescent="0.3">
      <c r="A1079" s="1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</row>
    <row r="1080" spans="1:20" ht="45.75" customHeight="1" x14ac:dyDescent="0.3">
      <c r="A1080" s="1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</row>
    <row r="1081" spans="1:20" ht="45.75" customHeight="1" x14ac:dyDescent="0.3">
      <c r="A1081" s="1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</row>
    <row r="1082" spans="1:20" ht="45.75" customHeight="1" x14ac:dyDescent="0.3">
      <c r="A1082" s="1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</row>
    <row r="1083" spans="1:20" ht="45.75" customHeight="1" x14ac:dyDescent="0.3">
      <c r="A1083" s="1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</row>
    <row r="1084" spans="1:20" ht="45.75" customHeight="1" x14ac:dyDescent="0.3">
      <c r="A1084" s="1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</row>
    <row r="1085" spans="1:20" ht="45.75" customHeight="1" x14ac:dyDescent="0.3">
      <c r="A1085" s="1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</row>
    <row r="1086" spans="1:20" ht="45.75" customHeight="1" x14ac:dyDescent="0.3">
      <c r="A1086" s="1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</row>
    <row r="1087" spans="1:20" ht="45.75" customHeight="1" x14ac:dyDescent="0.3">
      <c r="A1087" s="1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</row>
    <row r="1088" spans="1:20" ht="45.75" customHeight="1" x14ac:dyDescent="0.3">
      <c r="A1088" s="1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</row>
    <row r="1089" spans="1:20" ht="45.75" customHeight="1" x14ac:dyDescent="0.3">
      <c r="A1089" s="1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</row>
    <row r="1090" spans="1:20" ht="45.75" customHeight="1" x14ac:dyDescent="0.3">
      <c r="A1090" s="1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</row>
    <row r="1091" spans="1:20" ht="45.75" customHeight="1" x14ac:dyDescent="0.3">
      <c r="A1091" s="1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</row>
    <row r="1092" spans="1:20" ht="45.75" customHeight="1" x14ac:dyDescent="0.3">
      <c r="A1092" s="1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</row>
    <row r="1093" spans="1:20" ht="45.75" customHeight="1" x14ac:dyDescent="0.3">
      <c r="A1093" s="1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</row>
    <row r="1094" spans="1:20" ht="45.75" customHeight="1" x14ac:dyDescent="0.3">
      <c r="A1094" s="1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</row>
    <row r="1095" spans="1:20" ht="45.75" customHeight="1" x14ac:dyDescent="0.3">
      <c r="A1095" s="1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</row>
    <row r="1096" spans="1:20" ht="45.75" customHeight="1" x14ac:dyDescent="0.3">
      <c r="A1096" s="1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</row>
    <row r="1097" spans="1:20" ht="45.75" customHeight="1" x14ac:dyDescent="0.3">
      <c r="A1097" s="1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</row>
    <row r="1098" spans="1:20" ht="45.75" customHeight="1" x14ac:dyDescent="0.3">
      <c r="A1098" s="1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</row>
    <row r="1099" spans="1:20" ht="45.75" customHeight="1" x14ac:dyDescent="0.3">
      <c r="A1099" s="1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</row>
    <row r="1100" spans="1:20" ht="45.75" customHeight="1" x14ac:dyDescent="0.3">
      <c r="A1100" s="1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</row>
    <row r="1101" spans="1:20" ht="45.75" customHeight="1" x14ac:dyDescent="0.3">
      <c r="A1101" s="1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</row>
    <row r="1102" spans="1:20" ht="45.75" customHeight="1" x14ac:dyDescent="0.3">
      <c r="A1102" s="1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</row>
    <row r="1103" spans="1:20" ht="45.75" customHeight="1" x14ac:dyDescent="0.3">
      <c r="A1103" s="1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</row>
    <row r="1104" spans="1:20" ht="45.75" customHeight="1" x14ac:dyDescent="0.3">
      <c r="A1104" s="1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</row>
    <row r="1105" spans="1:20" ht="45.75" customHeight="1" x14ac:dyDescent="0.3">
      <c r="A1105" s="1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</row>
    <row r="1106" spans="1:20" ht="45.75" customHeight="1" x14ac:dyDescent="0.3">
      <c r="A1106" s="1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</row>
    <row r="1107" spans="1:20" ht="45.75" customHeight="1" x14ac:dyDescent="0.3">
      <c r="A1107" s="1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</row>
    <row r="1108" spans="1:20" ht="45.75" customHeight="1" x14ac:dyDescent="0.3">
      <c r="A1108" s="1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</row>
    <row r="1109" spans="1:20" ht="45.75" customHeight="1" x14ac:dyDescent="0.3">
      <c r="A1109" s="1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</row>
    <row r="1110" spans="1:20" ht="45.75" customHeight="1" x14ac:dyDescent="0.3">
      <c r="A1110" s="1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</row>
    <row r="1111" spans="1:20" ht="45.75" customHeight="1" x14ac:dyDescent="0.3">
      <c r="A1111" s="1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</row>
    <row r="1112" spans="1:20" ht="45.75" customHeight="1" x14ac:dyDescent="0.3">
      <c r="A1112" s="1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</row>
    <row r="1113" spans="1:20" ht="45.75" customHeight="1" x14ac:dyDescent="0.3">
      <c r="A1113" s="1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</row>
    <row r="1114" spans="1:20" ht="45.75" customHeight="1" x14ac:dyDescent="0.3">
      <c r="A1114" s="1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</row>
    <row r="1115" spans="1:20" ht="45.75" customHeight="1" x14ac:dyDescent="0.3">
      <c r="A1115" s="1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</row>
    <row r="1116" spans="1:20" ht="45.75" customHeight="1" x14ac:dyDescent="0.3">
      <c r="A1116" s="1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</row>
    <row r="1117" spans="1:20" ht="45.75" customHeight="1" x14ac:dyDescent="0.3">
      <c r="A1117" s="1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</row>
    <row r="1118" spans="1:20" ht="45.75" customHeight="1" x14ac:dyDescent="0.3">
      <c r="A1118" s="1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</row>
    <row r="1119" spans="1:20" ht="45.75" customHeight="1" x14ac:dyDescent="0.3">
      <c r="A1119" s="1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</row>
    <row r="1120" spans="1:20" ht="45.75" customHeight="1" x14ac:dyDescent="0.3">
      <c r="A1120" s="1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</row>
    <row r="1121" spans="1:20" ht="45.75" customHeight="1" x14ac:dyDescent="0.3">
      <c r="A1121" s="1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</row>
    <row r="1122" spans="1:20" ht="45.75" customHeight="1" x14ac:dyDescent="0.3">
      <c r="A1122" s="1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</row>
    <row r="1123" spans="1:20" ht="45.75" customHeight="1" x14ac:dyDescent="0.3">
      <c r="A1123" s="1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</row>
    <row r="1124" spans="1:20" ht="45.75" customHeight="1" x14ac:dyDescent="0.3">
      <c r="A1124" s="1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</row>
    <row r="1125" spans="1:20" ht="45.75" customHeight="1" x14ac:dyDescent="0.3">
      <c r="A1125" s="1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</row>
    <row r="1126" spans="1:20" ht="45.75" customHeight="1" x14ac:dyDescent="0.3">
      <c r="A1126" s="1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</row>
    <row r="1127" spans="1:20" ht="45.75" customHeight="1" x14ac:dyDescent="0.3">
      <c r="A1127" s="1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</row>
    <row r="1128" spans="1:20" ht="45.75" customHeight="1" x14ac:dyDescent="0.3">
      <c r="A1128" s="1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</row>
    <row r="1129" spans="1:20" ht="45.75" customHeight="1" x14ac:dyDescent="0.3">
      <c r="A1129" s="1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</row>
    <row r="1130" spans="1:20" ht="45.75" customHeight="1" x14ac:dyDescent="0.3">
      <c r="A1130" s="1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</row>
    <row r="1131" spans="1:20" ht="45.75" customHeight="1" x14ac:dyDescent="0.3">
      <c r="A1131" s="1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</row>
    <row r="1132" spans="1:20" ht="45.75" customHeight="1" x14ac:dyDescent="0.3">
      <c r="A1132" s="1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</row>
    <row r="1133" spans="1:20" ht="45.75" customHeight="1" x14ac:dyDescent="0.3">
      <c r="A1133" s="1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</row>
    <row r="1134" spans="1:20" ht="45.75" customHeight="1" x14ac:dyDescent="0.3">
      <c r="A1134" s="1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</row>
    <row r="1135" spans="1:20" ht="45.75" customHeight="1" x14ac:dyDescent="0.3">
      <c r="A1135" s="1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</row>
    <row r="1136" spans="1:20" ht="45.75" customHeight="1" x14ac:dyDescent="0.3">
      <c r="A1136" s="1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</row>
    <row r="1137" spans="1:20" ht="45.75" customHeight="1" x14ac:dyDescent="0.3">
      <c r="A1137" s="1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</row>
    <row r="1138" spans="1:20" ht="45.75" customHeight="1" x14ac:dyDescent="0.3">
      <c r="A1138" s="1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</row>
    <row r="1139" spans="1:20" ht="45.75" customHeight="1" x14ac:dyDescent="0.3">
      <c r="A1139" s="1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</row>
    <row r="1140" spans="1:20" ht="45.75" customHeight="1" x14ac:dyDescent="0.3">
      <c r="A1140" s="1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</row>
    <row r="1141" spans="1:20" ht="45.75" customHeight="1" x14ac:dyDescent="0.3">
      <c r="A1141" s="1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</row>
    <row r="1142" spans="1:20" ht="45.75" customHeight="1" x14ac:dyDescent="0.3">
      <c r="A1142" s="1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</row>
    <row r="1143" spans="1:20" ht="45.75" customHeight="1" x14ac:dyDescent="0.3">
      <c r="A1143" s="1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</row>
    <row r="1144" spans="1:20" ht="45.75" customHeight="1" x14ac:dyDescent="0.3">
      <c r="A1144" s="1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</row>
    <row r="1145" spans="1:20" ht="45.75" customHeight="1" x14ac:dyDescent="0.3">
      <c r="A1145" s="1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</row>
    <row r="1146" spans="1:20" ht="45.75" customHeight="1" x14ac:dyDescent="0.3">
      <c r="A1146" s="1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</row>
    <row r="1147" spans="1:20" ht="45.75" customHeight="1" x14ac:dyDescent="0.3">
      <c r="A1147" s="1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</row>
    <row r="1148" spans="1:20" ht="45.75" customHeight="1" x14ac:dyDescent="0.3">
      <c r="A1148" s="1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</row>
    <row r="1149" spans="1:20" ht="45.75" customHeight="1" x14ac:dyDescent="0.3">
      <c r="A1149" s="1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</row>
    <row r="1150" spans="1:20" ht="45.75" customHeight="1" x14ac:dyDescent="0.3">
      <c r="A1150" s="1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</row>
    <row r="1151" spans="1:20" ht="45.75" customHeight="1" x14ac:dyDescent="0.3">
      <c r="A1151" s="1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</row>
    <row r="1152" spans="1:20" ht="45.75" customHeight="1" x14ac:dyDescent="0.3">
      <c r="A1152" s="1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</row>
    <row r="1153" spans="1:20" ht="45.75" customHeight="1" x14ac:dyDescent="0.3">
      <c r="A1153" s="1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</row>
    <row r="1154" spans="1:20" ht="45.75" customHeight="1" x14ac:dyDescent="0.3">
      <c r="A1154" s="1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</row>
    <row r="1155" spans="1:20" ht="45.75" customHeight="1" x14ac:dyDescent="0.3">
      <c r="A1155" s="1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</row>
    <row r="1156" spans="1:20" ht="45.75" customHeight="1" x14ac:dyDescent="0.3">
      <c r="A1156" s="1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</row>
    <row r="1157" spans="1:20" ht="45.75" customHeight="1" x14ac:dyDescent="0.3">
      <c r="A1157" s="1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</row>
    <row r="1158" spans="1:20" ht="45.75" customHeight="1" x14ac:dyDescent="0.3">
      <c r="A1158" s="1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</row>
    <row r="1159" spans="1:20" ht="45.75" customHeight="1" x14ac:dyDescent="0.3">
      <c r="A1159" s="1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</row>
    <row r="1160" spans="1:20" ht="45.75" customHeight="1" x14ac:dyDescent="0.3">
      <c r="A1160" s="1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</row>
    <row r="1161" spans="1:20" ht="45.75" customHeight="1" x14ac:dyDescent="0.3">
      <c r="A1161" s="1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</row>
    <row r="1162" spans="1:20" ht="45.75" customHeight="1" x14ac:dyDescent="0.3">
      <c r="A1162" s="1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</row>
    <row r="1163" spans="1:20" ht="45.75" customHeight="1" x14ac:dyDescent="0.3">
      <c r="A1163" s="1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</row>
    <row r="1164" spans="1:20" ht="45.75" customHeight="1" x14ac:dyDescent="0.3">
      <c r="A1164" s="1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</row>
    <row r="1165" spans="1:20" ht="45.75" customHeight="1" x14ac:dyDescent="0.3">
      <c r="A1165" s="1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</row>
    <row r="1166" spans="1:20" ht="45.75" customHeight="1" x14ac:dyDescent="0.3">
      <c r="A1166" s="1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</row>
    <row r="1167" spans="1:20" ht="45.75" customHeight="1" x14ac:dyDescent="0.3">
      <c r="A1167" s="1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</row>
    <row r="1168" spans="1:20" ht="45.75" customHeight="1" x14ac:dyDescent="0.3">
      <c r="A1168" s="1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</row>
    <row r="1169" spans="1:20" ht="45.75" customHeight="1" x14ac:dyDescent="0.3">
      <c r="A1169" s="1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</row>
    <row r="1170" spans="1:20" ht="45.75" customHeight="1" x14ac:dyDescent="0.3">
      <c r="A1170" s="1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</row>
    <row r="1171" spans="1:20" ht="45.75" customHeight="1" x14ac:dyDescent="0.3">
      <c r="A1171" s="1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</row>
    <row r="1172" spans="1:20" ht="45.75" customHeight="1" x14ac:dyDescent="0.3">
      <c r="A1172" s="1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</row>
    <row r="1173" spans="1:20" ht="45.75" customHeight="1" x14ac:dyDescent="0.3">
      <c r="A1173" s="1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</row>
    <row r="1174" spans="1:20" ht="45.75" customHeight="1" x14ac:dyDescent="0.3">
      <c r="A1174" s="1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</row>
    <row r="1175" spans="1:20" ht="45.75" customHeight="1" x14ac:dyDescent="0.3">
      <c r="A1175" s="1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</row>
    <row r="1176" spans="1:20" ht="45.75" customHeight="1" x14ac:dyDescent="0.3">
      <c r="A1176" s="1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</row>
    <row r="1177" spans="1:20" ht="45.75" customHeight="1" x14ac:dyDescent="0.3">
      <c r="A1177" s="1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</row>
    <row r="1178" spans="1:20" ht="45.75" customHeight="1" x14ac:dyDescent="0.3">
      <c r="A1178" s="1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</row>
    <row r="1179" spans="1:20" ht="45.75" customHeight="1" x14ac:dyDescent="0.3">
      <c r="A1179" s="1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</row>
    <row r="1180" spans="1:20" ht="45.75" customHeight="1" x14ac:dyDescent="0.3">
      <c r="A1180" s="1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</row>
    <row r="1181" spans="1:20" ht="45.75" customHeight="1" x14ac:dyDescent="0.3">
      <c r="A1181" s="1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</row>
    <row r="1182" spans="1:20" ht="45.75" customHeight="1" x14ac:dyDescent="0.3">
      <c r="A1182" s="1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</row>
    <row r="1183" spans="1:20" ht="45.75" customHeight="1" x14ac:dyDescent="0.3">
      <c r="A1183" s="1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</row>
    <row r="1184" spans="1:20" ht="45.75" customHeight="1" x14ac:dyDescent="0.3">
      <c r="A1184" s="1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</row>
    <row r="1185" spans="1:20" ht="45.75" customHeight="1" x14ac:dyDescent="0.3">
      <c r="A1185" s="1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</row>
    <row r="1186" spans="1:20" ht="45.75" customHeight="1" x14ac:dyDescent="0.3">
      <c r="A1186" s="1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</row>
    <row r="1187" spans="1:20" ht="45.75" customHeight="1" x14ac:dyDescent="0.3">
      <c r="A1187" s="1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</row>
    <row r="1188" spans="1:20" ht="45.75" customHeight="1" x14ac:dyDescent="0.3">
      <c r="A1188" s="1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</row>
    <row r="1189" spans="1:20" ht="45.75" customHeight="1" x14ac:dyDescent="0.3">
      <c r="A1189" s="1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</row>
    <row r="1190" spans="1:20" ht="45.75" customHeight="1" x14ac:dyDescent="0.3">
      <c r="A1190" s="1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</row>
    <row r="1191" spans="1:20" ht="45.75" customHeight="1" x14ac:dyDescent="0.3">
      <c r="A1191" s="1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</row>
    <row r="1192" spans="1:20" ht="45.75" customHeight="1" x14ac:dyDescent="0.3">
      <c r="A1192" s="1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</row>
    <row r="1193" spans="1:20" ht="45.75" customHeight="1" x14ac:dyDescent="0.3">
      <c r="A1193" s="1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</row>
    <row r="1194" spans="1:20" ht="45.75" customHeight="1" x14ac:dyDescent="0.3">
      <c r="A1194" s="1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</row>
    <row r="1195" spans="1:20" ht="45.75" customHeight="1" x14ac:dyDescent="0.3">
      <c r="A1195" s="1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</row>
    <row r="1196" spans="1:20" ht="45.75" customHeight="1" x14ac:dyDescent="0.3">
      <c r="A1196" s="1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</row>
    <row r="1197" spans="1:20" ht="45.75" customHeight="1" x14ac:dyDescent="0.3">
      <c r="A1197" s="1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</row>
    <row r="1198" spans="1:20" ht="45.75" customHeight="1" x14ac:dyDescent="0.3">
      <c r="A1198" s="1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</row>
    <row r="1199" spans="1:20" ht="45.75" customHeight="1" x14ac:dyDescent="0.3">
      <c r="A1199" s="1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</row>
    <row r="1200" spans="1:20" ht="45.75" customHeight="1" x14ac:dyDescent="0.3">
      <c r="A1200" s="1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</row>
    <row r="1201" spans="1:20" ht="45.75" customHeight="1" x14ac:dyDescent="0.3">
      <c r="A1201" s="1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</row>
    <row r="1202" spans="1:20" ht="45.75" customHeight="1" x14ac:dyDescent="0.3">
      <c r="A1202" s="1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</row>
    <row r="1203" spans="1:20" ht="45.75" customHeight="1" x14ac:dyDescent="0.3">
      <c r="A1203" s="1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</row>
    <row r="1204" spans="1:20" ht="45.75" customHeight="1" x14ac:dyDescent="0.3">
      <c r="A1204" s="1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</row>
    <row r="1205" spans="1:20" ht="45.75" customHeight="1" x14ac:dyDescent="0.3">
      <c r="A1205" s="1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</row>
    <row r="1206" spans="1:20" ht="45.75" customHeight="1" x14ac:dyDescent="0.3">
      <c r="A1206" s="1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</row>
    <row r="1207" spans="1:20" ht="45.75" customHeight="1" x14ac:dyDescent="0.3">
      <c r="A1207" s="1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</row>
    <row r="1208" spans="1:20" ht="45.75" customHeight="1" x14ac:dyDescent="0.3">
      <c r="A1208" s="1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</row>
    <row r="1209" spans="1:20" ht="45.75" customHeight="1" x14ac:dyDescent="0.3">
      <c r="A1209" s="1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</row>
    <row r="1210" spans="1:20" ht="45.75" customHeight="1" x14ac:dyDescent="0.3">
      <c r="A1210" s="1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</row>
    <row r="1211" spans="1:20" ht="45.75" customHeight="1" x14ac:dyDescent="0.3">
      <c r="A1211" s="1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</row>
    <row r="1212" spans="1:20" ht="45.75" customHeight="1" x14ac:dyDescent="0.3">
      <c r="A1212" s="1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</row>
    <row r="1213" spans="1:20" ht="45.75" customHeight="1" x14ac:dyDescent="0.3">
      <c r="A1213" s="1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</row>
    <row r="1214" spans="1:20" ht="45.75" customHeight="1" x14ac:dyDescent="0.3">
      <c r="A1214" s="1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</row>
    <row r="1215" spans="1:20" ht="45.75" customHeight="1" x14ac:dyDescent="0.3">
      <c r="A1215" s="1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</row>
    <row r="1216" spans="1:20" ht="45.75" customHeight="1" x14ac:dyDescent="0.3">
      <c r="A1216" s="1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</row>
    <row r="1217" spans="1:20" ht="45.75" customHeight="1" x14ac:dyDescent="0.3">
      <c r="A1217" s="1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</row>
    <row r="1218" spans="1:20" ht="45.75" customHeight="1" x14ac:dyDescent="0.3">
      <c r="A1218" s="1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</row>
    <row r="1219" spans="1:20" ht="45.75" customHeight="1" x14ac:dyDescent="0.3">
      <c r="A1219" s="1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</row>
    <row r="1220" spans="1:20" ht="45.75" customHeight="1" x14ac:dyDescent="0.3">
      <c r="A1220" s="1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</row>
    <row r="1221" spans="1:20" ht="45.75" customHeight="1" x14ac:dyDescent="0.3">
      <c r="A1221" s="1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</row>
    <row r="1222" spans="1:20" ht="45.75" customHeight="1" x14ac:dyDescent="0.3">
      <c r="A1222" s="1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</row>
    <row r="1223" spans="1:20" ht="45.75" customHeight="1" x14ac:dyDescent="0.3">
      <c r="A1223" s="1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</row>
    <row r="1224" spans="1:20" ht="45.75" customHeight="1" x14ac:dyDescent="0.3">
      <c r="A1224" s="1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</row>
    <row r="1225" spans="1:20" ht="45.75" customHeight="1" x14ac:dyDescent="0.3">
      <c r="A1225" s="1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</row>
    <row r="1226" spans="1:20" ht="45.75" customHeight="1" x14ac:dyDescent="0.3">
      <c r="A1226" s="1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</row>
    <row r="1227" spans="1:20" ht="45.75" customHeight="1" x14ac:dyDescent="0.3">
      <c r="A1227" s="1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</row>
    <row r="1228" spans="1:20" ht="45.75" customHeight="1" x14ac:dyDescent="0.3">
      <c r="A1228" s="1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</row>
    <row r="1229" spans="1:20" ht="45.75" customHeight="1" x14ac:dyDescent="0.3">
      <c r="A1229" s="1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</row>
    <row r="1230" spans="1:20" ht="45.75" customHeight="1" x14ac:dyDescent="0.3">
      <c r="A1230" s="1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</row>
    <row r="1231" spans="1:20" ht="45.75" customHeight="1" x14ac:dyDescent="0.3">
      <c r="A1231" s="1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</row>
    <row r="1232" spans="1:20" ht="45.75" customHeight="1" x14ac:dyDescent="0.3">
      <c r="A1232" s="1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</row>
    <row r="1233" spans="1:20" ht="45.75" customHeight="1" x14ac:dyDescent="0.3">
      <c r="A1233" s="1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</row>
    <row r="1234" spans="1:20" ht="45.75" customHeight="1" x14ac:dyDescent="0.3">
      <c r="A1234" s="1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</row>
    <row r="1235" spans="1:20" ht="45.75" customHeight="1" x14ac:dyDescent="0.3">
      <c r="A1235" s="1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</row>
    <row r="1236" spans="1:20" ht="45.75" customHeight="1" x14ac:dyDescent="0.3">
      <c r="A1236" s="1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</row>
    <row r="1237" spans="1:20" ht="45.75" customHeight="1" x14ac:dyDescent="0.3">
      <c r="A1237" s="1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</row>
    <row r="1238" spans="1:20" ht="45.75" customHeight="1" x14ac:dyDescent="0.3">
      <c r="A1238" s="1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</row>
    <row r="1239" spans="1:20" ht="45.75" customHeight="1" x14ac:dyDescent="0.3">
      <c r="A1239" s="1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</row>
    <row r="1240" spans="1:20" ht="45.75" customHeight="1" x14ac:dyDescent="0.3">
      <c r="A1240" s="1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</row>
    <row r="1241" spans="1:20" ht="45.75" customHeight="1" x14ac:dyDescent="0.3">
      <c r="A1241" s="1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</row>
    <row r="1242" spans="1:20" ht="45.75" customHeight="1" x14ac:dyDescent="0.3">
      <c r="A1242" s="1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</row>
    <row r="1243" spans="1:20" ht="45.75" customHeight="1" x14ac:dyDescent="0.3">
      <c r="A1243" s="1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</row>
    <row r="1244" spans="1:20" ht="45.75" customHeight="1" x14ac:dyDescent="0.3">
      <c r="A1244" s="1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</row>
    <row r="1245" spans="1:20" ht="45.75" customHeight="1" x14ac:dyDescent="0.3">
      <c r="A1245" s="1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</row>
    <row r="1246" spans="1:20" ht="45.75" customHeight="1" x14ac:dyDescent="0.3">
      <c r="A1246" s="1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</row>
    <row r="1247" spans="1:20" ht="45.75" customHeight="1" x14ac:dyDescent="0.3">
      <c r="A1247" s="1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</row>
    <row r="1248" spans="1:20" ht="45.75" customHeight="1" x14ac:dyDescent="0.3">
      <c r="A1248" s="1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</row>
    <row r="1249" spans="1:20" ht="45.75" customHeight="1" x14ac:dyDescent="0.3">
      <c r="A1249" s="1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</row>
    <row r="1250" spans="1:20" ht="45.75" customHeight="1" x14ac:dyDescent="0.3">
      <c r="A1250" s="1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</row>
    <row r="1251" spans="1:20" ht="45.75" customHeight="1" x14ac:dyDescent="0.3">
      <c r="A1251" s="1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</row>
    <row r="1252" spans="1:20" ht="45.75" customHeight="1" x14ac:dyDescent="0.3">
      <c r="A1252" s="1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</row>
    <row r="1253" spans="1:20" ht="45.75" customHeight="1" x14ac:dyDescent="0.3">
      <c r="A1253" s="1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</row>
    <row r="1254" spans="1:20" ht="45.75" customHeight="1" x14ac:dyDescent="0.3">
      <c r="A1254" s="1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</row>
    <row r="1255" spans="1:20" ht="45.75" customHeight="1" x14ac:dyDescent="0.3">
      <c r="A1255" s="1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</row>
    <row r="1256" spans="1:20" ht="45.75" customHeight="1" x14ac:dyDescent="0.3">
      <c r="A1256" s="1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</row>
    <row r="1257" spans="1:20" ht="45.75" customHeight="1" x14ac:dyDescent="0.3">
      <c r="A1257" s="1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</row>
    <row r="1258" spans="1:20" ht="45.75" customHeight="1" x14ac:dyDescent="0.3">
      <c r="A1258" s="1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</row>
    <row r="1259" spans="1:20" ht="45.75" customHeight="1" x14ac:dyDescent="0.3">
      <c r="A1259" s="1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</row>
    <row r="1260" spans="1:20" ht="45.75" customHeight="1" x14ac:dyDescent="0.3">
      <c r="A1260" s="1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</row>
    <row r="1261" spans="1:20" ht="45.75" customHeight="1" x14ac:dyDescent="0.3">
      <c r="A1261" s="1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</row>
    <row r="1262" spans="1:20" ht="45.75" customHeight="1" x14ac:dyDescent="0.3">
      <c r="A1262" s="1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</row>
    <row r="1263" spans="1:20" ht="45.75" customHeight="1" x14ac:dyDescent="0.3">
      <c r="A1263" s="1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</row>
    <row r="1264" spans="1:20" ht="45.75" customHeight="1" x14ac:dyDescent="0.3">
      <c r="A1264" s="1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</row>
    <row r="1265" spans="1:20" ht="45.75" customHeight="1" x14ac:dyDescent="0.3">
      <c r="A1265" s="1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</row>
    <row r="1266" spans="1:20" ht="45.75" customHeight="1" x14ac:dyDescent="0.3">
      <c r="A1266" s="1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</row>
    <row r="1267" spans="1:20" ht="45.75" customHeight="1" x14ac:dyDescent="0.3">
      <c r="A1267" s="1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</row>
    <row r="1268" spans="1:20" ht="45.75" customHeight="1" x14ac:dyDescent="0.3">
      <c r="A1268" s="1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</row>
    <row r="1269" spans="1:20" ht="45.75" customHeight="1" x14ac:dyDescent="0.3">
      <c r="A1269" s="1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</row>
    <row r="1270" spans="1:20" ht="45.75" customHeight="1" x14ac:dyDescent="0.3">
      <c r="A1270" s="1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</row>
    <row r="1271" spans="1:20" ht="45.75" customHeight="1" x14ac:dyDescent="0.3">
      <c r="A1271" s="1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</row>
    <row r="1272" spans="1:20" ht="45.75" customHeight="1" x14ac:dyDescent="0.3">
      <c r="A1272" s="1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</row>
    <row r="1273" spans="1:20" ht="45.75" customHeight="1" x14ac:dyDescent="0.3">
      <c r="A1273" s="1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</row>
    <row r="1274" spans="1:20" ht="45.75" customHeight="1" x14ac:dyDescent="0.3">
      <c r="A1274" s="1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</row>
    <row r="1275" spans="1:20" ht="45.75" customHeight="1" x14ac:dyDescent="0.3">
      <c r="A1275" s="1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</row>
    <row r="1276" spans="1:20" ht="45.75" customHeight="1" x14ac:dyDescent="0.3">
      <c r="A1276" s="1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</row>
    <row r="1277" spans="1:20" ht="45.75" customHeight="1" x14ac:dyDescent="0.3">
      <c r="A1277" s="1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</row>
    <row r="1278" spans="1:20" ht="45.75" customHeight="1" x14ac:dyDescent="0.3">
      <c r="A1278" s="1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</row>
    <row r="1279" spans="1:20" ht="45.75" customHeight="1" x14ac:dyDescent="0.3">
      <c r="A1279" s="1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</row>
    <row r="1280" spans="1:20" ht="45.75" customHeight="1" x14ac:dyDescent="0.3">
      <c r="A1280" s="1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</row>
    <row r="1281" spans="1:20" ht="45.75" customHeight="1" x14ac:dyDescent="0.3">
      <c r="A1281" s="1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</row>
    <row r="1282" spans="1:20" ht="45.75" customHeight="1" x14ac:dyDescent="0.3">
      <c r="A1282" s="1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</row>
    <row r="1283" spans="1:20" ht="45.75" customHeight="1" x14ac:dyDescent="0.3">
      <c r="A1283" s="1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</row>
    <row r="1284" spans="1:20" ht="45.75" customHeight="1" x14ac:dyDescent="0.3">
      <c r="A1284" s="1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</row>
    <row r="1285" spans="1:20" ht="45.75" customHeight="1" x14ac:dyDescent="0.3">
      <c r="A1285" s="1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</row>
    <row r="1286" spans="1:20" ht="45.75" customHeight="1" x14ac:dyDescent="0.3">
      <c r="A1286" s="1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</row>
    <row r="1287" spans="1:20" ht="45.75" customHeight="1" x14ac:dyDescent="0.3">
      <c r="A1287" s="1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</row>
    <row r="1288" spans="1:20" ht="45.75" customHeight="1" x14ac:dyDescent="0.3">
      <c r="A1288" s="1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</row>
    <row r="1289" spans="1:20" ht="45.75" customHeight="1" x14ac:dyDescent="0.3">
      <c r="A1289" s="1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</row>
    <row r="1290" spans="1:20" ht="45.75" customHeight="1" x14ac:dyDescent="0.3">
      <c r="A1290" s="1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</row>
    <row r="1291" spans="1:20" ht="45.75" customHeight="1" x14ac:dyDescent="0.3">
      <c r="A1291" s="1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</row>
    <row r="1292" spans="1:20" ht="45.75" customHeight="1" x14ac:dyDescent="0.3">
      <c r="A1292" s="1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</row>
    <row r="1293" spans="1:20" ht="45.75" customHeight="1" x14ac:dyDescent="0.3">
      <c r="A1293" s="1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</row>
    <row r="1294" spans="1:20" ht="45.75" customHeight="1" x14ac:dyDescent="0.3">
      <c r="A1294" s="1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</row>
    <row r="1295" spans="1:20" ht="45.75" customHeight="1" x14ac:dyDescent="0.3">
      <c r="A1295" s="1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</row>
    <row r="1296" spans="1:20" ht="45.75" customHeight="1" x14ac:dyDescent="0.3">
      <c r="A1296" s="1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</row>
    <row r="1297" spans="1:20" ht="45.75" customHeight="1" x14ac:dyDescent="0.3">
      <c r="A1297" s="1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</row>
    <row r="1298" spans="1:20" ht="45.75" customHeight="1" x14ac:dyDescent="0.3">
      <c r="A1298" s="1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</row>
    <row r="1299" spans="1:20" ht="45.75" customHeight="1" x14ac:dyDescent="0.3">
      <c r="A1299" s="1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</row>
    <row r="1300" spans="1:20" ht="45.75" customHeight="1" x14ac:dyDescent="0.3">
      <c r="A1300" s="1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</row>
    <row r="1301" spans="1:20" ht="45.75" customHeight="1" x14ac:dyDescent="0.3">
      <c r="A1301" s="1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</row>
    <row r="1302" spans="1:20" ht="45.75" customHeight="1" x14ac:dyDescent="0.3">
      <c r="A1302" s="1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</row>
    <row r="1303" spans="1:20" ht="45.75" customHeight="1" x14ac:dyDescent="0.3">
      <c r="A1303" s="1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</row>
    <row r="1304" spans="1:20" ht="45.75" customHeight="1" x14ac:dyDescent="0.3">
      <c r="A1304" s="1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</row>
    <row r="1305" spans="1:20" ht="45.75" customHeight="1" x14ac:dyDescent="0.3">
      <c r="A1305" s="1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</row>
    <row r="1306" spans="1:20" ht="45.75" customHeight="1" x14ac:dyDescent="0.3">
      <c r="A1306" s="1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</row>
    <row r="1307" spans="1:20" ht="45.75" customHeight="1" x14ac:dyDescent="0.3">
      <c r="A1307" s="1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</row>
    <row r="1308" spans="1:20" ht="45.75" customHeight="1" x14ac:dyDescent="0.3">
      <c r="A1308" s="1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</row>
    <row r="1309" spans="1:20" ht="45.75" customHeight="1" x14ac:dyDescent="0.3">
      <c r="A1309" s="1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</row>
    <row r="1310" spans="1:20" ht="45.75" customHeight="1" x14ac:dyDescent="0.3">
      <c r="A1310" s="1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</row>
    <row r="1311" spans="1:20" ht="45.75" customHeight="1" x14ac:dyDescent="0.3">
      <c r="A1311" s="1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</row>
    <row r="1312" spans="1:20" ht="45.75" customHeight="1" x14ac:dyDescent="0.3">
      <c r="A1312" s="1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</row>
    <row r="1313" spans="1:20" ht="45.75" customHeight="1" x14ac:dyDescent="0.3">
      <c r="A1313" s="1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</row>
    <row r="1314" spans="1:20" ht="45.75" customHeight="1" x14ac:dyDescent="0.3">
      <c r="A1314" s="1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</row>
    <row r="1315" spans="1:20" ht="45.75" customHeight="1" x14ac:dyDescent="0.3">
      <c r="A1315" s="1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</row>
    <row r="1316" spans="1:20" ht="45.75" customHeight="1" x14ac:dyDescent="0.3">
      <c r="A1316" s="1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</row>
    <row r="1317" spans="1:20" ht="45.75" customHeight="1" x14ac:dyDescent="0.3">
      <c r="A1317" s="1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</row>
    <row r="1318" spans="1:20" ht="45.75" customHeight="1" x14ac:dyDescent="0.3">
      <c r="A1318" s="1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</row>
    <row r="1319" spans="1:20" ht="45.75" customHeight="1" x14ac:dyDescent="0.3">
      <c r="A1319" s="1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</row>
    <row r="1320" spans="1:20" ht="45.75" customHeight="1" x14ac:dyDescent="0.3">
      <c r="A1320" s="1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</row>
    <row r="1321" spans="1:20" ht="45.75" customHeight="1" x14ac:dyDescent="0.3">
      <c r="A1321" s="1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</row>
    <row r="1322" spans="1:20" ht="45.75" customHeight="1" x14ac:dyDescent="0.3">
      <c r="A1322" s="1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</row>
    <row r="1323" spans="1:20" ht="45.75" customHeight="1" x14ac:dyDescent="0.3">
      <c r="A1323" s="1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</row>
    <row r="1324" spans="1:20" ht="45.75" customHeight="1" x14ac:dyDescent="0.3">
      <c r="A1324" s="1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</row>
    <row r="1325" spans="1:20" ht="45.75" customHeight="1" x14ac:dyDescent="0.3">
      <c r="A1325" s="1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</row>
    <row r="1326" spans="1:20" ht="45.75" customHeight="1" x14ac:dyDescent="0.3">
      <c r="A1326" s="1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</row>
    <row r="1327" spans="1:20" ht="45.75" customHeight="1" x14ac:dyDescent="0.3">
      <c r="A1327" s="1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</row>
    <row r="1328" spans="1:20" ht="45.75" customHeight="1" x14ac:dyDescent="0.3">
      <c r="A1328" s="1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</row>
    <row r="1329" spans="1:20" ht="45.75" customHeight="1" x14ac:dyDescent="0.3">
      <c r="A1329" s="1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</row>
    <row r="1330" spans="1:20" ht="45.75" customHeight="1" x14ac:dyDescent="0.3">
      <c r="A1330" s="1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</row>
    <row r="1331" spans="1:20" ht="45.75" customHeight="1" x14ac:dyDescent="0.3">
      <c r="A1331" s="1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</row>
    <row r="1332" spans="1:20" ht="45.75" customHeight="1" x14ac:dyDescent="0.3">
      <c r="A1332" s="1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</row>
    <row r="1333" spans="1:20" ht="45.75" customHeight="1" x14ac:dyDescent="0.3">
      <c r="A1333" s="1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</row>
    <row r="1334" spans="1:20" ht="45.75" customHeight="1" x14ac:dyDescent="0.3">
      <c r="A1334" s="1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</row>
    <row r="1335" spans="1:20" ht="45.75" customHeight="1" x14ac:dyDescent="0.3">
      <c r="A1335" s="1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</row>
    <row r="1336" spans="1:20" ht="45.75" customHeight="1" x14ac:dyDescent="0.3">
      <c r="A1336" s="1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</row>
    <row r="1337" spans="1:20" ht="45.75" customHeight="1" x14ac:dyDescent="0.3">
      <c r="A1337" s="1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</row>
    <row r="1338" spans="1:20" ht="45.75" customHeight="1" x14ac:dyDescent="0.3">
      <c r="A1338" s="1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</row>
    <row r="1339" spans="1:20" ht="45.75" customHeight="1" x14ac:dyDescent="0.3">
      <c r="A1339" s="1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</row>
    <row r="1340" spans="1:20" ht="45.75" customHeight="1" x14ac:dyDescent="0.3">
      <c r="A1340" s="1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</row>
    <row r="1341" spans="1:20" ht="45.75" customHeight="1" x14ac:dyDescent="0.3">
      <c r="A1341" s="1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</row>
    <row r="1342" spans="1:20" ht="45.75" customHeight="1" x14ac:dyDescent="0.3">
      <c r="A1342" s="1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</row>
    <row r="1343" spans="1:20" ht="45.75" customHeight="1" x14ac:dyDescent="0.3">
      <c r="A1343" s="1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</row>
    <row r="1344" spans="1:20" ht="45.75" customHeight="1" x14ac:dyDescent="0.3">
      <c r="A1344" s="1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</row>
    <row r="1345" spans="1:20" ht="45.75" customHeight="1" x14ac:dyDescent="0.3">
      <c r="A1345" s="1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</row>
    <row r="1346" spans="1:20" ht="45.75" customHeight="1" x14ac:dyDescent="0.3">
      <c r="A1346" s="1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</row>
    <row r="1347" spans="1:20" ht="45.75" customHeight="1" x14ac:dyDescent="0.3">
      <c r="A1347" s="1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</row>
    <row r="1348" spans="1:20" ht="45.75" customHeight="1" x14ac:dyDescent="0.3">
      <c r="A1348" s="1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</row>
    <row r="1349" spans="1:20" ht="45.75" customHeight="1" x14ac:dyDescent="0.3">
      <c r="A1349" s="1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</row>
    <row r="1350" spans="1:20" ht="45.75" customHeight="1" x14ac:dyDescent="0.3">
      <c r="A1350" s="1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</row>
    <row r="1351" spans="1:20" ht="45.75" customHeight="1" x14ac:dyDescent="0.3">
      <c r="A1351" s="1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</row>
    <row r="1352" spans="1:20" ht="45.75" customHeight="1" x14ac:dyDescent="0.3">
      <c r="A1352" s="1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</row>
    <row r="1353" spans="1:20" ht="45.75" customHeight="1" x14ac:dyDescent="0.3">
      <c r="A1353" s="1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</row>
    <row r="1354" spans="1:20" ht="45.75" customHeight="1" x14ac:dyDescent="0.3">
      <c r="A1354" s="1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</row>
    <row r="1355" spans="1:20" ht="45.75" customHeight="1" x14ac:dyDescent="0.3">
      <c r="A1355" s="1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</row>
    <row r="1356" spans="1:20" ht="45.75" customHeight="1" x14ac:dyDescent="0.3">
      <c r="A1356" s="1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</row>
    <row r="1357" spans="1:20" ht="45.75" customHeight="1" x14ac:dyDescent="0.3">
      <c r="A1357" s="1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</row>
    <row r="1358" spans="1:20" ht="45.75" customHeight="1" x14ac:dyDescent="0.3">
      <c r="A1358" s="1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</row>
    <row r="1359" spans="1:20" ht="45.75" customHeight="1" x14ac:dyDescent="0.3">
      <c r="A1359" s="1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</row>
    <row r="1360" spans="1:20" ht="45.75" customHeight="1" x14ac:dyDescent="0.3">
      <c r="A1360" s="1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</row>
    <row r="1361" spans="1:20" ht="45.75" customHeight="1" x14ac:dyDescent="0.3">
      <c r="A1361" s="1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</row>
    <row r="1362" spans="1:20" ht="45.75" customHeight="1" x14ac:dyDescent="0.3">
      <c r="A1362" s="1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</row>
    <row r="1363" spans="1:20" ht="45.75" customHeight="1" x14ac:dyDescent="0.3">
      <c r="A1363" s="1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</row>
    <row r="1364" spans="1:20" ht="45.75" customHeight="1" x14ac:dyDescent="0.3">
      <c r="A1364" s="1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</row>
    <row r="1365" spans="1:20" ht="45.75" customHeight="1" x14ac:dyDescent="0.3">
      <c r="A1365" s="1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</row>
    <row r="1366" spans="1:20" ht="45.75" customHeight="1" x14ac:dyDescent="0.3">
      <c r="A1366" s="1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</row>
    <row r="1367" spans="1:20" ht="45.75" customHeight="1" x14ac:dyDescent="0.3">
      <c r="A1367" s="1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</row>
    <row r="1368" spans="1:20" ht="45.75" customHeight="1" x14ac:dyDescent="0.3">
      <c r="A1368" s="1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</row>
    <row r="1369" spans="1:20" ht="45.75" customHeight="1" x14ac:dyDescent="0.3">
      <c r="A1369" s="1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</row>
    <row r="1370" spans="1:20" ht="45.75" customHeight="1" x14ac:dyDescent="0.3">
      <c r="A1370" s="1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</row>
    <row r="1371" spans="1:20" ht="45.75" customHeight="1" x14ac:dyDescent="0.3">
      <c r="A1371" s="1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</row>
    <row r="1372" spans="1:20" ht="45.75" customHeight="1" x14ac:dyDescent="0.3">
      <c r="A1372" s="1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</row>
    <row r="1373" spans="1:20" ht="45.75" customHeight="1" x14ac:dyDescent="0.3">
      <c r="A1373" s="1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</row>
    <row r="1374" spans="1:20" ht="45.75" customHeight="1" x14ac:dyDescent="0.3">
      <c r="A1374" s="1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</row>
    <row r="1375" spans="1:20" ht="45.75" customHeight="1" x14ac:dyDescent="0.3">
      <c r="A1375" s="1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</row>
    <row r="1376" spans="1:20" ht="45.75" customHeight="1" x14ac:dyDescent="0.3">
      <c r="A1376" s="1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</row>
    <row r="1377" spans="1:20" ht="45.75" customHeight="1" x14ac:dyDescent="0.3">
      <c r="A1377" s="1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</row>
    <row r="1378" spans="1:20" ht="45.75" customHeight="1" x14ac:dyDescent="0.3">
      <c r="A1378" s="1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</row>
    <row r="1379" spans="1:20" ht="45.75" customHeight="1" x14ac:dyDescent="0.3">
      <c r="A1379" s="1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</row>
    <row r="1380" spans="1:20" ht="45.75" customHeight="1" x14ac:dyDescent="0.3">
      <c r="A1380" s="1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</row>
    <row r="1381" spans="1:20" ht="45.75" customHeight="1" x14ac:dyDescent="0.3">
      <c r="A1381" s="1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</row>
    <row r="1382" spans="1:20" ht="45.75" customHeight="1" x14ac:dyDescent="0.3">
      <c r="A1382" s="1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</row>
    <row r="1383" spans="1:20" ht="45.75" customHeight="1" x14ac:dyDescent="0.3">
      <c r="A1383" s="1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</row>
    <row r="1384" spans="1:20" ht="45.75" customHeight="1" x14ac:dyDescent="0.3">
      <c r="A1384" s="1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</row>
    <row r="1385" spans="1:20" ht="45.75" customHeight="1" x14ac:dyDescent="0.3">
      <c r="A1385" s="1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</row>
    <row r="1386" spans="1:20" ht="45.75" customHeight="1" x14ac:dyDescent="0.3">
      <c r="A1386" s="1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</row>
    <row r="1387" spans="1:20" ht="45.75" customHeight="1" x14ac:dyDescent="0.3">
      <c r="A1387" s="1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</row>
    <row r="1388" spans="1:20" ht="45.75" customHeight="1" x14ac:dyDescent="0.3">
      <c r="A1388" s="1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</row>
    <row r="1389" spans="1:20" ht="45.75" customHeight="1" x14ac:dyDescent="0.3">
      <c r="A1389" s="1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</row>
    <row r="1390" spans="1:20" ht="45.75" customHeight="1" x14ac:dyDescent="0.3">
      <c r="A1390" s="1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</row>
    <row r="1391" spans="1:20" ht="45.75" customHeight="1" x14ac:dyDescent="0.3">
      <c r="A1391" s="1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</row>
    <row r="1392" spans="1:20" ht="45.75" customHeight="1" x14ac:dyDescent="0.3">
      <c r="A1392" s="1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</row>
    <row r="1393" spans="1:20" ht="45.75" customHeight="1" x14ac:dyDescent="0.3">
      <c r="A1393" s="1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</row>
    <row r="1394" spans="1:20" ht="45.75" customHeight="1" x14ac:dyDescent="0.3">
      <c r="A1394" s="1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</row>
    <row r="1395" spans="1:20" ht="45.75" customHeight="1" x14ac:dyDescent="0.3">
      <c r="A1395" s="1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</row>
    <row r="1396" spans="1:20" ht="45.75" customHeight="1" x14ac:dyDescent="0.3">
      <c r="A1396" s="1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</row>
    <row r="1397" spans="1:20" ht="45.75" customHeight="1" x14ac:dyDescent="0.3">
      <c r="A1397" s="1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</row>
    <row r="1398" spans="1:20" ht="45.75" customHeight="1" x14ac:dyDescent="0.3">
      <c r="A1398" s="1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</row>
    <row r="1399" spans="1:20" ht="45.75" customHeight="1" x14ac:dyDescent="0.3">
      <c r="A1399" s="1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</row>
    <row r="1400" spans="1:20" ht="45.75" customHeight="1" x14ac:dyDescent="0.3">
      <c r="A1400" s="1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</row>
    <row r="1401" spans="1:20" ht="45.75" customHeight="1" x14ac:dyDescent="0.3">
      <c r="A1401" s="1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</row>
    <row r="1402" spans="1:20" ht="45.75" customHeight="1" x14ac:dyDescent="0.3">
      <c r="A1402" s="1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</row>
    <row r="1403" spans="1:20" ht="45.75" customHeight="1" x14ac:dyDescent="0.3">
      <c r="A1403" s="1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</row>
    <row r="1404" spans="1:20" ht="45.75" customHeight="1" x14ac:dyDescent="0.3">
      <c r="A1404" s="1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</row>
    <row r="1405" spans="1:20" ht="45.75" customHeight="1" x14ac:dyDescent="0.3">
      <c r="A1405" s="1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</row>
    <row r="1406" spans="1:20" ht="45.75" customHeight="1" x14ac:dyDescent="0.3">
      <c r="A1406" s="1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</row>
    <row r="1407" spans="1:20" ht="45.75" customHeight="1" x14ac:dyDescent="0.3">
      <c r="A1407" s="1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</row>
    <row r="1408" spans="1:20" ht="45.75" customHeight="1" x14ac:dyDescent="0.3">
      <c r="A1408" s="1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</row>
    <row r="1409" spans="1:20" ht="45.75" customHeight="1" x14ac:dyDescent="0.3">
      <c r="A1409" s="1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</row>
    <row r="1410" spans="1:20" ht="45.75" customHeight="1" x14ac:dyDescent="0.3">
      <c r="A1410" s="1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</row>
    <row r="1411" spans="1:20" ht="45.75" customHeight="1" x14ac:dyDescent="0.3">
      <c r="A1411" s="1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</row>
    <row r="1412" spans="1:20" ht="45.75" customHeight="1" x14ac:dyDescent="0.3">
      <c r="A1412" s="1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</row>
    <row r="1413" spans="1:20" ht="45.75" customHeight="1" x14ac:dyDescent="0.3">
      <c r="A1413" s="1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</row>
    <row r="1414" spans="1:20" ht="45.75" customHeight="1" x14ac:dyDescent="0.3">
      <c r="A1414" s="1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</row>
    <row r="1415" spans="1:20" ht="45.75" customHeight="1" x14ac:dyDescent="0.3">
      <c r="A1415" s="1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</row>
    <row r="1416" spans="1:20" ht="45.75" customHeight="1" x14ac:dyDescent="0.3">
      <c r="A1416" s="1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</row>
    <row r="1417" spans="1:20" ht="45.75" customHeight="1" x14ac:dyDescent="0.3">
      <c r="A1417" s="1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</row>
    <row r="1418" spans="1:20" ht="45.75" customHeight="1" x14ac:dyDescent="0.3">
      <c r="A1418" s="1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</row>
    <row r="1419" spans="1:20" ht="45.75" customHeight="1" x14ac:dyDescent="0.3">
      <c r="A1419" s="1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</row>
    <row r="1420" spans="1:20" ht="45.75" customHeight="1" x14ac:dyDescent="0.3">
      <c r="A1420" s="1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</row>
    <row r="1421" spans="1:20" ht="45.75" customHeight="1" x14ac:dyDescent="0.3">
      <c r="A1421" s="1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</row>
    <row r="1422" spans="1:20" ht="45.75" customHeight="1" x14ac:dyDescent="0.3">
      <c r="A1422" s="1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</row>
    <row r="1423" spans="1:20" ht="45.75" customHeight="1" x14ac:dyDescent="0.3">
      <c r="A1423" s="1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</row>
    <row r="1424" spans="1:20" ht="45.75" customHeight="1" x14ac:dyDescent="0.3">
      <c r="A1424" s="1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</row>
    <row r="1425" spans="1:20" ht="45.75" customHeight="1" x14ac:dyDescent="0.3">
      <c r="A1425" s="1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</row>
    <row r="1426" spans="1:20" ht="45.75" customHeight="1" x14ac:dyDescent="0.3">
      <c r="A1426" s="1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</row>
    <row r="1427" spans="1:20" ht="45.75" customHeight="1" x14ac:dyDescent="0.3">
      <c r="A1427" s="1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</row>
    <row r="1428" spans="1:20" ht="45.75" customHeight="1" x14ac:dyDescent="0.3">
      <c r="A1428" s="1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</row>
    <row r="1429" spans="1:20" ht="45.75" customHeight="1" x14ac:dyDescent="0.3">
      <c r="A1429" s="1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</row>
    <row r="1430" spans="1:20" ht="45.75" customHeight="1" x14ac:dyDescent="0.3">
      <c r="A1430" s="1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</row>
    <row r="1431" spans="1:20" ht="45.75" customHeight="1" x14ac:dyDescent="0.3">
      <c r="A1431" s="1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</row>
    <row r="1432" spans="1:20" ht="45.75" customHeight="1" x14ac:dyDescent="0.3">
      <c r="A1432" s="1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</row>
    <row r="1433" spans="1:20" ht="45.75" customHeight="1" x14ac:dyDescent="0.3">
      <c r="A1433" s="1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</row>
    <row r="1434" spans="1:20" ht="45.75" customHeight="1" x14ac:dyDescent="0.3">
      <c r="A1434" s="1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</row>
    <row r="1435" spans="1:20" ht="45.75" customHeight="1" x14ac:dyDescent="0.3">
      <c r="A1435" s="1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</row>
    <row r="1436" spans="1:20" ht="45.75" customHeight="1" x14ac:dyDescent="0.3">
      <c r="A1436" s="1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</row>
    <row r="1437" spans="1:20" ht="45.75" customHeight="1" x14ac:dyDescent="0.3">
      <c r="A1437" s="1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</row>
    <row r="1438" spans="1:20" ht="45.75" customHeight="1" x14ac:dyDescent="0.3">
      <c r="A1438" s="1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</row>
    <row r="1439" spans="1:20" ht="45.75" customHeight="1" x14ac:dyDescent="0.3">
      <c r="A1439" s="1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</row>
    <row r="1440" spans="1:20" ht="45.75" customHeight="1" x14ac:dyDescent="0.3">
      <c r="A1440" s="1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</row>
    <row r="1441" spans="1:20" ht="45.75" customHeight="1" x14ac:dyDescent="0.3">
      <c r="A1441" s="1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</row>
    <row r="1442" spans="1:20" ht="45.75" customHeight="1" x14ac:dyDescent="0.3">
      <c r="A1442" s="1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</row>
    <row r="1443" spans="1:20" ht="45.75" customHeight="1" x14ac:dyDescent="0.3">
      <c r="A1443" s="1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</row>
    <row r="1444" spans="1:20" ht="45.75" customHeight="1" x14ac:dyDescent="0.3">
      <c r="A1444" s="1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</row>
    <row r="1445" spans="1:20" ht="45.75" customHeight="1" x14ac:dyDescent="0.3">
      <c r="A1445" s="1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</row>
    <row r="1446" spans="1:20" ht="45.75" customHeight="1" x14ac:dyDescent="0.3">
      <c r="A1446" s="1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</row>
    <row r="1447" spans="1:20" ht="45.75" customHeight="1" x14ac:dyDescent="0.3">
      <c r="A1447" s="1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</row>
    <row r="1448" spans="1:20" ht="45.75" customHeight="1" x14ac:dyDescent="0.3">
      <c r="A1448" s="1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</row>
    <row r="1449" spans="1:20" ht="45.75" customHeight="1" x14ac:dyDescent="0.3">
      <c r="A1449" s="1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</row>
    <row r="1450" spans="1:20" ht="45.75" customHeight="1" x14ac:dyDescent="0.3">
      <c r="A1450" s="1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</row>
    <row r="1451" spans="1:20" ht="45.75" customHeight="1" x14ac:dyDescent="0.3">
      <c r="A1451" s="1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</row>
    <row r="1452" spans="1:20" ht="45.75" customHeight="1" x14ac:dyDescent="0.3">
      <c r="A1452" s="1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</row>
    <row r="1453" spans="1:20" ht="45.75" customHeight="1" x14ac:dyDescent="0.3">
      <c r="A1453" s="1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</row>
    <row r="1454" spans="1:20" ht="45.75" customHeight="1" x14ac:dyDescent="0.3">
      <c r="A1454" s="1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</row>
    <row r="1455" spans="1:20" ht="45.75" customHeight="1" x14ac:dyDescent="0.3">
      <c r="A1455" s="1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</row>
    <row r="1456" spans="1:20" ht="45.75" customHeight="1" x14ac:dyDescent="0.3">
      <c r="A1456" s="1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</row>
    <row r="1457" spans="1:20" ht="45.75" customHeight="1" x14ac:dyDescent="0.3">
      <c r="A1457" s="1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</row>
    <row r="1458" spans="1:20" ht="45.75" customHeight="1" x14ac:dyDescent="0.3">
      <c r="A1458" s="1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</row>
    <row r="1459" spans="1:20" ht="45.75" customHeight="1" x14ac:dyDescent="0.3">
      <c r="A1459" s="1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</row>
    <row r="1460" spans="1:20" ht="45.75" customHeight="1" x14ac:dyDescent="0.3">
      <c r="A1460" s="1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</row>
    <row r="1461" spans="1:20" ht="45.75" customHeight="1" x14ac:dyDescent="0.3">
      <c r="A1461" s="1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</row>
    <row r="1462" spans="1:20" ht="45.75" customHeight="1" x14ac:dyDescent="0.3">
      <c r="A1462" s="1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</row>
    <row r="1463" spans="1:20" ht="45.75" customHeight="1" x14ac:dyDescent="0.3">
      <c r="A1463" s="1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</row>
    <row r="1464" spans="1:20" ht="45.75" customHeight="1" x14ac:dyDescent="0.3">
      <c r="A1464" s="1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</row>
    <row r="1465" spans="1:20" ht="45.75" customHeight="1" x14ac:dyDescent="0.3">
      <c r="A1465" s="1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</row>
    <row r="1466" spans="1:20" ht="45.75" customHeight="1" x14ac:dyDescent="0.3">
      <c r="A1466" s="1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</row>
    <row r="1467" spans="1:20" ht="45.75" customHeight="1" x14ac:dyDescent="0.3">
      <c r="A1467" s="1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</row>
    <row r="1468" spans="1:20" ht="45.75" customHeight="1" x14ac:dyDescent="0.3">
      <c r="A1468" s="1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</row>
    <row r="1469" spans="1:20" ht="45.75" customHeight="1" x14ac:dyDescent="0.3">
      <c r="A1469" s="1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</row>
    <row r="1470" spans="1:20" ht="45.75" customHeight="1" x14ac:dyDescent="0.3">
      <c r="A1470" s="1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</row>
    <row r="1471" spans="1:20" ht="45.75" customHeight="1" x14ac:dyDescent="0.3">
      <c r="A1471" s="1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</row>
    <row r="1472" spans="1:20" ht="45.75" customHeight="1" x14ac:dyDescent="0.3">
      <c r="A1472" s="1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</row>
    <row r="1473" spans="1:20" ht="45.75" customHeight="1" x14ac:dyDescent="0.3">
      <c r="A1473" s="1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</row>
    <row r="1474" spans="1:20" ht="45.75" customHeight="1" x14ac:dyDescent="0.3">
      <c r="A1474" s="1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</row>
    <row r="1475" spans="1:20" ht="45.75" customHeight="1" x14ac:dyDescent="0.3">
      <c r="A1475" s="1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</row>
    <row r="1476" spans="1:20" ht="45.75" customHeight="1" x14ac:dyDescent="0.3">
      <c r="A1476" s="1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</row>
    <row r="1477" spans="1:20" ht="45.75" customHeight="1" x14ac:dyDescent="0.3">
      <c r="A1477" s="1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</row>
    <row r="1478" spans="1:20" ht="45.75" customHeight="1" x14ac:dyDescent="0.3">
      <c r="A1478" s="1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</row>
    <row r="1479" spans="1:20" ht="45.75" customHeight="1" x14ac:dyDescent="0.3">
      <c r="A1479" s="1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</row>
    <row r="1480" spans="1:20" ht="45.75" customHeight="1" x14ac:dyDescent="0.3">
      <c r="A1480" s="1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</row>
    <row r="1481" spans="1:20" ht="45.75" customHeight="1" x14ac:dyDescent="0.3">
      <c r="A1481" s="1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</row>
    <row r="1482" spans="1:20" ht="45.75" customHeight="1" x14ac:dyDescent="0.3">
      <c r="A1482" s="1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</row>
    <row r="1483" spans="1:20" ht="45.75" customHeight="1" x14ac:dyDescent="0.3">
      <c r="A1483" s="1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</row>
    <row r="1484" spans="1:20" ht="45.75" customHeight="1" x14ac:dyDescent="0.3">
      <c r="A1484" s="1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</row>
    <row r="1485" spans="1:20" ht="45.75" customHeight="1" x14ac:dyDescent="0.3">
      <c r="A1485" s="1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</row>
    <row r="1486" spans="1:20" ht="45.75" customHeight="1" x14ac:dyDescent="0.3">
      <c r="A1486" s="1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</row>
    <row r="1487" spans="1:20" ht="45.75" customHeight="1" x14ac:dyDescent="0.3">
      <c r="A1487" s="1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</row>
    <row r="1488" spans="1:20" ht="45.75" customHeight="1" x14ac:dyDescent="0.3">
      <c r="A1488" s="1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</row>
    <row r="1489" spans="1:20" ht="45.75" customHeight="1" x14ac:dyDescent="0.3">
      <c r="A1489" s="1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</row>
    <row r="1490" spans="1:20" ht="45.75" customHeight="1" x14ac:dyDescent="0.3">
      <c r="A1490" s="1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</row>
    <row r="1491" spans="1:20" ht="45.75" customHeight="1" x14ac:dyDescent="0.3">
      <c r="A1491" s="1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</row>
    <row r="1492" spans="1:20" ht="45.75" customHeight="1" x14ac:dyDescent="0.3">
      <c r="A1492" s="1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</row>
    <row r="1493" spans="1:20" ht="45.75" customHeight="1" x14ac:dyDescent="0.3">
      <c r="A1493" s="1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</row>
    <row r="1494" spans="1:20" ht="45.75" customHeight="1" x14ac:dyDescent="0.3">
      <c r="A1494" s="1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</row>
    <row r="1495" spans="1:20" ht="45.75" customHeight="1" x14ac:dyDescent="0.3">
      <c r="A1495" s="1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</row>
    <row r="1496" spans="1:20" ht="45.75" customHeight="1" x14ac:dyDescent="0.3">
      <c r="A1496" s="1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</row>
    <row r="1497" spans="1:20" ht="45.75" customHeight="1" x14ac:dyDescent="0.3">
      <c r="A1497" s="1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</row>
    <row r="1498" spans="1:20" ht="45.75" customHeight="1" x14ac:dyDescent="0.3">
      <c r="A1498" s="1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</row>
    <row r="1499" spans="1:20" ht="45.75" customHeight="1" x14ac:dyDescent="0.3">
      <c r="A1499" s="1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</row>
    <row r="1500" spans="1:20" ht="45.75" customHeight="1" x14ac:dyDescent="0.3">
      <c r="A1500" s="1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</row>
    <row r="1501" spans="1:20" ht="45.75" customHeight="1" x14ac:dyDescent="0.3">
      <c r="A1501" s="1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</row>
    <row r="1502" spans="1:20" ht="45.75" customHeight="1" x14ac:dyDescent="0.3">
      <c r="A1502" s="1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</row>
    <row r="1503" spans="1:20" ht="45.75" customHeight="1" x14ac:dyDescent="0.3">
      <c r="A1503" s="1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</row>
    <row r="1504" spans="1:20" ht="45.75" customHeight="1" x14ac:dyDescent="0.3">
      <c r="A1504" s="1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</row>
    <row r="1505" spans="1:20" ht="45.75" customHeight="1" x14ac:dyDescent="0.3">
      <c r="A1505" s="1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</row>
    <row r="1506" spans="1:20" ht="45.75" customHeight="1" x14ac:dyDescent="0.3">
      <c r="A1506" s="1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</row>
    <row r="1507" spans="1:20" ht="45.75" customHeight="1" x14ac:dyDescent="0.3">
      <c r="A1507" s="1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</row>
    <row r="1508" spans="1:20" ht="45.75" customHeight="1" x14ac:dyDescent="0.3">
      <c r="A1508" s="1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</row>
    <row r="1509" spans="1:20" ht="45.75" customHeight="1" x14ac:dyDescent="0.3">
      <c r="A1509" s="1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</row>
    <row r="1510" spans="1:20" ht="45.75" customHeight="1" x14ac:dyDescent="0.3">
      <c r="A1510" s="1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</row>
    <row r="1511" spans="1:20" ht="45.75" customHeight="1" x14ac:dyDescent="0.3">
      <c r="A1511" s="1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</row>
    <row r="1512" spans="1:20" ht="45.75" customHeight="1" x14ac:dyDescent="0.3">
      <c r="A1512" s="1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</row>
    <row r="1513" spans="1:20" ht="45.75" customHeight="1" x14ac:dyDescent="0.3">
      <c r="A1513" s="1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</row>
    <row r="1514" spans="1:20" ht="45.75" customHeight="1" x14ac:dyDescent="0.3">
      <c r="A1514" s="1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</row>
    <row r="1515" spans="1:20" ht="45.75" customHeight="1" x14ac:dyDescent="0.3">
      <c r="A1515" s="1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</row>
    <row r="1516" spans="1:20" ht="45.75" customHeight="1" x14ac:dyDescent="0.3">
      <c r="A1516" s="1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</row>
    <row r="1517" spans="1:20" ht="45.75" customHeight="1" x14ac:dyDescent="0.3">
      <c r="A1517" s="1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</row>
    <row r="1518" spans="1:20" ht="45.75" customHeight="1" x14ac:dyDescent="0.3">
      <c r="A1518" s="1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</row>
    <row r="1519" spans="1:20" ht="45.75" customHeight="1" x14ac:dyDescent="0.3">
      <c r="A1519" s="1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</row>
    <row r="1520" spans="1:20" ht="45.75" customHeight="1" x14ac:dyDescent="0.3">
      <c r="A1520" s="1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</row>
    <row r="1521" spans="1:20" ht="45.75" customHeight="1" x14ac:dyDescent="0.3">
      <c r="A1521" s="1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</row>
    <row r="1522" spans="1:20" ht="45.75" customHeight="1" x14ac:dyDescent="0.3">
      <c r="A1522" s="1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</row>
    <row r="1523" spans="1:20" ht="45.75" customHeight="1" x14ac:dyDescent="0.3">
      <c r="A1523" s="1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</row>
    <row r="1524" spans="1:20" ht="45.75" customHeight="1" x14ac:dyDescent="0.3">
      <c r="A1524" s="1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</row>
    <row r="1525" spans="1:20" ht="45.75" customHeight="1" x14ac:dyDescent="0.3">
      <c r="A1525" s="1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</row>
    <row r="1526" spans="1:20" ht="45.75" customHeight="1" x14ac:dyDescent="0.3">
      <c r="A1526" s="1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</row>
    <row r="1527" spans="1:20" ht="45.75" customHeight="1" x14ac:dyDescent="0.3">
      <c r="A1527" s="1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</row>
    <row r="1528" spans="1:20" ht="45.75" customHeight="1" x14ac:dyDescent="0.3">
      <c r="A1528" s="1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</row>
    <row r="1529" spans="1:20" ht="45.75" customHeight="1" x14ac:dyDescent="0.3">
      <c r="A1529" s="1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</row>
    <row r="1530" spans="1:20" ht="45.75" customHeight="1" x14ac:dyDescent="0.3">
      <c r="A1530" s="1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</row>
    <row r="1531" spans="1:20" ht="45.75" customHeight="1" x14ac:dyDescent="0.3">
      <c r="A1531" s="1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</row>
    <row r="1532" spans="1:20" ht="45.75" customHeight="1" x14ac:dyDescent="0.3">
      <c r="A1532" s="1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</row>
    <row r="1533" spans="1:20" ht="45.75" customHeight="1" x14ac:dyDescent="0.3">
      <c r="A1533" s="1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</row>
    <row r="1534" spans="1:20" ht="45.75" customHeight="1" x14ac:dyDescent="0.3">
      <c r="A1534" s="1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</row>
    <row r="1535" spans="1:20" ht="45.75" customHeight="1" x14ac:dyDescent="0.3">
      <c r="A1535" s="1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</row>
    <row r="1536" spans="1:20" ht="45.75" customHeight="1" x14ac:dyDescent="0.3">
      <c r="A1536" s="1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</row>
    <row r="1537" spans="1:20" ht="45.75" customHeight="1" x14ac:dyDescent="0.3">
      <c r="A1537" s="1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</row>
    <row r="1538" spans="1:20" ht="45.75" customHeight="1" x14ac:dyDescent="0.3">
      <c r="A1538" s="1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</row>
    <row r="1539" spans="1:20" ht="45.75" customHeight="1" x14ac:dyDescent="0.3">
      <c r="A1539" s="1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</row>
    <row r="1540" spans="1:20" ht="45.75" customHeight="1" x14ac:dyDescent="0.3">
      <c r="A1540" s="1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</row>
    <row r="1541" spans="1:20" ht="45.75" customHeight="1" x14ac:dyDescent="0.3">
      <c r="A1541" s="1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</row>
    <row r="1542" spans="1:20" ht="45.75" customHeight="1" x14ac:dyDescent="0.3">
      <c r="A1542" s="1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</row>
    <row r="1543" spans="1:20" ht="45.75" customHeight="1" x14ac:dyDescent="0.3">
      <c r="A1543" s="1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</row>
    <row r="1544" spans="1:20" ht="45.75" customHeight="1" x14ac:dyDescent="0.3">
      <c r="A1544" s="1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</row>
    <row r="1545" spans="1:20" ht="45.75" customHeight="1" x14ac:dyDescent="0.3">
      <c r="A1545" s="1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</row>
    <row r="1546" spans="1:20" ht="45.75" customHeight="1" x14ac:dyDescent="0.3">
      <c r="A1546" s="1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</row>
    <row r="1547" spans="1:20" ht="45.75" customHeight="1" x14ac:dyDescent="0.3">
      <c r="A1547" s="1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</row>
    <row r="1548" spans="1:20" ht="45.75" customHeight="1" x14ac:dyDescent="0.3">
      <c r="A1548" s="1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</row>
    <row r="1549" spans="1:20" ht="45.75" customHeight="1" x14ac:dyDescent="0.3">
      <c r="A1549" s="1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</row>
    <row r="1550" spans="1:20" ht="45.75" customHeight="1" x14ac:dyDescent="0.3">
      <c r="A1550" s="1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</row>
    <row r="1551" spans="1:20" ht="45.75" customHeight="1" x14ac:dyDescent="0.3">
      <c r="A1551" s="1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</row>
    <row r="1552" spans="1:20" ht="45.75" customHeight="1" x14ac:dyDescent="0.3">
      <c r="A1552" s="1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</row>
    <row r="1553" spans="1:20" ht="45.75" customHeight="1" x14ac:dyDescent="0.3">
      <c r="A1553" s="1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</row>
    <row r="1554" spans="1:20" ht="45.75" customHeight="1" x14ac:dyDescent="0.3">
      <c r="A1554" s="1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</row>
    <row r="1555" spans="1:20" ht="45.75" customHeight="1" x14ac:dyDescent="0.3">
      <c r="A1555" s="1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</row>
    <row r="1556" spans="1:20" ht="45.75" customHeight="1" x14ac:dyDescent="0.3">
      <c r="A1556" s="1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</row>
    <row r="1557" spans="1:20" ht="45.75" customHeight="1" x14ac:dyDescent="0.3">
      <c r="A1557" s="1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</row>
    <row r="1558" spans="1:20" ht="45.75" customHeight="1" x14ac:dyDescent="0.3">
      <c r="A1558" s="1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</row>
    <row r="1559" spans="1:20" ht="45.75" customHeight="1" x14ac:dyDescent="0.3">
      <c r="A1559" s="1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</row>
    <row r="1560" spans="1:20" ht="45.75" customHeight="1" x14ac:dyDescent="0.3">
      <c r="A1560" s="1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</row>
    <row r="1561" spans="1:20" ht="45.75" customHeight="1" x14ac:dyDescent="0.3">
      <c r="A1561" s="1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</row>
    <row r="1562" spans="1:20" ht="45.75" customHeight="1" x14ac:dyDescent="0.3">
      <c r="A1562" s="1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</row>
    <row r="1563" spans="1:20" ht="45.75" customHeight="1" x14ac:dyDescent="0.3">
      <c r="A1563" s="1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</row>
    <row r="1564" spans="1:20" ht="45.75" customHeight="1" x14ac:dyDescent="0.3">
      <c r="A1564" s="1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</row>
    <row r="1565" spans="1:20" ht="45.75" customHeight="1" x14ac:dyDescent="0.3">
      <c r="A1565" s="1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</row>
    <row r="1566" spans="1:20" ht="45.75" customHeight="1" x14ac:dyDescent="0.3">
      <c r="A1566" s="1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</row>
    <row r="1567" spans="1:20" ht="45.75" customHeight="1" x14ac:dyDescent="0.3">
      <c r="A1567" s="1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</row>
    <row r="1568" spans="1:20" ht="45.75" customHeight="1" x14ac:dyDescent="0.3">
      <c r="A1568" s="1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</row>
    <row r="1569" spans="1:20" ht="45.75" customHeight="1" x14ac:dyDescent="0.3">
      <c r="A1569" s="1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</row>
    <row r="1570" spans="1:20" ht="45.75" customHeight="1" x14ac:dyDescent="0.3">
      <c r="A1570" s="1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</row>
    <row r="1571" spans="1:20" ht="45.75" customHeight="1" x14ac:dyDescent="0.3">
      <c r="A1571" s="1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</row>
    <row r="1572" spans="1:20" ht="45.75" customHeight="1" x14ac:dyDescent="0.3">
      <c r="A1572" s="1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</row>
    <row r="1573" spans="1:20" ht="45.75" customHeight="1" x14ac:dyDescent="0.3">
      <c r="A1573" s="1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</row>
    <row r="1574" spans="1:20" ht="45.75" customHeight="1" x14ac:dyDescent="0.3">
      <c r="A1574" s="1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</row>
    <row r="1575" spans="1:20" ht="45.75" customHeight="1" x14ac:dyDescent="0.3">
      <c r="A1575" s="1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</row>
    <row r="1576" spans="1:20" ht="45.75" customHeight="1" x14ac:dyDescent="0.3">
      <c r="A1576" s="1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</row>
    <row r="1577" spans="1:20" ht="45.75" customHeight="1" x14ac:dyDescent="0.3">
      <c r="A1577" s="1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</row>
    <row r="1578" spans="1:20" ht="45.75" customHeight="1" x14ac:dyDescent="0.3">
      <c r="A1578" s="1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</row>
    <row r="1579" spans="1:20" ht="45.75" customHeight="1" x14ac:dyDescent="0.3">
      <c r="A1579" s="1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</row>
    <row r="1580" spans="1:20" ht="45.75" customHeight="1" x14ac:dyDescent="0.3">
      <c r="A1580" s="1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</row>
    <row r="1581" spans="1:20" ht="45.75" customHeight="1" x14ac:dyDescent="0.3">
      <c r="A1581" s="1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</row>
    <row r="1582" spans="1:20" ht="45.75" customHeight="1" x14ac:dyDescent="0.3">
      <c r="A1582" s="1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</row>
    <row r="1583" spans="1:20" ht="45.75" customHeight="1" x14ac:dyDescent="0.3">
      <c r="A1583" s="1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</row>
    <row r="1584" spans="1:20" ht="45.75" customHeight="1" x14ac:dyDescent="0.3">
      <c r="A1584" s="1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</row>
    <row r="1585" spans="1:20" ht="45.75" customHeight="1" x14ac:dyDescent="0.3">
      <c r="A1585" s="1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</row>
    <row r="1586" spans="1:20" ht="45.75" customHeight="1" x14ac:dyDescent="0.3">
      <c r="A1586" s="1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</row>
    <row r="1587" spans="1:20" ht="45.75" customHeight="1" x14ac:dyDescent="0.3">
      <c r="A1587" s="1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</row>
    <row r="1588" spans="1:20" ht="45.75" customHeight="1" x14ac:dyDescent="0.3">
      <c r="A1588" s="1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</row>
    <row r="1589" spans="1:20" ht="45.75" customHeight="1" x14ac:dyDescent="0.3">
      <c r="A1589" s="1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</row>
    <row r="1590" spans="1:20" ht="45.75" customHeight="1" x14ac:dyDescent="0.3">
      <c r="A1590" s="1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</row>
    <row r="1591" spans="1:20" ht="45.75" customHeight="1" x14ac:dyDescent="0.3">
      <c r="A1591" s="1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</row>
    <row r="1592" spans="1:20" ht="45.75" customHeight="1" x14ac:dyDescent="0.3">
      <c r="A1592" s="1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</row>
    <row r="1593" spans="1:20" ht="45.75" customHeight="1" x14ac:dyDescent="0.3">
      <c r="A1593" s="1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</row>
    <row r="1594" spans="1:20" ht="45.75" customHeight="1" x14ac:dyDescent="0.3">
      <c r="A1594" s="1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</row>
    <row r="1595" spans="1:20" ht="45.75" customHeight="1" x14ac:dyDescent="0.3">
      <c r="A1595" s="1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</row>
    <row r="1596" spans="1:20" ht="45.75" customHeight="1" x14ac:dyDescent="0.3">
      <c r="A1596" s="1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</row>
    <row r="1597" spans="1:20" ht="45.75" customHeight="1" x14ac:dyDescent="0.3">
      <c r="A1597" s="1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</row>
    <row r="1598" spans="1:20" ht="45.75" customHeight="1" x14ac:dyDescent="0.3">
      <c r="A1598" s="1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</row>
    <row r="1599" spans="1:20" ht="45.75" customHeight="1" x14ac:dyDescent="0.3">
      <c r="A1599" s="1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</row>
    <row r="1600" spans="1:20" ht="45.75" customHeight="1" x14ac:dyDescent="0.3">
      <c r="A1600" s="1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</row>
    <row r="1601" spans="1:20" ht="45.75" customHeight="1" x14ac:dyDescent="0.3">
      <c r="A1601" s="1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</row>
    <row r="1602" spans="1:20" ht="45.75" customHeight="1" x14ac:dyDescent="0.3">
      <c r="A1602" s="1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</row>
    <row r="1603" spans="1:20" ht="45.75" customHeight="1" x14ac:dyDescent="0.3">
      <c r="A1603" s="1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</row>
    <row r="1604" spans="1:20" ht="45.75" customHeight="1" x14ac:dyDescent="0.3">
      <c r="A1604" s="1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</row>
    <row r="1605" spans="1:20" ht="45.75" customHeight="1" x14ac:dyDescent="0.3">
      <c r="A1605" s="1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</row>
    <row r="1606" spans="1:20" ht="45.75" customHeight="1" x14ac:dyDescent="0.3">
      <c r="A1606" s="1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</row>
    <row r="1607" spans="1:20" ht="45.75" customHeight="1" x14ac:dyDescent="0.3">
      <c r="A1607" s="1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</row>
    <row r="1608" spans="1:20" ht="45.75" customHeight="1" x14ac:dyDescent="0.3">
      <c r="A1608" s="1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</row>
    <row r="1609" spans="1:20" ht="45.75" customHeight="1" x14ac:dyDescent="0.3">
      <c r="A1609" s="1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</row>
    <row r="1610" spans="1:20" ht="45.75" customHeight="1" x14ac:dyDescent="0.3">
      <c r="A1610" s="1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</row>
    <row r="1611" spans="1:20" ht="45.75" customHeight="1" x14ac:dyDescent="0.3">
      <c r="A1611" s="1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</row>
    <row r="1612" spans="1:20" ht="45.75" customHeight="1" x14ac:dyDescent="0.3">
      <c r="A1612" s="1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</row>
    <row r="1613" spans="1:20" ht="45.75" customHeight="1" x14ac:dyDescent="0.3">
      <c r="A1613" s="1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</row>
    <row r="1614" spans="1:20" ht="45.75" customHeight="1" x14ac:dyDescent="0.3">
      <c r="A1614" s="1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</row>
    <row r="1615" spans="1:20" ht="45.75" customHeight="1" x14ac:dyDescent="0.3">
      <c r="A1615" s="1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</row>
    <row r="1616" spans="1:20" ht="45.75" customHeight="1" x14ac:dyDescent="0.3">
      <c r="A1616" s="1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</row>
    <row r="1617" spans="1:20" ht="45.75" customHeight="1" x14ac:dyDescent="0.3">
      <c r="A1617" s="1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</row>
    <row r="1618" spans="1:20" ht="45.75" customHeight="1" x14ac:dyDescent="0.3">
      <c r="A1618" s="1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</row>
    <row r="1619" spans="1:20" ht="45.75" customHeight="1" x14ac:dyDescent="0.3">
      <c r="A1619" s="1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</row>
    <row r="1620" spans="1:20" ht="45.75" customHeight="1" x14ac:dyDescent="0.3">
      <c r="A1620" s="1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</row>
    <row r="1621" spans="1:20" ht="45.75" customHeight="1" x14ac:dyDescent="0.3">
      <c r="A1621" s="1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</row>
    <row r="1622" spans="1:20" ht="45.75" customHeight="1" x14ac:dyDescent="0.3">
      <c r="A1622" s="1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</row>
    <row r="1623" spans="1:20" ht="45.75" customHeight="1" x14ac:dyDescent="0.3">
      <c r="A1623" s="1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</row>
    <row r="1624" spans="1:20" ht="45.75" customHeight="1" x14ac:dyDescent="0.3">
      <c r="A1624" s="1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</row>
    <row r="1625" spans="1:20" ht="45.75" customHeight="1" x14ac:dyDescent="0.3">
      <c r="A1625" s="1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</row>
    <row r="1626" spans="1:20" ht="45.75" customHeight="1" x14ac:dyDescent="0.3">
      <c r="A1626" s="1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</row>
    <row r="1627" spans="1:20" ht="45.75" customHeight="1" x14ac:dyDescent="0.3">
      <c r="A1627" s="1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</row>
    <row r="1628" spans="1:20" ht="45.75" customHeight="1" x14ac:dyDescent="0.3">
      <c r="A1628" s="1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</row>
    <row r="1629" spans="1:20" ht="45.75" customHeight="1" x14ac:dyDescent="0.3">
      <c r="A1629" s="1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</row>
    <row r="1630" spans="1:20" ht="45.75" customHeight="1" x14ac:dyDescent="0.3">
      <c r="A1630" s="1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</row>
    <row r="1631" spans="1:20" ht="45.75" customHeight="1" x14ac:dyDescent="0.3">
      <c r="A1631" s="1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</row>
    <row r="1632" spans="1:20" ht="45.75" customHeight="1" x14ac:dyDescent="0.3">
      <c r="A1632" s="1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</row>
    <row r="1633" spans="1:20" ht="45.75" customHeight="1" x14ac:dyDescent="0.3">
      <c r="A1633" s="1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</row>
    <row r="1634" spans="1:20" ht="45.75" customHeight="1" x14ac:dyDescent="0.3">
      <c r="A1634" s="1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</row>
    <row r="1635" spans="1:20" ht="45.75" customHeight="1" x14ac:dyDescent="0.3">
      <c r="A1635" s="1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</row>
    <row r="1636" spans="1:20" ht="45.75" customHeight="1" x14ac:dyDescent="0.3">
      <c r="A1636" s="1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</row>
    <row r="1637" spans="1:20" ht="45.75" customHeight="1" x14ac:dyDescent="0.3">
      <c r="A1637" s="1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</row>
    <row r="1638" spans="1:20" ht="45.75" customHeight="1" x14ac:dyDescent="0.3">
      <c r="A1638" s="1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</row>
    <row r="1639" spans="1:20" ht="45.75" customHeight="1" x14ac:dyDescent="0.3">
      <c r="A1639" s="1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</row>
    <row r="1640" spans="1:20" ht="45.75" customHeight="1" x14ac:dyDescent="0.3">
      <c r="A1640" s="1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</row>
    <row r="1641" spans="1:20" ht="45.75" customHeight="1" x14ac:dyDescent="0.3">
      <c r="A1641" s="1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</row>
    <row r="1642" spans="1:20" ht="45.75" customHeight="1" x14ac:dyDescent="0.3">
      <c r="A1642" s="1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</row>
    <row r="1643" spans="1:20" ht="45.75" customHeight="1" x14ac:dyDescent="0.3">
      <c r="A1643" s="1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</row>
    <row r="1644" spans="1:20" ht="45.75" customHeight="1" x14ac:dyDescent="0.3">
      <c r="A1644" s="1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</row>
    <row r="1645" spans="1:20" ht="45.75" customHeight="1" x14ac:dyDescent="0.3">
      <c r="A1645" s="1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</row>
    <row r="1646" spans="1:20" ht="45.75" customHeight="1" x14ac:dyDescent="0.3">
      <c r="A1646" s="1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</row>
    <row r="1647" spans="1:20" ht="45.75" customHeight="1" x14ac:dyDescent="0.3">
      <c r="A1647" s="1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</row>
    <row r="1648" spans="1:20" ht="45.75" customHeight="1" x14ac:dyDescent="0.3">
      <c r="A1648" s="1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</row>
    <row r="1649" spans="1:20" ht="45.75" customHeight="1" x14ac:dyDescent="0.3">
      <c r="A1649" s="1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</row>
    <row r="1650" spans="1:20" ht="45.75" customHeight="1" x14ac:dyDescent="0.3">
      <c r="A1650" s="1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</row>
    <row r="1651" spans="1:20" ht="45.75" customHeight="1" x14ac:dyDescent="0.3">
      <c r="A1651" s="1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</row>
    <row r="1652" spans="1:20" ht="45.75" customHeight="1" x14ac:dyDescent="0.3">
      <c r="A1652" s="1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</row>
    <row r="1653" spans="1:20" ht="45.75" customHeight="1" x14ac:dyDescent="0.3">
      <c r="A1653" s="1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</row>
    <row r="1654" spans="1:20" ht="45.75" customHeight="1" x14ac:dyDescent="0.3">
      <c r="A1654" s="1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</row>
    <row r="1655" spans="1:20" ht="45.75" customHeight="1" x14ac:dyDescent="0.3">
      <c r="A1655" s="1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</row>
    <row r="1656" spans="1:20" ht="45.75" customHeight="1" x14ac:dyDescent="0.3">
      <c r="A1656" s="1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</row>
    <row r="1657" spans="1:20" ht="45.75" customHeight="1" x14ac:dyDescent="0.3">
      <c r="A1657" s="1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</row>
    <row r="1658" spans="1:20" ht="45.75" customHeight="1" x14ac:dyDescent="0.3">
      <c r="A1658" s="1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</row>
    <row r="1659" spans="1:20" ht="45.75" customHeight="1" x14ac:dyDescent="0.3">
      <c r="A1659" s="1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</row>
    <row r="1660" spans="1:20" ht="45.75" customHeight="1" x14ac:dyDescent="0.3">
      <c r="A1660" s="1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</row>
    <row r="1661" spans="1:20" ht="45.75" customHeight="1" x14ac:dyDescent="0.3">
      <c r="A1661" s="1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</row>
    <row r="1662" spans="1:20" ht="45.75" customHeight="1" x14ac:dyDescent="0.3">
      <c r="A1662" s="1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</row>
    <row r="1663" spans="1:20" ht="45.75" customHeight="1" x14ac:dyDescent="0.3">
      <c r="A1663" s="1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</row>
    <row r="1664" spans="1:20" ht="45.75" customHeight="1" x14ac:dyDescent="0.3">
      <c r="A1664" s="1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</row>
    <row r="1665" spans="1:20" ht="45.75" customHeight="1" x14ac:dyDescent="0.3">
      <c r="A1665" s="1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</row>
    <row r="1666" spans="1:20" ht="45.75" customHeight="1" x14ac:dyDescent="0.3">
      <c r="A1666" s="1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</row>
    <row r="1667" spans="1:20" ht="45.75" customHeight="1" x14ac:dyDescent="0.3">
      <c r="A1667" s="1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</row>
    <row r="1668" spans="1:20" ht="45.75" customHeight="1" x14ac:dyDescent="0.3">
      <c r="A1668" s="1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</row>
    <row r="1669" spans="1:20" ht="45.75" customHeight="1" x14ac:dyDescent="0.3">
      <c r="A1669" s="1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</row>
    <row r="1670" spans="1:20" ht="45.75" customHeight="1" x14ac:dyDescent="0.3">
      <c r="A1670" s="1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</row>
    <row r="1671" spans="1:20" ht="45.75" customHeight="1" x14ac:dyDescent="0.3">
      <c r="A1671" s="1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</row>
    <row r="1672" spans="1:20" ht="45.75" customHeight="1" x14ac:dyDescent="0.3">
      <c r="A1672" s="1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</row>
    <row r="1673" spans="1:20" ht="45.75" customHeight="1" x14ac:dyDescent="0.3">
      <c r="A1673" s="1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</row>
    <row r="1674" spans="1:20" ht="45.75" customHeight="1" x14ac:dyDescent="0.3">
      <c r="A1674" s="1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</row>
    <row r="1675" spans="1:20" ht="45.75" customHeight="1" x14ac:dyDescent="0.3">
      <c r="A1675" s="1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</row>
    <row r="1676" spans="1:20" ht="45.75" customHeight="1" x14ac:dyDescent="0.3">
      <c r="A1676" s="1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</row>
    <row r="1677" spans="1:20" ht="45.75" customHeight="1" x14ac:dyDescent="0.3">
      <c r="A1677" s="1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</row>
    <row r="1678" spans="1:20" ht="45.75" customHeight="1" x14ac:dyDescent="0.3">
      <c r="A1678" s="1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</row>
    <row r="1679" spans="1:20" ht="45.75" customHeight="1" x14ac:dyDescent="0.3">
      <c r="A1679" s="1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</row>
    <row r="1680" spans="1:20" ht="45.75" customHeight="1" x14ac:dyDescent="0.3">
      <c r="A1680" s="1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</row>
    <row r="1681" spans="1:20" ht="45.75" customHeight="1" x14ac:dyDescent="0.3">
      <c r="A1681" s="1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</row>
    <row r="1682" spans="1:20" ht="45.75" customHeight="1" x14ac:dyDescent="0.3">
      <c r="A1682" s="1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</row>
    <row r="1683" spans="1:20" ht="45.75" customHeight="1" x14ac:dyDescent="0.3">
      <c r="A1683" s="1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</row>
    <row r="1684" spans="1:20" ht="45.75" customHeight="1" x14ac:dyDescent="0.3">
      <c r="A1684" s="1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</row>
    <row r="1685" spans="1:20" ht="45.75" customHeight="1" x14ac:dyDescent="0.3">
      <c r="A1685" s="1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</row>
    <row r="1686" spans="1:20" ht="45.75" customHeight="1" x14ac:dyDescent="0.3">
      <c r="A1686" s="1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</row>
    <row r="1687" spans="1:20" ht="45.75" customHeight="1" x14ac:dyDescent="0.3">
      <c r="A1687" s="1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</row>
    <row r="1688" spans="1:20" ht="45.75" customHeight="1" x14ac:dyDescent="0.3">
      <c r="A1688" s="1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</row>
    <row r="1689" spans="1:20" ht="45.75" customHeight="1" x14ac:dyDescent="0.3">
      <c r="A1689" s="1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</row>
    <row r="1690" spans="1:20" ht="45.75" customHeight="1" x14ac:dyDescent="0.3">
      <c r="A1690" s="1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</row>
    <row r="1691" spans="1:20" ht="45.75" customHeight="1" x14ac:dyDescent="0.3">
      <c r="A1691" s="1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</row>
    <row r="1692" spans="1:20" ht="45.75" customHeight="1" x14ac:dyDescent="0.3">
      <c r="A1692" s="1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</row>
    <row r="1693" spans="1:20" ht="45.75" customHeight="1" x14ac:dyDescent="0.3">
      <c r="A1693" s="1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</row>
    <row r="1694" spans="1:20" ht="45.75" customHeight="1" x14ac:dyDescent="0.3">
      <c r="A1694" s="1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</row>
    <row r="1695" spans="1:20" ht="45.75" customHeight="1" x14ac:dyDescent="0.3">
      <c r="A1695" s="1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</row>
    <row r="1696" spans="1:20" ht="45.75" customHeight="1" x14ac:dyDescent="0.3">
      <c r="A1696" s="1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</row>
    <row r="1697" spans="1:20" ht="45.75" customHeight="1" x14ac:dyDescent="0.3">
      <c r="A1697" s="1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</row>
    <row r="1698" spans="1:20" ht="45.75" customHeight="1" x14ac:dyDescent="0.3">
      <c r="A1698" s="1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</row>
    <row r="1699" spans="1:20" ht="45.75" customHeight="1" x14ac:dyDescent="0.3">
      <c r="A1699" s="1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</row>
    <row r="1700" spans="1:20" ht="45.75" customHeight="1" x14ac:dyDescent="0.3">
      <c r="A1700" s="1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</row>
    <row r="1701" spans="1:20" ht="45.75" customHeight="1" x14ac:dyDescent="0.3">
      <c r="A1701" s="1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</row>
    <row r="1702" spans="1:20" ht="45.75" customHeight="1" x14ac:dyDescent="0.3">
      <c r="A1702" s="1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</row>
    <row r="1703" spans="1:20" ht="45.75" customHeight="1" x14ac:dyDescent="0.3">
      <c r="A1703" s="1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</row>
    <row r="1704" spans="1:20" ht="45.75" customHeight="1" x14ac:dyDescent="0.3">
      <c r="A1704" s="1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</row>
    <row r="1705" spans="1:20" ht="45.75" customHeight="1" x14ac:dyDescent="0.3">
      <c r="A1705" s="1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</row>
    <row r="1706" spans="1:20" ht="45.75" customHeight="1" x14ac:dyDescent="0.3">
      <c r="A1706" s="1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</row>
    <row r="1707" spans="1:20" ht="45.75" customHeight="1" x14ac:dyDescent="0.3">
      <c r="A1707" s="1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</row>
    <row r="1708" spans="1:20" ht="45.75" customHeight="1" x14ac:dyDescent="0.3">
      <c r="A1708" s="1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</row>
    <row r="1709" spans="1:20" ht="45.75" customHeight="1" x14ac:dyDescent="0.3">
      <c r="A1709" s="1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</row>
    <row r="1710" spans="1:20" ht="45.75" customHeight="1" x14ac:dyDescent="0.3">
      <c r="A1710" s="1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</row>
    <row r="1711" spans="1:20" ht="45.75" customHeight="1" x14ac:dyDescent="0.3">
      <c r="A1711" s="1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</row>
    <row r="1712" spans="1:20" ht="45.75" customHeight="1" x14ac:dyDescent="0.3">
      <c r="A1712" s="1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</row>
    <row r="1713" spans="1:20" ht="45.75" customHeight="1" x14ac:dyDescent="0.3">
      <c r="A1713" s="1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</row>
    <row r="1714" spans="1:20" ht="45.75" customHeight="1" x14ac:dyDescent="0.3">
      <c r="A1714" s="1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</row>
    <row r="1715" spans="1:20" ht="45.75" customHeight="1" x14ac:dyDescent="0.3">
      <c r="A1715" s="1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</row>
    <row r="1716" spans="1:20" ht="45.75" customHeight="1" x14ac:dyDescent="0.3">
      <c r="A1716" s="1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</row>
    <row r="1717" spans="1:20" ht="45.75" customHeight="1" x14ac:dyDescent="0.3">
      <c r="A1717" s="1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</row>
    <row r="1718" spans="1:20" ht="45.75" customHeight="1" x14ac:dyDescent="0.3">
      <c r="A1718" s="1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</row>
    <row r="1719" spans="1:20" ht="45.75" customHeight="1" x14ac:dyDescent="0.3">
      <c r="A1719" s="1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</row>
    <row r="1720" spans="1:20" ht="45.75" customHeight="1" x14ac:dyDescent="0.3">
      <c r="A1720" s="1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</row>
    <row r="1721" spans="1:20" ht="45.75" customHeight="1" x14ac:dyDescent="0.3">
      <c r="A1721" s="1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</row>
    <row r="1722" spans="1:20" ht="45.75" customHeight="1" x14ac:dyDescent="0.3">
      <c r="A1722" s="1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</row>
    <row r="1723" spans="1:20" ht="45.75" customHeight="1" x14ac:dyDescent="0.3">
      <c r="A1723" s="1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</row>
    <row r="1724" spans="1:20" ht="45.75" customHeight="1" x14ac:dyDescent="0.3">
      <c r="A1724" s="1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</row>
    <row r="1725" spans="1:20" ht="45.75" customHeight="1" x14ac:dyDescent="0.3">
      <c r="A1725" s="1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</row>
    <row r="1726" spans="1:20" ht="45.75" customHeight="1" x14ac:dyDescent="0.3">
      <c r="A1726" s="1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</row>
    <row r="1727" spans="1:20" ht="45.75" customHeight="1" x14ac:dyDescent="0.3">
      <c r="A1727" s="1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</row>
    <row r="1728" spans="1:20" ht="45.75" customHeight="1" x14ac:dyDescent="0.3">
      <c r="A1728" s="1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</row>
    <row r="1729" spans="1:20" ht="45.75" customHeight="1" x14ac:dyDescent="0.3">
      <c r="A1729" s="1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</row>
    <row r="1730" spans="1:20" ht="45.75" customHeight="1" x14ac:dyDescent="0.3">
      <c r="A1730" s="1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</row>
    <row r="1731" spans="1:20" ht="45.75" customHeight="1" x14ac:dyDescent="0.3">
      <c r="A1731" s="1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</row>
    <row r="1732" spans="1:20" ht="45.75" customHeight="1" x14ac:dyDescent="0.3">
      <c r="A1732" s="1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</row>
    <row r="1733" spans="1:20" ht="45.75" customHeight="1" x14ac:dyDescent="0.3">
      <c r="A1733" s="1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</row>
    <row r="1734" spans="1:20" ht="45.75" customHeight="1" x14ac:dyDescent="0.3">
      <c r="A1734" s="1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</row>
    <row r="1735" spans="1:20" ht="45.75" customHeight="1" x14ac:dyDescent="0.3">
      <c r="A1735" s="1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</row>
    <row r="1736" spans="1:20" ht="45.75" customHeight="1" x14ac:dyDescent="0.3">
      <c r="A1736" s="1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</row>
    <row r="1737" spans="1:20" ht="45.75" customHeight="1" x14ac:dyDescent="0.3">
      <c r="A1737" s="1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</row>
    <row r="1738" spans="1:20" ht="45.75" customHeight="1" x14ac:dyDescent="0.3">
      <c r="A1738" s="1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</row>
    <row r="1739" spans="1:20" ht="45.75" customHeight="1" x14ac:dyDescent="0.3">
      <c r="A1739" s="1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</row>
    <row r="1740" spans="1:20" ht="45.75" customHeight="1" x14ac:dyDescent="0.3">
      <c r="A1740" s="1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</row>
    <row r="1741" spans="1:20" ht="45.75" customHeight="1" x14ac:dyDescent="0.3">
      <c r="A1741" s="1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</row>
    <row r="1742" spans="1:20" ht="45.75" customHeight="1" x14ac:dyDescent="0.3">
      <c r="A1742" s="1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</row>
    <row r="1743" spans="1:20" ht="45.75" customHeight="1" x14ac:dyDescent="0.3">
      <c r="A1743" s="1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</row>
    <row r="1744" spans="1:20" ht="45.75" customHeight="1" x14ac:dyDescent="0.3">
      <c r="A1744" s="1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</row>
    <row r="1745" spans="1:20" ht="45.75" customHeight="1" x14ac:dyDescent="0.3">
      <c r="A1745" s="1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</row>
    <row r="1746" spans="1:20" ht="45.75" customHeight="1" x14ac:dyDescent="0.3">
      <c r="A1746" s="1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</row>
    <row r="1747" spans="1:20" ht="45.75" customHeight="1" x14ac:dyDescent="0.3">
      <c r="A1747" s="1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</row>
    <row r="1748" spans="1:20" ht="45.75" customHeight="1" x14ac:dyDescent="0.3">
      <c r="A1748" s="1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</row>
    <row r="1749" spans="1:20" ht="45.75" customHeight="1" x14ac:dyDescent="0.3">
      <c r="A1749" s="1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</row>
    <row r="1750" spans="1:20" ht="45.75" customHeight="1" x14ac:dyDescent="0.3">
      <c r="A1750" s="1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</row>
    <row r="1751" spans="1:20" ht="45.75" customHeight="1" x14ac:dyDescent="0.3">
      <c r="A1751" s="1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</row>
    <row r="1752" spans="1:20" ht="45.75" customHeight="1" x14ac:dyDescent="0.3">
      <c r="A1752" s="1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</row>
    <row r="1753" spans="1:20" ht="45.75" customHeight="1" x14ac:dyDescent="0.3">
      <c r="A1753" s="1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</row>
    <row r="1754" spans="1:20" ht="45.75" customHeight="1" x14ac:dyDescent="0.3">
      <c r="A1754" s="1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</row>
    <row r="1755" spans="1:20" ht="45.75" customHeight="1" x14ac:dyDescent="0.3">
      <c r="A1755" s="1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</row>
    <row r="1756" spans="1:20" ht="45.75" customHeight="1" x14ac:dyDescent="0.3">
      <c r="A1756" s="1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</row>
    <row r="1757" spans="1:20" ht="45.75" customHeight="1" x14ac:dyDescent="0.3">
      <c r="A1757" s="1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</row>
    <row r="1758" spans="1:20" ht="45.75" customHeight="1" x14ac:dyDescent="0.3">
      <c r="A1758" s="1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</row>
    <row r="1759" spans="1:20" ht="45.75" customHeight="1" x14ac:dyDescent="0.3">
      <c r="A1759" s="1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</row>
    <row r="1760" spans="1:20" ht="45.75" customHeight="1" x14ac:dyDescent="0.3">
      <c r="A1760" s="1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</row>
    <row r="1761" spans="1:20" ht="45.75" customHeight="1" x14ac:dyDescent="0.3">
      <c r="A1761" s="1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</row>
    <row r="1762" spans="1:20" ht="45.75" customHeight="1" x14ac:dyDescent="0.3">
      <c r="A1762" s="1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</row>
    <row r="1763" spans="1:20" ht="45.75" customHeight="1" x14ac:dyDescent="0.3">
      <c r="A1763" s="1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</row>
    <row r="1764" spans="1:20" ht="45.75" customHeight="1" x14ac:dyDescent="0.3">
      <c r="A1764" s="1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</row>
    <row r="1765" spans="1:20" ht="45.75" customHeight="1" x14ac:dyDescent="0.3">
      <c r="A1765" s="1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</row>
    <row r="1766" spans="1:20" ht="45.75" customHeight="1" x14ac:dyDescent="0.3">
      <c r="A1766" s="1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</row>
    <row r="1767" spans="1:20" ht="45.75" customHeight="1" x14ac:dyDescent="0.3">
      <c r="A1767" s="1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</row>
    <row r="1768" spans="1:20" ht="45.75" customHeight="1" x14ac:dyDescent="0.3">
      <c r="A1768" s="1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</row>
    <row r="1769" spans="1:20" ht="45.75" customHeight="1" x14ac:dyDescent="0.3">
      <c r="A1769" s="1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</row>
    <row r="1770" spans="1:20" ht="45.75" customHeight="1" x14ac:dyDescent="0.3">
      <c r="A1770" s="1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</row>
    <row r="1771" spans="1:20" ht="45.75" customHeight="1" x14ac:dyDescent="0.3">
      <c r="A1771" s="1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</row>
    <row r="1772" spans="1:20" ht="45.75" customHeight="1" x14ac:dyDescent="0.3">
      <c r="A1772" s="1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</row>
    <row r="1773" spans="1:20" ht="45.75" customHeight="1" x14ac:dyDescent="0.3">
      <c r="A1773" s="1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</row>
    <row r="1774" spans="1:20" ht="45.75" customHeight="1" x14ac:dyDescent="0.3">
      <c r="A1774" s="1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</row>
    <row r="1775" spans="1:20" ht="45.75" customHeight="1" x14ac:dyDescent="0.3">
      <c r="A1775" s="1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</row>
    <row r="1776" spans="1:20" ht="45.75" customHeight="1" x14ac:dyDescent="0.3">
      <c r="A1776" s="1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</row>
    <row r="1777" spans="1:20" ht="45.75" customHeight="1" x14ac:dyDescent="0.3">
      <c r="A1777" s="1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</row>
    <row r="1778" spans="1:20" ht="45.75" customHeight="1" x14ac:dyDescent="0.3">
      <c r="A1778" s="1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</row>
    <row r="1779" spans="1:20" ht="45.75" customHeight="1" x14ac:dyDescent="0.3">
      <c r="A1779" s="1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</row>
    <row r="1780" spans="1:20" ht="45.75" customHeight="1" x14ac:dyDescent="0.3">
      <c r="A1780" s="1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</row>
    <row r="1781" spans="1:20" ht="45.75" customHeight="1" x14ac:dyDescent="0.3">
      <c r="A1781" s="1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</row>
    <row r="1782" spans="1:20" ht="45.75" customHeight="1" x14ac:dyDescent="0.3">
      <c r="A1782" s="1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</row>
    <row r="1783" spans="1:20" ht="45.75" customHeight="1" x14ac:dyDescent="0.3">
      <c r="A1783" s="1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</row>
    <row r="1784" spans="1:20" ht="45.75" customHeight="1" x14ac:dyDescent="0.3">
      <c r="A1784" s="1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</row>
    <row r="1785" spans="1:20" ht="45.75" customHeight="1" x14ac:dyDescent="0.3">
      <c r="A1785" s="1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</row>
    <row r="1786" spans="1:20" ht="45.75" customHeight="1" x14ac:dyDescent="0.3">
      <c r="A1786" s="1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</row>
    <row r="1787" spans="1:20" ht="45.75" customHeight="1" x14ac:dyDescent="0.3">
      <c r="A1787" s="1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</row>
    <row r="1788" spans="1:20" ht="45.75" customHeight="1" x14ac:dyDescent="0.3">
      <c r="A1788" s="1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</row>
    <row r="1789" spans="1:20" ht="45.75" customHeight="1" x14ac:dyDescent="0.3">
      <c r="A1789" s="1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</row>
    <row r="1790" spans="1:20" ht="45.75" customHeight="1" x14ac:dyDescent="0.3">
      <c r="A1790" s="1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</row>
    <row r="1791" spans="1:20" ht="45.75" customHeight="1" x14ac:dyDescent="0.3">
      <c r="A1791" s="1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</row>
    <row r="1792" spans="1:20" ht="45.75" customHeight="1" x14ac:dyDescent="0.3">
      <c r="A1792" s="1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</row>
    <row r="1793" spans="1:20" ht="45.75" customHeight="1" x14ac:dyDescent="0.3">
      <c r="A1793" s="1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</row>
    <row r="1794" spans="1:20" ht="45.75" customHeight="1" x14ac:dyDescent="0.3">
      <c r="A1794" s="1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</row>
    <row r="1795" spans="1:20" ht="45.75" customHeight="1" x14ac:dyDescent="0.3">
      <c r="A1795" s="1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</row>
    <row r="1796" spans="1:20" ht="45.75" customHeight="1" x14ac:dyDescent="0.3">
      <c r="A1796" s="1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</row>
    <row r="1797" spans="1:20" ht="45.75" customHeight="1" x14ac:dyDescent="0.3">
      <c r="A1797" s="1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</row>
    <row r="1798" spans="1:20" ht="45.75" customHeight="1" x14ac:dyDescent="0.3">
      <c r="A1798" s="1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</row>
    <row r="1799" spans="1:20" ht="45.75" customHeight="1" x14ac:dyDescent="0.3">
      <c r="A1799" s="1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</row>
    <row r="1800" spans="1:20" ht="45.75" customHeight="1" x14ac:dyDescent="0.3">
      <c r="A1800" s="1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</row>
    <row r="1801" spans="1:20" ht="45.75" customHeight="1" x14ac:dyDescent="0.3">
      <c r="A1801" s="1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</row>
    <row r="1802" spans="1:20" ht="45.75" customHeight="1" x14ac:dyDescent="0.3">
      <c r="A1802" s="1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</row>
    <row r="1803" spans="1:20" ht="45.75" customHeight="1" x14ac:dyDescent="0.3">
      <c r="A1803" s="1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</row>
    <row r="1804" spans="1:20" ht="45.75" customHeight="1" x14ac:dyDescent="0.3">
      <c r="A1804" s="1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</row>
    <row r="1805" spans="1:20" ht="45.75" customHeight="1" x14ac:dyDescent="0.3">
      <c r="A1805" s="1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</row>
    <row r="1806" spans="1:20" ht="45.75" customHeight="1" x14ac:dyDescent="0.3">
      <c r="A1806" s="1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</row>
    <row r="1807" spans="1:20" ht="45.75" customHeight="1" x14ac:dyDescent="0.3">
      <c r="A1807" s="1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</row>
    <row r="1808" spans="1:20" ht="45.75" customHeight="1" x14ac:dyDescent="0.3">
      <c r="A1808" s="1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</row>
    <row r="1809" spans="1:20" ht="45.75" customHeight="1" x14ac:dyDescent="0.3">
      <c r="A1809" s="1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</row>
    <row r="1810" spans="1:20" ht="45.75" customHeight="1" x14ac:dyDescent="0.3">
      <c r="A1810" s="1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</row>
    <row r="1811" spans="1:20" ht="45.75" customHeight="1" x14ac:dyDescent="0.3">
      <c r="A1811" s="1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</row>
    <row r="1812" spans="1:20" ht="45.75" customHeight="1" x14ac:dyDescent="0.3">
      <c r="A1812" s="1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</row>
    <row r="1813" spans="1:20" ht="45.75" customHeight="1" x14ac:dyDescent="0.3">
      <c r="A1813" s="1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</row>
    <row r="1814" spans="1:20" ht="45.75" customHeight="1" x14ac:dyDescent="0.3">
      <c r="A1814" s="1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</row>
    <row r="1815" spans="1:20" ht="45.75" customHeight="1" x14ac:dyDescent="0.3">
      <c r="A1815" s="1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</row>
    <row r="1816" spans="1:20" ht="45.75" customHeight="1" x14ac:dyDescent="0.3">
      <c r="A1816" s="1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</row>
    <row r="1817" spans="1:20" ht="45.75" customHeight="1" x14ac:dyDescent="0.3">
      <c r="A1817" s="1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</row>
    <row r="1818" spans="1:20" ht="45.75" customHeight="1" x14ac:dyDescent="0.3">
      <c r="A1818" s="1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</row>
    <row r="1819" spans="1:20" ht="45.75" customHeight="1" x14ac:dyDescent="0.3">
      <c r="A1819" s="1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</row>
    <row r="1820" spans="1:20" ht="45.75" customHeight="1" x14ac:dyDescent="0.3">
      <c r="A1820" s="1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</row>
    <row r="1821" spans="1:20" ht="45.75" customHeight="1" x14ac:dyDescent="0.3">
      <c r="A1821" s="1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</row>
    <row r="1822" spans="1:20" ht="45.75" customHeight="1" x14ac:dyDescent="0.3">
      <c r="A1822" s="1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</row>
    <row r="1823" spans="1:20" ht="45.75" customHeight="1" x14ac:dyDescent="0.3">
      <c r="A1823" s="1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</row>
    <row r="1824" spans="1:20" ht="45.75" customHeight="1" x14ac:dyDescent="0.3">
      <c r="A1824" s="1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</row>
    <row r="1825" spans="1:20" ht="45.75" customHeight="1" x14ac:dyDescent="0.3">
      <c r="A1825" s="1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</row>
    <row r="1826" spans="1:20" ht="45.75" customHeight="1" x14ac:dyDescent="0.3">
      <c r="A1826" s="1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</row>
    <row r="1827" spans="1:20" ht="45.75" customHeight="1" x14ac:dyDescent="0.3">
      <c r="A1827" s="1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</row>
    <row r="1828" spans="1:20" ht="45.75" customHeight="1" x14ac:dyDescent="0.3">
      <c r="A1828" s="1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</row>
    <row r="1829" spans="1:20" ht="45.75" customHeight="1" x14ac:dyDescent="0.3">
      <c r="A1829" s="1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</row>
    <row r="1830" spans="1:20" ht="45.75" customHeight="1" x14ac:dyDescent="0.3">
      <c r="A1830" s="1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</row>
    <row r="1831" spans="1:20" ht="45.75" customHeight="1" x14ac:dyDescent="0.3">
      <c r="A1831" s="1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</row>
    <row r="1832" spans="1:20" ht="45.75" customHeight="1" x14ac:dyDescent="0.3">
      <c r="A1832" s="1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</row>
    <row r="1833" spans="1:20" ht="45.75" customHeight="1" x14ac:dyDescent="0.3">
      <c r="A1833" s="1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</row>
    <row r="1834" spans="1:20" ht="45.75" customHeight="1" x14ac:dyDescent="0.3">
      <c r="A1834" s="1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</row>
    <row r="1835" spans="1:20" ht="45.75" customHeight="1" x14ac:dyDescent="0.3">
      <c r="A1835" s="1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</row>
    <row r="1836" spans="1:20" ht="45.75" customHeight="1" x14ac:dyDescent="0.3">
      <c r="A1836" s="1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</row>
    <row r="1837" spans="1:20" ht="45.75" customHeight="1" x14ac:dyDescent="0.3">
      <c r="A1837" s="1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</row>
    <row r="1838" spans="1:20" ht="45.75" customHeight="1" x14ac:dyDescent="0.3">
      <c r="A1838" s="1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</row>
    <row r="1839" spans="1:20" ht="45.75" customHeight="1" x14ac:dyDescent="0.3">
      <c r="A1839" s="1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</row>
    <row r="1840" spans="1:20" ht="45.75" customHeight="1" x14ac:dyDescent="0.3">
      <c r="A1840" s="1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</row>
    <row r="1841" spans="1:20" ht="45.75" customHeight="1" x14ac:dyDescent="0.3">
      <c r="A1841" s="1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</row>
    <row r="1842" spans="1:20" ht="45.75" customHeight="1" x14ac:dyDescent="0.3">
      <c r="A1842" s="1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</row>
    <row r="1843" spans="1:20" ht="45.75" customHeight="1" x14ac:dyDescent="0.3">
      <c r="A1843" s="1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</row>
    <row r="1844" spans="1:20" ht="45.75" customHeight="1" x14ac:dyDescent="0.3">
      <c r="A1844" s="1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</row>
    <row r="1845" spans="1:20" ht="45.75" customHeight="1" x14ac:dyDescent="0.3">
      <c r="A1845" s="1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</row>
    <row r="1846" spans="1:20" ht="45.75" customHeight="1" x14ac:dyDescent="0.3">
      <c r="A1846" s="1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</row>
    <row r="1847" spans="1:20" ht="45.75" customHeight="1" x14ac:dyDescent="0.3">
      <c r="A1847" s="1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</row>
    <row r="1848" spans="1:20" ht="45.75" customHeight="1" x14ac:dyDescent="0.3">
      <c r="A1848" s="1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</row>
    <row r="1849" spans="1:20" ht="45.75" customHeight="1" x14ac:dyDescent="0.3">
      <c r="A1849" s="1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</row>
    <row r="1850" spans="1:20" ht="45.75" customHeight="1" x14ac:dyDescent="0.3">
      <c r="A1850" s="1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</row>
    <row r="1851" spans="1:20" ht="45.75" customHeight="1" x14ac:dyDescent="0.3">
      <c r="A1851" s="1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</row>
    <row r="1852" spans="1:20" ht="45.75" customHeight="1" x14ac:dyDescent="0.3">
      <c r="A1852" s="1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</row>
    <row r="1853" spans="1:20" ht="45.75" customHeight="1" x14ac:dyDescent="0.3">
      <c r="A1853" s="1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</row>
    <row r="1854" spans="1:20" ht="45.75" customHeight="1" x14ac:dyDescent="0.3">
      <c r="A1854" s="1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</row>
    <row r="1855" spans="1:20" ht="45.75" customHeight="1" x14ac:dyDescent="0.3">
      <c r="A1855" s="1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</row>
    <row r="1856" spans="1:20" ht="45.75" customHeight="1" x14ac:dyDescent="0.3">
      <c r="A1856" s="1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</row>
    <row r="1857" spans="1:20" ht="45.75" customHeight="1" x14ac:dyDescent="0.3">
      <c r="A1857" s="1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</row>
    <row r="1858" spans="1:20" ht="45.75" customHeight="1" x14ac:dyDescent="0.3">
      <c r="A1858" s="1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</row>
    <row r="1859" spans="1:20" ht="45.75" customHeight="1" x14ac:dyDescent="0.3">
      <c r="A1859" s="1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</row>
    <row r="1860" spans="1:20" ht="45.75" customHeight="1" x14ac:dyDescent="0.3">
      <c r="A1860" s="1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</row>
    <row r="1861" spans="1:20" ht="45.75" customHeight="1" x14ac:dyDescent="0.3">
      <c r="A1861" s="1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</row>
    <row r="1862" spans="1:20" ht="45.75" customHeight="1" x14ac:dyDescent="0.3">
      <c r="A1862" s="1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</row>
    <row r="1863" spans="1:20" ht="45.75" customHeight="1" x14ac:dyDescent="0.3">
      <c r="A1863" s="1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</row>
    <row r="1864" spans="1:20" ht="45.75" customHeight="1" x14ac:dyDescent="0.3">
      <c r="A1864" s="1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</row>
    <row r="1865" spans="1:20" ht="45.75" customHeight="1" x14ac:dyDescent="0.3">
      <c r="A1865" s="1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</row>
    <row r="1866" spans="1:20" ht="45.75" customHeight="1" x14ac:dyDescent="0.3">
      <c r="A1866" s="1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</row>
    <row r="1867" spans="1:20" ht="45.75" customHeight="1" x14ac:dyDescent="0.3">
      <c r="A1867" s="1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</row>
    <row r="1868" spans="1:20" ht="45.75" customHeight="1" x14ac:dyDescent="0.3">
      <c r="A1868" s="1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</row>
    <row r="1869" spans="1:20" ht="45.75" customHeight="1" x14ac:dyDescent="0.3">
      <c r="A1869" s="1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</row>
    <row r="1870" spans="1:20" ht="45.75" customHeight="1" x14ac:dyDescent="0.3">
      <c r="A1870" s="1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</row>
    <row r="1871" spans="1:20" ht="45.75" customHeight="1" x14ac:dyDescent="0.3">
      <c r="A1871" s="1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</row>
    <row r="1872" spans="1:20" ht="45.75" customHeight="1" x14ac:dyDescent="0.3">
      <c r="A1872" s="1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</row>
    <row r="1873" spans="1:20" ht="45.75" customHeight="1" x14ac:dyDescent="0.3">
      <c r="A1873" s="1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</row>
    <row r="1874" spans="1:20" ht="45.75" customHeight="1" x14ac:dyDescent="0.3">
      <c r="A1874" s="1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</row>
    <row r="1875" spans="1:20" ht="45.75" customHeight="1" x14ac:dyDescent="0.3">
      <c r="A1875" s="1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</row>
    <row r="1876" spans="1:20" ht="45.75" customHeight="1" x14ac:dyDescent="0.3">
      <c r="A1876" s="1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</row>
    <row r="1877" spans="1:20" ht="45.75" customHeight="1" x14ac:dyDescent="0.3">
      <c r="A1877" s="1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</row>
    <row r="1878" spans="1:20" ht="45.75" customHeight="1" x14ac:dyDescent="0.3">
      <c r="A1878" s="1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</row>
    <row r="1879" spans="1:20" ht="45.75" customHeight="1" x14ac:dyDescent="0.3">
      <c r="A1879" s="1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</row>
    <row r="1880" spans="1:20" ht="45.75" customHeight="1" x14ac:dyDescent="0.3">
      <c r="A1880" s="1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</row>
    <row r="1881" spans="1:20" ht="45.75" customHeight="1" x14ac:dyDescent="0.3">
      <c r="A1881" s="1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</row>
    <row r="1882" spans="1:20" ht="45.75" customHeight="1" x14ac:dyDescent="0.3">
      <c r="A1882" s="1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</row>
    <row r="1883" spans="1:20" ht="45.75" customHeight="1" x14ac:dyDescent="0.3">
      <c r="A1883" s="1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</row>
    <row r="1884" spans="1:20" ht="45.75" customHeight="1" x14ac:dyDescent="0.3">
      <c r="A1884" s="1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</row>
    <row r="1885" spans="1:20" ht="45.75" customHeight="1" x14ac:dyDescent="0.3">
      <c r="A1885" s="1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</row>
    <row r="1886" spans="1:20" ht="45.75" customHeight="1" x14ac:dyDescent="0.3">
      <c r="A1886" s="1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</row>
    <row r="1887" spans="1:20" ht="45.75" customHeight="1" x14ac:dyDescent="0.3">
      <c r="A1887" s="1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</row>
    <row r="1888" spans="1:20" ht="45.75" customHeight="1" x14ac:dyDescent="0.3">
      <c r="A1888" s="1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</row>
    <row r="1889" spans="1:20" ht="45.75" customHeight="1" x14ac:dyDescent="0.3">
      <c r="A1889" s="1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</row>
    <row r="1890" spans="1:20" ht="45.75" customHeight="1" x14ac:dyDescent="0.3">
      <c r="A1890" s="1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</row>
    <row r="1891" spans="1:20" ht="45.75" customHeight="1" x14ac:dyDescent="0.3">
      <c r="A1891" s="1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</row>
    <row r="1892" spans="1:20" ht="45.75" customHeight="1" x14ac:dyDescent="0.3">
      <c r="A1892" s="1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</row>
    <row r="1893" spans="1:20" ht="45.75" customHeight="1" x14ac:dyDescent="0.3">
      <c r="A1893" s="1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</row>
    <row r="1894" spans="1:20" ht="45.75" customHeight="1" x14ac:dyDescent="0.3">
      <c r="A1894" s="1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</row>
    <row r="1895" spans="1:20" ht="45.75" customHeight="1" x14ac:dyDescent="0.3">
      <c r="A1895" s="1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</row>
    <row r="1896" spans="1:20" ht="45.75" customHeight="1" x14ac:dyDescent="0.3">
      <c r="A1896" s="1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</row>
    <row r="1897" spans="1:20" ht="45.75" customHeight="1" x14ac:dyDescent="0.3">
      <c r="A1897" s="1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</row>
    <row r="1898" spans="1:20" ht="45.75" customHeight="1" x14ac:dyDescent="0.3">
      <c r="A1898" s="1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</row>
    <row r="1899" spans="1:20" ht="45.75" customHeight="1" x14ac:dyDescent="0.3">
      <c r="A1899" s="1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</row>
    <row r="1900" spans="1:20" ht="45.75" customHeight="1" x14ac:dyDescent="0.3">
      <c r="A1900" s="1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</row>
    <row r="1901" spans="1:20" ht="45.75" customHeight="1" x14ac:dyDescent="0.3">
      <c r="A1901" s="1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</row>
    <row r="1902" spans="1:20" ht="45.75" customHeight="1" x14ac:dyDescent="0.3">
      <c r="A1902" s="1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</row>
    <row r="1903" spans="1:20" ht="45.75" customHeight="1" x14ac:dyDescent="0.3">
      <c r="A1903" s="1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</row>
    <row r="1904" spans="1:20" ht="45.75" customHeight="1" x14ac:dyDescent="0.3">
      <c r="A1904" s="1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</row>
    <row r="1905" spans="1:20" ht="45.75" customHeight="1" x14ac:dyDescent="0.3">
      <c r="A1905" s="1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</row>
    <row r="1906" spans="1:20" ht="45.75" customHeight="1" x14ac:dyDescent="0.3">
      <c r="A1906" s="1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</row>
    <row r="1907" spans="1:20" ht="45.75" customHeight="1" x14ac:dyDescent="0.3">
      <c r="A1907" s="1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</row>
    <row r="1908" spans="1:20" ht="45.75" customHeight="1" x14ac:dyDescent="0.3">
      <c r="A1908" s="1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</row>
    <row r="1909" spans="1:20" ht="45.75" customHeight="1" x14ac:dyDescent="0.3">
      <c r="A1909" s="1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</row>
    <row r="1910" spans="1:20" ht="45.75" customHeight="1" x14ac:dyDescent="0.3">
      <c r="A1910" s="1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</row>
    <row r="1911" spans="1:20" ht="45.75" customHeight="1" x14ac:dyDescent="0.3">
      <c r="A1911" s="1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</row>
    <row r="1912" spans="1:20" ht="45.75" customHeight="1" x14ac:dyDescent="0.3">
      <c r="A1912" s="1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</row>
    <row r="1913" spans="1:20" ht="45.75" customHeight="1" x14ac:dyDescent="0.3">
      <c r="A1913" s="1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</row>
    <row r="1914" spans="1:20" ht="45.75" customHeight="1" x14ac:dyDescent="0.3">
      <c r="A1914" s="1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</row>
    <row r="1915" spans="1:20" ht="45.75" customHeight="1" x14ac:dyDescent="0.3">
      <c r="A1915" s="1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</row>
    <row r="1916" spans="1:20" ht="45.75" customHeight="1" x14ac:dyDescent="0.3">
      <c r="A1916" s="1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</row>
    <row r="1917" spans="1:20" ht="45.75" customHeight="1" x14ac:dyDescent="0.3">
      <c r="A1917" s="1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</row>
    <row r="1918" spans="1:20" ht="45.75" customHeight="1" x14ac:dyDescent="0.3">
      <c r="A1918" s="1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</row>
    <row r="1919" spans="1:20" ht="45.75" customHeight="1" x14ac:dyDescent="0.3">
      <c r="A1919" s="1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</row>
    <row r="1920" spans="1:20" ht="45.75" customHeight="1" x14ac:dyDescent="0.3">
      <c r="A1920" s="1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</row>
    <row r="1921" spans="1:20" ht="45.75" customHeight="1" x14ac:dyDescent="0.3">
      <c r="A1921" s="1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</row>
    <row r="1922" spans="1:20" ht="45.75" customHeight="1" x14ac:dyDescent="0.3">
      <c r="A1922" s="1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</row>
    <row r="1923" spans="1:20" ht="45.75" customHeight="1" x14ac:dyDescent="0.3">
      <c r="A1923" s="1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</row>
    <row r="1924" spans="1:20" ht="45.75" customHeight="1" x14ac:dyDescent="0.3">
      <c r="A1924" s="1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</row>
    <row r="1925" spans="1:20" ht="45.75" customHeight="1" x14ac:dyDescent="0.3">
      <c r="A1925" s="1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</row>
    <row r="1926" spans="1:20" ht="45.75" customHeight="1" x14ac:dyDescent="0.3">
      <c r="A1926" s="1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</row>
    <row r="1927" spans="1:20" ht="45.75" customHeight="1" x14ac:dyDescent="0.3">
      <c r="A1927" s="1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</row>
    <row r="1928" spans="1:20" ht="45.75" customHeight="1" x14ac:dyDescent="0.3">
      <c r="A1928" s="1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</row>
    <row r="1929" spans="1:20" ht="45.75" customHeight="1" x14ac:dyDescent="0.3">
      <c r="A1929" s="1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</row>
    <row r="1930" spans="1:20" ht="45.75" customHeight="1" x14ac:dyDescent="0.3">
      <c r="A1930" s="1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</row>
    <row r="1931" spans="1:20" ht="45.75" customHeight="1" x14ac:dyDescent="0.3">
      <c r="A1931" s="1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</row>
    <row r="1932" spans="1:20" ht="45.75" customHeight="1" x14ac:dyDescent="0.3">
      <c r="A1932" s="1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</row>
    <row r="1933" spans="1:20" ht="45.75" customHeight="1" x14ac:dyDescent="0.3">
      <c r="A1933" s="1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</row>
    <row r="1934" spans="1:20" ht="45.75" customHeight="1" x14ac:dyDescent="0.3">
      <c r="A1934" s="1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</row>
    <row r="1935" spans="1:20" ht="45.75" customHeight="1" x14ac:dyDescent="0.3">
      <c r="A1935" s="1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</row>
    <row r="1936" spans="1:20" ht="45.75" customHeight="1" x14ac:dyDescent="0.3">
      <c r="A1936" s="1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</row>
    <row r="1937" spans="1:20" ht="45.75" customHeight="1" x14ac:dyDescent="0.3">
      <c r="A1937" s="1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</row>
    <row r="1938" spans="1:20" ht="45.75" customHeight="1" x14ac:dyDescent="0.3">
      <c r="A1938" s="1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</row>
    <row r="1939" spans="1:20" ht="45.75" customHeight="1" x14ac:dyDescent="0.3">
      <c r="A1939" s="1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</row>
    <row r="1940" spans="1:20" ht="45.75" customHeight="1" x14ac:dyDescent="0.3">
      <c r="A1940" s="1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</row>
    <row r="1941" spans="1:20" ht="45.75" customHeight="1" x14ac:dyDescent="0.3">
      <c r="A1941" s="1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</row>
    <row r="1942" spans="1:20" ht="45.75" customHeight="1" x14ac:dyDescent="0.3">
      <c r="A1942" s="1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</row>
    <row r="1943" spans="1:20" ht="45.75" customHeight="1" x14ac:dyDescent="0.3">
      <c r="A1943" s="1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</row>
    <row r="1944" spans="1:20" ht="45.75" customHeight="1" x14ac:dyDescent="0.3">
      <c r="A1944" s="1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</row>
    <row r="1945" spans="1:20" ht="45.75" customHeight="1" x14ac:dyDescent="0.3">
      <c r="A1945" s="1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</row>
    <row r="1946" spans="1:20" ht="45.75" customHeight="1" x14ac:dyDescent="0.3">
      <c r="A1946" s="1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</row>
    <row r="1947" spans="1:20" ht="45.75" customHeight="1" x14ac:dyDescent="0.3">
      <c r="A1947" s="1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</row>
    <row r="1948" spans="1:20" ht="45.75" customHeight="1" x14ac:dyDescent="0.3">
      <c r="A1948" s="1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</row>
    <row r="1949" spans="1:20" ht="45.75" customHeight="1" x14ac:dyDescent="0.3">
      <c r="A1949" s="1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</row>
    <row r="1950" spans="1:20" ht="45.75" customHeight="1" x14ac:dyDescent="0.3">
      <c r="A1950" s="1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</row>
    <row r="1951" spans="1:20" ht="45.75" customHeight="1" x14ac:dyDescent="0.3">
      <c r="A1951" s="1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</row>
    <row r="1952" spans="1:20" ht="45.75" customHeight="1" x14ac:dyDescent="0.3">
      <c r="A1952" s="1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</row>
    <row r="1953" spans="1:20" ht="45.75" customHeight="1" x14ac:dyDescent="0.3">
      <c r="A1953" s="1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</row>
    <row r="1954" spans="1:20" ht="45.75" customHeight="1" x14ac:dyDescent="0.3">
      <c r="A1954" s="1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</row>
    <row r="1955" spans="1:20" ht="45.75" customHeight="1" x14ac:dyDescent="0.3">
      <c r="A1955" s="1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</row>
    <row r="1956" spans="1:20" ht="45.75" customHeight="1" x14ac:dyDescent="0.3">
      <c r="A1956" s="1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</row>
    <row r="1957" spans="1:20" ht="45.75" customHeight="1" x14ac:dyDescent="0.3">
      <c r="A1957" s="1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</row>
    <row r="1958" spans="1:20" ht="45.75" customHeight="1" x14ac:dyDescent="0.3">
      <c r="A1958" s="1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</row>
    <row r="1959" spans="1:20" ht="45.75" customHeight="1" x14ac:dyDescent="0.3">
      <c r="A1959" s="1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</row>
    <row r="1960" spans="1:20" ht="45.75" customHeight="1" x14ac:dyDescent="0.3">
      <c r="A1960" s="1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</row>
    <row r="1961" spans="1:20" ht="45.75" customHeight="1" x14ac:dyDescent="0.3">
      <c r="A1961" s="1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</row>
    <row r="1962" spans="1:20" ht="45.75" customHeight="1" x14ac:dyDescent="0.3">
      <c r="A1962" s="1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</row>
    <row r="1963" spans="1:20" ht="45.75" customHeight="1" x14ac:dyDescent="0.3">
      <c r="A1963" s="1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</row>
    <row r="1964" spans="1:20" ht="45.75" customHeight="1" x14ac:dyDescent="0.3">
      <c r="A1964" s="1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</row>
    <row r="1965" spans="1:20" ht="45.75" customHeight="1" x14ac:dyDescent="0.3">
      <c r="A1965" s="1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</row>
    <row r="1966" spans="1:20" ht="45.75" customHeight="1" x14ac:dyDescent="0.3">
      <c r="A1966" s="1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</row>
    <row r="1967" spans="1:20" ht="45.75" customHeight="1" x14ac:dyDescent="0.3">
      <c r="A1967" s="1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</row>
    <row r="1968" spans="1:20" ht="45.75" customHeight="1" x14ac:dyDescent="0.3">
      <c r="A1968" s="1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</row>
    <row r="1969" spans="1:20" ht="45.75" customHeight="1" x14ac:dyDescent="0.3">
      <c r="A1969" s="1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</row>
    <row r="1970" spans="1:20" ht="45.75" customHeight="1" x14ac:dyDescent="0.3">
      <c r="A1970" s="1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</row>
    <row r="1971" spans="1:20" ht="45.75" customHeight="1" x14ac:dyDescent="0.3">
      <c r="A1971" s="1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</row>
    <row r="1972" spans="1:20" ht="45.75" customHeight="1" x14ac:dyDescent="0.3">
      <c r="A1972" s="1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</row>
    <row r="1973" spans="1:20" ht="45.75" customHeight="1" x14ac:dyDescent="0.3">
      <c r="A1973" s="1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</row>
    <row r="1974" spans="1:20" ht="45.75" customHeight="1" x14ac:dyDescent="0.3">
      <c r="A1974" s="1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</row>
    <row r="1975" spans="1:20" ht="45.75" customHeight="1" x14ac:dyDescent="0.3">
      <c r="A1975" s="1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</row>
    <row r="1976" spans="1:20" ht="45.75" customHeight="1" x14ac:dyDescent="0.3">
      <c r="A1976" s="1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</row>
    <row r="1977" spans="1:20" ht="45.75" customHeight="1" x14ac:dyDescent="0.3">
      <c r="A1977" s="1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</row>
    <row r="1978" spans="1:20" ht="45.75" customHeight="1" x14ac:dyDescent="0.3">
      <c r="A1978" s="1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</row>
    <row r="1979" spans="1:20" ht="45.75" customHeight="1" x14ac:dyDescent="0.3">
      <c r="A1979" s="1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</row>
    <row r="1980" spans="1:20" ht="45.75" customHeight="1" x14ac:dyDescent="0.3">
      <c r="A1980" s="1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</row>
    <row r="1981" spans="1:20" ht="45.75" customHeight="1" x14ac:dyDescent="0.3">
      <c r="A1981" s="1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</row>
    <row r="1982" spans="1:20" ht="45.75" customHeight="1" x14ac:dyDescent="0.3">
      <c r="A1982" s="1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</row>
    <row r="1983" spans="1:20" ht="45.75" customHeight="1" x14ac:dyDescent="0.3">
      <c r="A1983" s="1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</row>
    <row r="1984" spans="1:20" ht="45.75" customHeight="1" x14ac:dyDescent="0.3">
      <c r="A1984" s="1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</row>
    <row r="1985" spans="1:20" ht="45.75" customHeight="1" x14ac:dyDescent="0.3">
      <c r="A1985" s="1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</row>
    <row r="1986" spans="1:20" ht="45.75" customHeight="1" x14ac:dyDescent="0.3">
      <c r="A1986" s="1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</row>
    <row r="1987" spans="1:20" ht="45.75" customHeight="1" x14ac:dyDescent="0.3">
      <c r="A1987" s="1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</row>
    <row r="1988" spans="1:20" ht="45.75" customHeight="1" x14ac:dyDescent="0.3">
      <c r="A1988" s="1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</row>
    <row r="1989" spans="1:20" ht="45.75" customHeight="1" x14ac:dyDescent="0.3">
      <c r="A1989" s="1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</row>
    <row r="1990" spans="1:20" ht="45.75" customHeight="1" x14ac:dyDescent="0.3">
      <c r="A1990" s="1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</row>
    <row r="1991" spans="1:20" ht="45.75" customHeight="1" x14ac:dyDescent="0.3">
      <c r="A1991" s="1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</row>
    <row r="1992" spans="1:20" ht="45.75" customHeight="1" x14ac:dyDescent="0.3">
      <c r="A1992" s="1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</row>
    <row r="1993" spans="1:20" ht="45.75" customHeight="1" x14ac:dyDescent="0.3">
      <c r="A1993" s="1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</row>
    <row r="1994" spans="1:20" ht="45.75" customHeight="1" x14ac:dyDescent="0.3">
      <c r="A1994" s="1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</row>
    <row r="1995" spans="1:20" ht="45.75" customHeight="1" x14ac:dyDescent="0.3">
      <c r="A1995" s="1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</row>
    <row r="1996" spans="1:20" ht="45.75" customHeight="1" x14ac:dyDescent="0.3">
      <c r="A1996" s="1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</row>
    <row r="1997" spans="1:20" ht="45.75" customHeight="1" x14ac:dyDescent="0.3">
      <c r="A1997" s="1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</row>
    <row r="1998" spans="1:20" ht="45.75" customHeight="1" x14ac:dyDescent="0.3">
      <c r="A1998" s="1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</row>
    <row r="1999" spans="1:20" ht="45.75" customHeight="1" x14ac:dyDescent="0.3">
      <c r="A1999" s="1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</row>
    <row r="2000" spans="1:20" ht="45.75" customHeight="1" x14ac:dyDescent="0.3">
      <c r="A2000" s="1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</row>
    <row r="2001" spans="1:20" ht="45.75" customHeight="1" x14ac:dyDescent="0.3">
      <c r="A2001" s="1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</row>
    <row r="2002" spans="1:20" ht="45.75" customHeight="1" x14ac:dyDescent="0.3">
      <c r="A2002" s="1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</row>
    <row r="2003" spans="1:20" ht="45.75" customHeight="1" x14ac:dyDescent="0.3">
      <c r="A2003" s="1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</row>
    <row r="2004" spans="1:20" ht="45.75" customHeight="1" x14ac:dyDescent="0.3">
      <c r="A2004" s="1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</row>
    <row r="2005" spans="1:20" ht="45.75" customHeight="1" x14ac:dyDescent="0.3">
      <c r="A2005" s="1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</row>
    <row r="2006" spans="1:20" ht="45.75" customHeight="1" x14ac:dyDescent="0.3">
      <c r="A2006" s="1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</row>
    <row r="2007" spans="1:20" ht="45.75" customHeight="1" x14ac:dyDescent="0.3">
      <c r="A2007" s="1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</row>
    <row r="2008" spans="1:20" ht="45.75" customHeight="1" x14ac:dyDescent="0.3">
      <c r="A2008" s="1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</row>
    <row r="2009" spans="1:20" ht="45.75" customHeight="1" x14ac:dyDescent="0.3">
      <c r="A2009" s="1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</row>
    <row r="2010" spans="1:20" ht="45.75" customHeight="1" x14ac:dyDescent="0.3">
      <c r="A2010" s="1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</row>
    <row r="2011" spans="1:20" ht="45.75" customHeight="1" x14ac:dyDescent="0.3">
      <c r="A2011" s="1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</row>
    <row r="2012" spans="1:20" ht="45.75" customHeight="1" x14ac:dyDescent="0.3">
      <c r="A2012" s="1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</row>
    <row r="2013" spans="1:20" ht="45.75" customHeight="1" x14ac:dyDescent="0.3">
      <c r="A2013" s="1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</row>
    <row r="2014" spans="1:20" ht="45.75" customHeight="1" x14ac:dyDescent="0.3">
      <c r="A2014" s="1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</row>
    <row r="2015" spans="1:20" ht="45.75" customHeight="1" x14ac:dyDescent="0.3">
      <c r="A2015" s="1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</row>
    <row r="2016" spans="1:20" ht="45.75" customHeight="1" x14ac:dyDescent="0.3">
      <c r="A2016" s="1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</row>
    <row r="2017" spans="1:20" ht="45.75" customHeight="1" x14ac:dyDescent="0.3">
      <c r="A2017" s="1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</row>
    <row r="2018" spans="1:20" ht="45.75" customHeight="1" x14ac:dyDescent="0.3">
      <c r="A2018" s="1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</row>
    <row r="2019" spans="1:20" ht="45.75" customHeight="1" x14ac:dyDescent="0.3">
      <c r="A2019" s="1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</row>
    <row r="2020" spans="1:20" ht="45.75" customHeight="1" x14ac:dyDescent="0.3">
      <c r="A2020" s="1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</row>
    <row r="2021" spans="1:20" ht="45.75" customHeight="1" x14ac:dyDescent="0.3">
      <c r="A2021" s="1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</row>
    <row r="2022" spans="1:20" ht="45.75" customHeight="1" x14ac:dyDescent="0.3">
      <c r="A2022" s="1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</row>
    <row r="2023" spans="1:20" ht="45.75" customHeight="1" x14ac:dyDescent="0.3">
      <c r="A2023" s="1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</row>
    <row r="2024" spans="1:20" ht="45.75" customHeight="1" x14ac:dyDescent="0.3">
      <c r="A2024" s="1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</row>
    <row r="2025" spans="1:20" ht="45.75" customHeight="1" x14ac:dyDescent="0.3">
      <c r="A2025" s="1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</row>
    <row r="2026" spans="1:20" ht="45.75" customHeight="1" x14ac:dyDescent="0.3">
      <c r="A2026" s="1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</row>
    <row r="2027" spans="1:20" ht="45.75" customHeight="1" x14ac:dyDescent="0.3">
      <c r="A2027" s="1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</row>
    <row r="2028" spans="1:20" ht="45.75" customHeight="1" x14ac:dyDescent="0.3">
      <c r="A2028" s="1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</row>
    <row r="2029" spans="1:20" ht="45.75" customHeight="1" x14ac:dyDescent="0.3">
      <c r="A2029" s="1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</row>
    <row r="2030" spans="1:20" ht="45.75" customHeight="1" x14ac:dyDescent="0.3">
      <c r="A2030" s="1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</row>
    <row r="2031" spans="1:20" ht="45.75" customHeight="1" x14ac:dyDescent="0.3">
      <c r="A2031" s="1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</row>
    <row r="2032" spans="1:20" ht="45.75" customHeight="1" x14ac:dyDescent="0.3">
      <c r="A2032" s="1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</row>
    <row r="2033" spans="1:20" ht="45.75" customHeight="1" x14ac:dyDescent="0.3">
      <c r="A2033" s="1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</row>
    <row r="2034" spans="1:20" ht="45.75" customHeight="1" x14ac:dyDescent="0.3">
      <c r="A2034" s="1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</row>
    <row r="2035" spans="1:20" ht="45.75" customHeight="1" x14ac:dyDescent="0.3">
      <c r="A2035" s="1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</row>
    <row r="2036" spans="1:20" ht="45.75" customHeight="1" x14ac:dyDescent="0.3">
      <c r="A2036" s="1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</row>
    <row r="2037" spans="1:20" ht="45.75" customHeight="1" x14ac:dyDescent="0.3">
      <c r="A2037" s="1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</row>
    <row r="2038" spans="1:20" ht="45.75" customHeight="1" x14ac:dyDescent="0.3">
      <c r="A2038" s="1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</row>
    <row r="2039" spans="1:20" ht="45.75" customHeight="1" x14ac:dyDescent="0.3">
      <c r="A2039" s="1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</row>
    <row r="2040" spans="1:20" ht="45.75" customHeight="1" x14ac:dyDescent="0.3">
      <c r="A2040" s="1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</row>
    <row r="2041" spans="1:20" ht="45.75" customHeight="1" x14ac:dyDescent="0.3">
      <c r="A2041" s="1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</row>
    <row r="2042" spans="1:20" ht="45.75" customHeight="1" x14ac:dyDescent="0.3">
      <c r="A2042" s="1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</row>
    <row r="2043" spans="1:20" ht="45.75" customHeight="1" x14ac:dyDescent="0.3">
      <c r="A2043" s="1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</row>
    <row r="2044" spans="1:20" ht="45.75" customHeight="1" x14ac:dyDescent="0.3">
      <c r="A2044" s="1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</row>
    <row r="2045" spans="1:20" ht="45.75" customHeight="1" x14ac:dyDescent="0.3">
      <c r="A2045" s="1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</row>
    <row r="2046" spans="1:20" ht="45.75" customHeight="1" x14ac:dyDescent="0.3">
      <c r="A2046" s="1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</row>
    <row r="2047" spans="1:20" ht="45.75" customHeight="1" x14ac:dyDescent="0.3">
      <c r="A2047" s="1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</row>
    <row r="2048" spans="1:20" ht="45.75" customHeight="1" x14ac:dyDescent="0.3">
      <c r="A2048" s="1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</row>
    <row r="2049" spans="1:20" ht="45.75" customHeight="1" x14ac:dyDescent="0.3">
      <c r="A2049" s="1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</row>
    <row r="2050" spans="1:20" ht="45.75" customHeight="1" x14ac:dyDescent="0.3">
      <c r="A2050" s="1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</row>
    <row r="2051" spans="1:20" ht="45.75" customHeight="1" x14ac:dyDescent="0.3">
      <c r="A2051" s="1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</row>
    <row r="2052" spans="1:20" ht="45.75" customHeight="1" x14ac:dyDescent="0.3">
      <c r="A2052" s="1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</row>
    <row r="2053" spans="1:20" ht="45.75" customHeight="1" x14ac:dyDescent="0.3">
      <c r="A2053" s="1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</row>
    <row r="2054" spans="1:20" ht="45.75" customHeight="1" x14ac:dyDescent="0.3">
      <c r="A2054" s="1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</row>
    <row r="2055" spans="1:20" ht="45.75" customHeight="1" x14ac:dyDescent="0.3">
      <c r="A2055" s="1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</row>
    <row r="2056" spans="1:20" ht="45.75" customHeight="1" x14ac:dyDescent="0.3">
      <c r="A2056" s="1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</row>
    <row r="2057" spans="1:20" ht="45.75" customHeight="1" x14ac:dyDescent="0.3">
      <c r="A2057" s="1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</row>
    <row r="2058" spans="1:20" ht="45.75" customHeight="1" x14ac:dyDescent="0.3">
      <c r="A2058" s="1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</row>
    <row r="2059" spans="1:20" ht="45.75" customHeight="1" x14ac:dyDescent="0.3">
      <c r="A2059" s="1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</row>
    <row r="2060" spans="1:20" ht="45.75" customHeight="1" x14ac:dyDescent="0.3">
      <c r="A2060" s="1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</row>
    <row r="2061" spans="1:20" ht="45.75" customHeight="1" x14ac:dyDescent="0.3">
      <c r="A2061" s="1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</row>
    <row r="2062" spans="1:20" ht="45.75" customHeight="1" x14ac:dyDescent="0.3">
      <c r="A2062" s="1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</row>
    <row r="2063" spans="1:20" ht="45.75" customHeight="1" x14ac:dyDescent="0.3">
      <c r="A2063" s="1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</row>
    <row r="2064" spans="1:20" ht="45.75" customHeight="1" x14ac:dyDescent="0.3">
      <c r="A2064" s="1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</row>
    <row r="2065" spans="1:20" ht="45.75" customHeight="1" x14ac:dyDescent="0.3">
      <c r="A2065" s="1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</row>
    <row r="2066" spans="1:20" ht="45.75" customHeight="1" x14ac:dyDescent="0.3">
      <c r="A2066" s="1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</row>
    <row r="2067" spans="1:20" ht="45.75" customHeight="1" x14ac:dyDescent="0.3">
      <c r="A2067" s="1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</row>
    <row r="2068" spans="1:20" ht="45.75" customHeight="1" x14ac:dyDescent="0.3">
      <c r="A2068" s="1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</row>
    <row r="2069" spans="1:20" ht="45.75" customHeight="1" x14ac:dyDescent="0.3">
      <c r="A2069" s="1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</row>
    <row r="2070" spans="1:20" ht="45.75" customHeight="1" x14ac:dyDescent="0.3">
      <c r="A2070" s="1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</row>
    <row r="2071" spans="1:20" ht="45.75" customHeight="1" x14ac:dyDescent="0.3">
      <c r="A2071" s="1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</row>
    <row r="2072" spans="1:20" ht="45.75" customHeight="1" x14ac:dyDescent="0.3">
      <c r="A2072" s="1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</row>
    <row r="2073" spans="1:20" ht="45.75" customHeight="1" x14ac:dyDescent="0.3">
      <c r="A2073" s="1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</row>
    <row r="2074" spans="1:20" ht="45.75" customHeight="1" x14ac:dyDescent="0.3">
      <c r="A2074" s="1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</row>
    <row r="2075" spans="1:20" ht="45.75" customHeight="1" x14ac:dyDescent="0.3">
      <c r="A2075" s="1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</row>
    <row r="2076" spans="1:20" ht="45.75" customHeight="1" x14ac:dyDescent="0.3">
      <c r="A2076" s="1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</row>
    <row r="2077" spans="1:20" ht="45.75" customHeight="1" x14ac:dyDescent="0.3">
      <c r="A2077" s="1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</row>
    <row r="2078" spans="1:20" ht="45.75" customHeight="1" x14ac:dyDescent="0.3">
      <c r="A2078" s="1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</row>
    <row r="2079" spans="1:20" ht="45.75" customHeight="1" x14ac:dyDescent="0.3">
      <c r="A2079" s="1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</row>
    <row r="2080" spans="1:20" ht="45.75" customHeight="1" x14ac:dyDescent="0.3">
      <c r="A2080" s="1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</row>
    <row r="2081" spans="1:20" ht="45.75" customHeight="1" x14ac:dyDescent="0.3">
      <c r="A2081" s="1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</row>
    <row r="2082" spans="1:20" ht="45.75" customHeight="1" x14ac:dyDescent="0.3">
      <c r="A2082" s="1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</row>
    <row r="2083" spans="1:20" ht="45.75" customHeight="1" x14ac:dyDescent="0.3">
      <c r="A2083" s="1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</row>
    <row r="2084" spans="1:20" ht="45.75" customHeight="1" x14ac:dyDescent="0.3">
      <c r="A2084" s="1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</row>
    <row r="2085" spans="1:20" ht="45.75" customHeight="1" x14ac:dyDescent="0.3">
      <c r="A2085" s="1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</row>
    <row r="2086" spans="1:20" ht="45.75" customHeight="1" x14ac:dyDescent="0.3">
      <c r="A2086" s="1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</row>
    <row r="2087" spans="1:20" ht="45.75" customHeight="1" x14ac:dyDescent="0.3">
      <c r="A2087" s="1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</row>
    <row r="2088" spans="1:20" ht="45.75" customHeight="1" x14ac:dyDescent="0.3">
      <c r="A2088" s="1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</row>
    <row r="2089" spans="1:20" ht="45.75" customHeight="1" x14ac:dyDescent="0.3">
      <c r="A2089" s="1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</row>
    <row r="2090" spans="1:20" ht="45.75" customHeight="1" x14ac:dyDescent="0.3">
      <c r="A2090" s="1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</row>
    <row r="2091" spans="1:20" ht="45.75" customHeight="1" x14ac:dyDescent="0.3">
      <c r="A2091" s="1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</row>
    <row r="2092" spans="1:20" ht="45.75" customHeight="1" x14ac:dyDescent="0.3">
      <c r="A2092" s="1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</row>
    <row r="2093" spans="1:20" ht="45.75" customHeight="1" x14ac:dyDescent="0.3">
      <c r="A2093" s="1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</row>
    <row r="2094" spans="1:20" ht="45.75" customHeight="1" x14ac:dyDescent="0.3">
      <c r="A2094" s="1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</row>
    <row r="2095" spans="1:20" ht="45.75" customHeight="1" x14ac:dyDescent="0.3">
      <c r="A2095" s="1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</row>
    <row r="2096" spans="1:20" ht="45.75" customHeight="1" x14ac:dyDescent="0.3">
      <c r="A2096" s="1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</row>
    <row r="2097" spans="1:20" ht="45.75" customHeight="1" x14ac:dyDescent="0.3">
      <c r="A2097" s="1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</row>
    <row r="2098" spans="1:20" ht="45.75" customHeight="1" x14ac:dyDescent="0.3">
      <c r="A2098" s="1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</row>
    <row r="2099" spans="1:20" ht="45.75" customHeight="1" x14ac:dyDescent="0.3">
      <c r="A2099" s="1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</row>
    <row r="2100" spans="1:20" ht="45.75" customHeight="1" x14ac:dyDescent="0.3">
      <c r="A2100" s="1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</row>
    <row r="2101" spans="1:20" ht="45.75" customHeight="1" x14ac:dyDescent="0.3">
      <c r="A2101" s="1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</row>
    <row r="2102" spans="1:20" ht="45.75" customHeight="1" x14ac:dyDescent="0.3">
      <c r="A2102" s="1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</row>
    <row r="2103" spans="1:20" ht="45.75" customHeight="1" x14ac:dyDescent="0.3">
      <c r="A2103" s="1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</row>
    <row r="2104" spans="1:20" ht="45.75" customHeight="1" x14ac:dyDescent="0.3">
      <c r="A2104" s="1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</row>
    <row r="2105" spans="1:20" ht="45.75" customHeight="1" x14ac:dyDescent="0.3">
      <c r="A2105" s="1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</row>
    <row r="2106" spans="1:20" ht="45.75" customHeight="1" x14ac:dyDescent="0.3">
      <c r="A2106" s="1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</row>
    <row r="2107" spans="1:20" ht="45.75" customHeight="1" x14ac:dyDescent="0.3">
      <c r="A2107" s="1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</row>
    <row r="2108" spans="1:20" ht="45.75" customHeight="1" x14ac:dyDescent="0.3">
      <c r="A2108" s="1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</row>
    <row r="2109" spans="1:20" ht="45.75" customHeight="1" x14ac:dyDescent="0.3">
      <c r="A2109" s="1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</row>
    <row r="2110" spans="1:20" ht="45.75" customHeight="1" x14ac:dyDescent="0.3">
      <c r="A2110" s="1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</row>
    <row r="2111" spans="1:20" ht="45.75" customHeight="1" x14ac:dyDescent="0.3">
      <c r="A2111" s="1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</row>
    <row r="2112" spans="1:20" ht="45.75" customHeight="1" x14ac:dyDescent="0.3">
      <c r="A2112" s="1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</row>
    <row r="2113" spans="1:20" ht="45.75" customHeight="1" x14ac:dyDescent="0.3">
      <c r="A2113" s="1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</row>
    <row r="2114" spans="1:20" ht="45.75" customHeight="1" x14ac:dyDescent="0.3">
      <c r="A2114" s="1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</row>
    <row r="2115" spans="1:20" ht="45.75" customHeight="1" x14ac:dyDescent="0.3">
      <c r="A2115" s="1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</row>
    <row r="2116" spans="1:20" ht="45.75" customHeight="1" x14ac:dyDescent="0.3">
      <c r="A2116" s="1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</row>
    <row r="2117" spans="1:20" ht="45.75" customHeight="1" x14ac:dyDescent="0.3">
      <c r="A2117" s="1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</row>
    <row r="2118" spans="1:20" ht="45.75" customHeight="1" x14ac:dyDescent="0.3">
      <c r="A2118" s="1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</row>
    <row r="2119" spans="1:20" ht="45.75" customHeight="1" x14ac:dyDescent="0.3">
      <c r="A2119" s="1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</row>
    <row r="2120" spans="1:20" ht="45.75" customHeight="1" x14ac:dyDescent="0.3">
      <c r="A2120" s="1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</row>
    <row r="2121" spans="1:20" ht="45.75" customHeight="1" x14ac:dyDescent="0.3">
      <c r="A2121" s="1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</row>
    <row r="2122" spans="1:20" ht="45.75" customHeight="1" x14ac:dyDescent="0.3">
      <c r="A2122" s="1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</row>
    <row r="2123" spans="1:20" ht="45.75" customHeight="1" x14ac:dyDescent="0.3">
      <c r="A2123" s="1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</row>
    <row r="2124" spans="1:20" ht="45.75" customHeight="1" x14ac:dyDescent="0.3">
      <c r="A2124" s="1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</row>
    <row r="2125" spans="1:20" ht="45.75" customHeight="1" x14ac:dyDescent="0.3">
      <c r="A2125" s="1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</row>
    <row r="2126" spans="1:20" ht="45.75" customHeight="1" x14ac:dyDescent="0.3">
      <c r="A2126" s="1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</row>
    <row r="2127" spans="1:20" ht="45.75" customHeight="1" x14ac:dyDescent="0.3">
      <c r="A2127" s="1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</row>
    <row r="2128" spans="1:20" ht="45.75" customHeight="1" x14ac:dyDescent="0.3">
      <c r="A2128" s="1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</row>
    <row r="2129" spans="1:20" ht="45.75" customHeight="1" x14ac:dyDescent="0.3">
      <c r="A2129" s="1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</row>
    <row r="2130" spans="1:20" ht="45.75" customHeight="1" x14ac:dyDescent="0.3">
      <c r="A2130" s="1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</row>
    <row r="2131" spans="1:20" ht="45.75" customHeight="1" x14ac:dyDescent="0.3">
      <c r="A2131" s="1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</row>
    <row r="2132" spans="1:20" ht="45.75" customHeight="1" x14ac:dyDescent="0.3">
      <c r="A2132" s="1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</row>
    <row r="2133" spans="1:20" ht="45.75" customHeight="1" x14ac:dyDescent="0.3">
      <c r="A2133" s="1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</row>
    <row r="2134" spans="1:20" ht="45.75" customHeight="1" x14ac:dyDescent="0.3">
      <c r="A2134" s="1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</row>
    <row r="2135" spans="1:20" ht="45.75" customHeight="1" x14ac:dyDescent="0.3">
      <c r="A2135" s="1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</row>
    <row r="2136" spans="1:20" ht="45.75" customHeight="1" x14ac:dyDescent="0.3">
      <c r="A2136" s="1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</row>
    <row r="2137" spans="1:20" ht="45.75" customHeight="1" x14ac:dyDescent="0.3">
      <c r="A2137" s="1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</row>
    <row r="2138" spans="1:20" ht="45.75" customHeight="1" x14ac:dyDescent="0.3">
      <c r="A2138" s="1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</row>
    <row r="2139" spans="1:20" ht="45.75" customHeight="1" x14ac:dyDescent="0.3">
      <c r="A2139" s="1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</row>
    <row r="2140" spans="1:20" ht="45.75" customHeight="1" x14ac:dyDescent="0.3">
      <c r="A2140" s="1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</row>
    <row r="2141" spans="1:20" ht="45.75" customHeight="1" x14ac:dyDescent="0.3">
      <c r="A2141" s="1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</row>
    <row r="2142" spans="1:20" ht="45.75" customHeight="1" x14ac:dyDescent="0.3">
      <c r="A2142" s="1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</row>
    <row r="2143" spans="1:20" ht="45.75" customHeight="1" x14ac:dyDescent="0.3">
      <c r="A2143" s="1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</row>
    <row r="2144" spans="1:20" ht="45.75" customHeight="1" x14ac:dyDescent="0.3">
      <c r="A2144" s="1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</row>
    <row r="2145" spans="1:20" ht="45.75" customHeight="1" x14ac:dyDescent="0.3">
      <c r="A2145" s="1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</row>
    <row r="2146" spans="1:20" ht="45.75" customHeight="1" x14ac:dyDescent="0.3">
      <c r="A2146" s="1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</row>
    <row r="2147" spans="1:20" ht="45.75" customHeight="1" x14ac:dyDescent="0.3">
      <c r="A2147" s="1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</row>
    <row r="2148" spans="1:20" ht="45.75" customHeight="1" x14ac:dyDescent="0.3">
      <c r="A2148" s="1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</row>
    <row r="2149" spans="1:20" ht="45.75" customHeight="1" x14ac:dyDescent="0.3">
      <c r="A2149" s="1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</row>
    <row r="2150" spans="1:20" ht="45.75" customHeight="1" x14ac:dyDescent="0.3">
      <c r="A2150" s="1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</row>
    <row r="2151" spans="1:20" ht="45.75" customHeight="1" x14ac:dyDescent="0.3">
      <c r="A2151" s="1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</row>
    <row r="2152" spans="1:20" ht="45.75" customHeight="1" x14ac:dyDescent="0.3">
      <c r="A2152" s="1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</row>
    <row r="2153" spans="1:20" ht="45.75" customHeight="1" x14ac:dyDescent="0.3">
      <c r="A2153" s="1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</row>
    <row r="2154" spans="1:20" ht="45.75" customHeight="1" x14ac:dyDescent="0.3">
      <c r="A2154" s="1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</row>
    <row r="2155" spans="1:20" ht="45.75" customHeight="1" x14ac:dyDescent="0.3">
      <c r="A2155" s="1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</row>
    <row r="2156" spans="1:20" ht="45.75" customHeight="1" x14ac:dyDescent="0.3">
      <c r="A2156" s="1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</row>
    <row r="2157" spans="1:20" ht="45.75" customHeight="1" x14ac:dyDescent="0.3">
      <c r="A2157" s="1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</row>
    <row r="2158" spans="1:20" ht="45.75" customHeight="1" x14ac:dyDescent="0.3">
      <c r="A2158" s="1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</row>
    <row r="2159" spans="1:20" ht="45.75" customHeight="1" x14ac:dyDescent="0.3">
      <c r="A2159" s="1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</row>
    <row r="2160" spans="1:20" ht="45.75" customHeight="1" x14ac:dyDescent="0.3">
      <c r="A2160" s="1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</row>
    <row r="2161" spans="1:20" ht="45.75" customHeight="1" x14ac:dyDescent="0.3">
      <c r="A2161" s="1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</row>
    <row r="2162" spans="1:20" ht="45.75" customHeight="1" x14ac:dyDescent="0.3">
      <c r="A2162" s="1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</row>
    <row r="2163" spans="1:20" ht="45.75" customHeight="1" x14ac:dyDescent="0.3">
      <c r="A2163" s="1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</row>
    <row r="2164" spans="1:20" ht="45.75" customHeight="1" x14ac:dyDescent="0.3">
      <c r="A2164" s="1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</row>
    <row r="2165" spans="1:20" ht="45.75" customHeight="1" x14ac:dyDescent="0.3">
      <c r="A2165" s="1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</row>
    <row r="2166" spans="1:20" ht="45.75" customHeight="1" x14ac:dyDescent="0.3">
      <c r="A2166" s="1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</row>
    <row r="2167" spans="1:20" ht="45.75" customHeight="1" x14ac:dyDescent="0.3">
      <c r="A2167" s="1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</row>
    <row r="2168" spans="1:20" ht="45.75" customHeight="1" x14ac:dyDescent="0.3">
      <c r="A2168" s="1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</row>
    <row r="2169" spans="1:20" ht="45.75" customHeight="1" x14ac:dyDescent="0.3">
      <c r="A2169" s="1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</row>
    <row r="2170" spans="1:20" ht="45.75" customHeight="1" x14ac:dyDescent="0.3">
      <c r="A2170" s="1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</row>
    <row r="2171" spans="1:20" ht="45.75" customHeight="1" x14ac:dyDescent="0.3">
      <c r="A2171" s="1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</row>
    <row r="2172" spans="1:20" ht="45.75" customHeight="1" x14ac:dyDescent="0.3">
      <c r="A2172" s="1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</row>
    <row r="2173" spans="1:20" ht="45.75" customHeight="1" x14ac:dyDescent="0.3">
      <c r="A2173" s="1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</row>
    <row r="2174" spans="1:20" ht="45.75" customHeight="1" x14ac:dyDescent="0.3">
      <c r="A2174" s="1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</row>
    <row r="2175" spans="1:20" ht="45.75" customHeight="1" x14ac:dyDescent="0.3">
      <c r="A2175" s="1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</row>
    <row r="2176" spans="1:20" ht="45.75" customHeight="1" x14ac:dyDescent="0.3">
      <c r="A2176" s="1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</row>
    <row r="2177" spans="1:20" ht="45.75" customHeight="1" x14ac:dyDescent="0.3">
      <c r="A2177" s="1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</row>
    <row r="2178" spans="1:20" ht="45.75" customHeight="1" x14ac:dyDescent="0.3">
      <c r="A2178" s="1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</row>
    <row r="2179" spans="1:20" ht="45.75" customHeight="1" x14ac:dyDescent="0.3">
      <c r="A2179" s="1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</row>
    <row r="2180" spans="1:20" ht="45.75" customHeight="1" x14ac:dyDescent="0.3">
      <c r="A2180" s="1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</row>
    <row r="2181" spans="1:20" ht="45.75" customHeight="1" x14ac:dyDescent="0.3">
      <c r="A2181" s="1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</row>
    <row r="2182" spans="1:20" ht="45.75" customHeight="1" x14ac:dyDescent="0.3">
      <c r="A2182" s="1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</row>
    <row r="2183" spans="1:20" ht="45.75" customHeight="1" x14ac:dyDescent="0.3">
      <c r="A2183" s="1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</row>
    <row r="2184" spans="1:20" ht="45.75" customHeight="1" x14ac:dyDescent="0.3">
      <c r="A2184" s="1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</row>
    <row r="2185" spans="1:20" ht="45.75" customHeight="1" x14ac:dyDescent="0.3">
      <c r="A2185" s="1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</row>
    <row r="2186" spans="1:20" ht="45.75" customHeight="1" x14ac:dyDescent="0.3">
      <c r="A2186" s="1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</row>
    <row r="2187" spans="1:20" ht="45.75" customHeight="1" x14ac:dyDescent="0.3">
      <c r="A2187" s="1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</row>
    <row r="2188" spans="1:20" ht="45.75" customHeight="1" x14ac:dyDescent="0.3">
      <c r="A2188" s="1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</row>
    <row r="2189" spans="1:20" ht="45.75" customHeight="1" x14ac:dyDescent="0.3">
      <c r="A2189" s="1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</row>
    <row r="2190" spans="1:20" ht="45.75" customHeight="1" x14ac:dyDescent="0.3">
      <c r="A2190" s="1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</row>
    <row r="2191" spans="1:20" ht="45.75" customHeight="1" x14ac:dyDescent="0.3">
      <c r="A2191" s="1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</row>
    <row r="2192" spans="1:20" ht="45.75" customHeight="1" x14ac:dyDescent="0.3">
      <c r="A2192" s="1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</row>
    <row r="2193" spans="1:20" ht="45.75" customHeight="1" x14ac:dyDescent="0.3">
      <c r="A2193" s="1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</row>
    <row r="2194" spans="1:20" ht="45.75" customHeight="1" x14ac:dyDescent="0.3">
      <c r="A2194" s="1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</row>
    <row r="2195" spans="1:20" ht="45.75" customHeight="1" x14ac:dyDescent="0.3">
      <c r="A2195" s="1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</row>
    <row r="2196" spans="1:20" ht="45.75" customHeight="1" x14ac:dyDescent="0.3">
      <c r="A2196" s="1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</row>
    <row r="2197" spans="1:20" ht="45.75" customHeight="1" x14ac:dyDescent="0.3">
      <c r="A2197" s="1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</row>
    <row r="2198" spans="1:20" ht="45.75" customHeight="1" x14ac:dyDescent="0.3">
      <c r="A2198" s="1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</row>
    <row r="2199" spans="1:20" ht="45.75" customHeight="1" x14ac:dyDescent="0.3">
      <c r="A2199" s="1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</row>
    <row r="2200" spans="1:20" ht="45.75" customHeight="1" x14ac:dyDescent="0.3">
      <c r="A2200" s="1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</row>
    <row r="2201" spans="1:20" ht="45.75" customHeight="1" x14ac:dyDescent="0.3">
      <c r="A2201" s="1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</row>
    <row r="2202" spans="1:20" ht="45.75" customHeight="1" x14ac:dyDescent="0.3">
      <c r="A2202" s="1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</row>
    <row r="2203" spans="1:20" ht="45.75" customHeight="1" x14ac:dyDescent="0.3">
      <c r="A2203" s="1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</row>
    <row r="2204" spans="1:20" ht="45.75" customHeight="1" x14ac:dyDescent="0.3">
      <c r="A2204" s="1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</row>
    <row r="2205" spans="1:20" ht="45.75" customHeight="1" x14ac:dyDescent="0.3">
      <c r="A2205" s="1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</row>
    <row r="2206" spans="1:20" ht="45.75" customHeight="1" x14ac:dyDescent="0.3">
      <c r="A2206" s="1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</row>
    <row r="2207" spans="1:20" ht="45.75" customHeight="1" x14ac:dyDescent="0.3">
      <c r="A2207" s="1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</row>
    <row r="2208" spans="1:20" ht="45.75" customHeight="1" x14ac:dyDescent="0.3">
      <c r="A2208" s="1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</row>
    <row r="2209" spans="1:20" ht="45.75" customHeight="1" x14ac:dyDescent="0.3">
      <c r="A2209" s="1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</row>
    <row r="2210" spans="1:20" ht="45.75" customHeight="1" x14ac:dyDescent="0.3">
      <c r="A2210" s="1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</row>
    <row r="2211" spans="1:20" ht="45.75" customHeight="1" x14ac:dyDescent="0.3">
      <c r="A2211" s="1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</row>
    <row r="2212" spans="1:20" ht="45.75" customHeight="1" x14ac:dyDescent="0.3">
      <c r="A2212" s="1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</row>
    <row r="2213" spans="1:20" ht="45.75" customHeight="1" x14ac:dyDescent="0.3">
      <c r="A2213" s="1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</row>
    <row r="2214" spans="1:20" ht="45.75" customHeight="1" x14ac:dyDescent="0.3">
      <c r="A2214" s="1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</row>
    <row r="2215" spans="1:20" ht="45.75" customHeight="1" x14ac:dyDescent="0.3">
      <c r="A2215" s="1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</row>
    <row r="2216" spans="1:20" ht="45.75" customHeight="1" x14ac:dyDescent="0.3">
      <c r="A2216" s="1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</row>
    <row r="2217" spans="1:20" ht="45.75" customHeight="1" x14ac:dyDescent="0.3">
      <c r="A2217" s="1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</row>
    <row r="2218" spans="1:20" ht="45.75" customHeight="1" x14ac:dyDescent="0.3">
      <c r="A2218" s="1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</row>
    <row r="2219" spans="1:20" ht="45.75" customHeight="1" x14ac:dyDescent="0.3">
      <c r="A2219" s="1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</row>
    <row r="2220" spans="1:20" ht="45.75" customHeight="1" x14ac:dyDescent="0.3">
      <c r="A2220" s="1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</row>
    <row r="2221" spans="1:20" ht="45.75" customHeight="1" x14ac:dyDescent="0.3">
      <c r="A2221" s="1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</row>
    <row r="2222" spans="1:20" ht="45.75" customHeight="1" x14ac:dyDescent="0.3">
      <c r="A2222" s="1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</row>
    <row r="2223" spans="1:20" ht="45.75" customHeight="1" x14ac:dyDescent="0.3">
      <c r="A2223" s="1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</row>
    <row r="2224" spans="1:20" ht="45.75" customHeight="1" x14ac:dyDescent="0.3">
      <c r="A2224" s="1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</row>
    <row r="2225" spans="1:20" ht="45.75" customHeight="1" x14ac:dyDescent="0.3">
      <c r="A2225" s="1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</row>
    <row r="2226" spans="1:20" ht="45.75" customHeight="1" x14ac:dyDescent="0.3">
      <c r="A2226" s="1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</row>
    <row r="2227" spans="1:20" ht="45.75" customHeight="1" x14ac:dyDescent="0.3">
      <c r="A2227" s="1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</row>
    <row r="2228" spans="1:20" ht="45.75" customHeight="1" x14ac:dyDescent="0.3">
      <c r="A2228" s="1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</row>
    <row r="2229" spans="1:20" ht="45.75" customHeight="1" x14ac:dyDescent="0.3">
      <c r="A2229" s="1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</row>
    <row r="2230" spans="1:20" ht="45.75" customHeight="1" x14ac:dyDescent="0.3">
      <c r="A2230" s="1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</row>
    <row r="2231" spans="1:20" ht="45.75" customHeight="1" x14ac:dyDescent="0.3">
      <c r="A2231" s="1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</row>
    <row r="2232" spans="1:20" ht="45.75" customHeight="1" x14ac:dyDescent="0.3">
      <c r="A2232" s="1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</row>
    <row r="2233" spans="1:20" ht="45.75" customHeight="1" x14ac:dyDescent="0.3">
      <c r="A2233" s="1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</row>
    <row r="2234" spans="1:20" ht="45.75" customHeight="1" x14ac:dyDescent="0.3">
      <c r="A2234" s="1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</row>
    <row r="2235" spans="1:20" ht="45.75" customHeight="1" x14ac:dyDescent="0.3">
      <c r="A2235" s="1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</row>
    <row r="2236" spans="1:20" ht="45.75" customHeight="1" x14ac:dyDescent="0.3">
      <c r="A2236" s="1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</row>
    <row r="2237" spans="1:20" ht="45.75" customHeight="1" x14ac:dyDescent="0.3">
      <c r="A2237" s="1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</row>
    <row r="2238" spans="1:20" ht="45.75" customHeight="1" x14ac:dyDescent="0.3">
      <c r="A2238" s="1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</row>
    <row r="2239" spans="1:20" ht="45.75" customHeight="1" x14ac:dyDescent="0.3">
      <c r="A2239" s="1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</row>
    <row r="2240" spans="1:20" ht="45.75" customHeight="1" x14ac:dyDescent="0.3">
      <c r="A2240" s="1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</row>
    <row r="2241" spans="1:20" ht="45.75" customHeight="1" x14ac:dyDescent="0.3">
      <c r="A2241" s="1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</row>
    <row r="2242" spans="1:20" ht="45.75" customHeight="1" x14ac:dyDescent="0.3">
      <c r="A2242" s="1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</row>
    <row r="2243" spans="1:20" ht="45.75" customHeight="1" x14ac:dyDescent="0.3">
      <c r="A2243" s="1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</row>
    <row r="2244" spans="1:20" ht="45.75" customHeight="1" x14ac:dyDescent="0.3">
      <c r="A2244" s="1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</row>
    <row r="2245" spans="1:20" ht="45.75" customHeight="1" x14ac:dyDescent="0.3">
      <c r="A2245" s="1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</row>
    <row r="2246" spans="1:20" ht="45.75" customHeight="1" x14ac:dyDescent="0.3">
      <c r="A2246" s="1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</row>
    <row r="2247" spans="1:20" ht="45.75" customHeight="1" x14ac:dyDescent="0.3">
      <c r="A2247" s="1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</row>
    <row r="2248" spans="1:20" ht="45.75" customHeight="1" x14ac:dyDescent="0.3">
      <c r="A2248" s="1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</row>
    <row r="2249" spans="1:20" ht="45.75" customHeight="1" x14ac:dyDescent="0.3">
      <c r="A2249" s="1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</row>
    <row r="2250" spans="1:20" ht="45.75" customHeight="1" x14ac:dyDescent="0.3">
      <c r="A2250" s="1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</row>
    <row r="2251" spans="1:20" ht="45.75" customHeight="1" x14ac:dyDescent="0.3">
      <c r="A2251" s="1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</row>
    <row r="2252" spans="1:20" ht="45.75" customHeight="1" x14ac:dyDescent="0.3">
      <c r="A2252" s="1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</row>
    <row r="2253" spans="1:20" ht="45.75" customHeight="1" x14ac:dyDescent="0.3">
      <c r="A2253" s="1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</row>
    <row r="2254" spans="1:20" ht="45.75" customHeight="1" x14ac:dyDescent="0.3">
      <c r="A2254" s="1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</row>
    <row r="2255" spans="1:20" ht="45.75" customHeight="1" x14ac:dyDescent="0.3">
      <c r="A2255" s="1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</row>
    <row r="2256" spans="1:20" ht="45.75" customHeight="1" x14ac:dyDescent="0.3">
      <c r="A2256" s="1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</row>
    <row r="2257" spans="1:20" ht="45.75" customHeight="1" x14ac:dyDescent="0.3">
      <c r="A2257" s="1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</row>
    <row r="2258" spans="1:20" ht="45.75" customHeight="1" x14ac:dyDescent="0.3">
      <c r="A2258" s="1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</row>
    <row r="2259" spans="1:20" ht="45.75" customHeight="1" x14ac:dyDescent="0.3">
      <c r="A2259" s="1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</row>
    <row r="2260" spans="1:20" ht="45.75" customHeight="1" x14ac:dyDescent="0.3">
      <c r="A2260" s="1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</row>
    <row r="2261" spans="1:20" ht="45.75" customHeight="1" x14ac:dyDescent="0.3">
      <c r="A2261" s="1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</row>
    <row r="2262" spans="1:20" ht="45.75" customHeight="1" x14ac:dyDescent="0.3">
      <c r="A2262" s="1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</row>
    <row r="2263" spans="1:20" ht="45.75" customHeight="1" x14ac:dyDescent="0.3">
      <c r="A2263" s="1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</row>
    <row r="2264" spans="1:20" ht="45.75" customHeight="1" x14ac:dyDescent="0.3">
      <c r="A2264" s="1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</row>
    <row r="2265" spans="1:20" ht="45.75" customHeight="1" x14ac:dyDescent="0.3">
      <c r="A2265" s="1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</row>
    <row r="2266" spans="1:20" ht="45.75" customHeight="1" x14ac:dyDescent="0.3">
      <c r="A2266" s="1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</row>
    <row r="2267" spans="1:20" ht="45.75" customHeight="1" x14ac:dyDescent="0.3">
      <c r="A2267" s="1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</row>
    <row r="2268" spans="1:20" ht="45.75" customHeight="1" x14ac:dyDescent="0.3">
      <c r="A2268" s="1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</row>
    <row r="2269" spans="1:20" ht="45.75" customHeight="1" x14ac:dyDescent="0.3">
      <c r="A2269" s="1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</row>
    <row r="2270" spans="1:20" ht="45.75" customHeight="1" x14ac:dyDescent="0.3">
      <c r="A2270" s="1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</row>
    <row r="2271" spans="1:20" ht="45.75" customHeight="1" x14ac:dyDescent="0.3">
      <c r="A2271" s="1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</row>
    <row r="2272" spans="1:20" ht="45.75" customHeight="1" x14ac:dyDescent="0.3">
      <c r="A2272" s="1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</row>
    <row r="2273" spans="1:20" ht="45.75" customHeight="1" x14ac:dyDescent="0.3">
      <c r="A2273" s="1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</row>
    <row r="2274" spans="1:20" ht="45.75" customHeight="1" x14ac:dyDescent="0.3">
      <c r="A2274" s="1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</row>
    <row r="2275" spans="1:20" ht="45.75" customHeight="1" x14ac:dyDescent="0.3">
      <c r="A2275" s="1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</row>
    <row r="2276" spans="1:20" ht="45.75" customHeight="1" x14ac:dyDescent="0.3">
      <c r="A2276" s="1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</row>
    <row r="2277" spans="1:20" ht="45.75" customHeight="1" x14ac:dyDescent="0.3">
      <c r="A2277" s="1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</row>
    <row r="2278" spans="1:20" ht="45.75" customHeight="1" x14ac:dyDescent="0.3">
      <c r="A2278" s="1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</row>
    <row r="2279" spans="1:20" ht="45.75" customHeight="1" x14ac:dyDescent="0.3">
      <c r="A2279" s="1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</row>
    <row r="2280" spans="1:20" ht="45.75" customHeight="1" x14ac:dyDescent="0.3">
      <c r="A2280" s="1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</row>
    <row r="2281" spans="1:20" ht="45.75" customHeight="1" x14ac:dyDescent="0.3">
      <c r="A2281" s="1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</row>
    <row r="2282" spans="1:20" ht="45.75" customHeight="1" x14ac:dyDescent="0.3">
      <c r="A2282" s="1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</row>
    <row r="2283" spans="1:20" ht="45.75" customHeight="1" x14ac:dyDescent="0.3">
      <c r="A2283" s="1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</row>
    <row r="2284" spans="1:20" ht="45.75" customHeight="1" x14ac:dyDescent="0.3">
      <c r="A2284" s="1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</row>
    <row r="2285" spans="1:20" ht="45.75" customHeight="1" x14ac:dyDescent="0.3">
      <c r="A2285" s="1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</row>
    <row r="2286" spans="1:20" ht="45.75" customHeight="1" x14ac:dyDescent="0.3">
      <c r="A2286" s="1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</row>
    <row r="2287" spans="1:20" ht="45.75" customHeight="1" x14ac:dyDescent="0.3">
      <c r="A2287" s="1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</row>
    <row r="2288" spans="1:20" ht="45.75" customHeight="1" x14ac:dyDescent="0.3">
      <c r="A2288" s="1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</row>
    <row r="2289" spans="1:20" ht="45.75" customHeight="1" x14ac:dyDescent="0.3">
      <c r="A2289" s="1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</row>
    <row r="2290" spans="1:20" ht="45.75" customHeight="1" x14ac:dyDescent="0.3">
      <c r="A2290" s="1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</row>
    <row r="2291" spans="1:20" ht="45.75" customHeight="1" x14ac:dyDescent="0.3">
      <c r="A2291" s="1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</row>
    <row r="2292" spans="1:20" ht="45.75" customHeight="1" x14ac:dyDescent="0.3">
      <c r="A2292" s="1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</row>
    <row r="2293" spans="1:20" ht="45.75" customHeight="1" x14ac:dyDescent="0.3">
      <c r="A2293" s="1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</row>
    <row r="2294" spans="1:20" ht="45.75" customHeight="1" x14ac:dyDescent="0.3">
      <c r="A2294" s="1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</row>
    <row r="2295" spans="1:20" ht="45.75" customHeight="1" x14ac:dyDescent="0.3">
      <c r="A2295" s="1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</row>
    <row r="2296" spans="1:20" ht="45.75" customHeight="1" x14ac:dyDescent="0.3">
      <c r="A2296" s="1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</row>
    <row r="2297" spans="1:20" ht="45.75" customHeight="1" x14ac:dyDescent="0.3">
      <c r="A2297" s="1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</row>
    <row r="2298" spans="1:20" ht="45.75" customHeight="1" x14ac:dyDescent="0.3">
      <c r="A2298" s="1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</row>
    <row r="2299" spans="1:20" ht="45.75" customHeight="1" x14ac:dyDescent="0.3">
      <c r="A2299" s="1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</row>
    <row r="2300" spans="1:20" ht="45.75" customHeight="1" x14ac:dyDescent="0.3">
      <c r="A2300" s="1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</row>
    <row r="2301" spans="1:20" ht="45.75" customHeight="1" x14ac:dyDescent="0.3">
      <c r="A2301" s="1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</row>
    <row r="2302" spans="1:20" ht="45.75" customHeight="1" x14ac:dyDescent="0.3">
      <c r="A2302" s="1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</row>
    <row r="2303" spans="1:20" ht="45.75" customHeight="1" x14ac:dyDescent="0.3">
      <c r="A2303" s="1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</row>
    <row r="2304" spans="1:20" ht="45.75" customHeight="1" x14ac:dyDescent="0.3">
      <c r="A2304" s="1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</row>
    <row r="2305" spans="1:20" ht="45.75" customHeight="1" x14ac:dyDescent="0.3">
      <c r="A2305" s="1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</row>
    <row r="2306" spans="1:20" ht="45.75" customHeight="1" x14ac:dyDescent="0.3">
      <c r="A2306" s="1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</row>
    <row r="2307" spans="1:20" ht="45.75" customHeight="1" x14ac:dyDescent="0.3">
      <c r="A2307" s="1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</row>
    <row r="2308" spans="1:20" ht="45.75" customHeight="1" x14ac:dyDescent="0.3">
      <c r="A2308" s="1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</row>
    <row r="2309" spans="1:20" ht="45.75" customHeight="1" x14ac:dyDescent="0.3">
      <c r="A2309" s="1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</row>
    <row r="2310" spans="1:20" ht="45.75" customHeight="1" x14ac:dyDescent="0.3">
      <c r="A2310" s="1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</row>
    <row r="2311" spans="1:20" ht="45.75" customHeight="1" x14ac:dyDescent="0.3">
      <c r="A2311" s="1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</row>
    <row r="2312" spans="1:20" ht="45.75" customHeight="1" x14ac:dyDescent="0.3">
      <c r="A2312" s="1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</row>
    <row r="2313" spans="1:20" ht="45.75" customHeight="1" x14ac:dyDescent="0.3">
      <c r="A2313" s="1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</row>
    <row r="2314" spans="1:20" ht="45.75" customHeight="1" x14ac:dyDescent="0.3">
      <c r="A2314" s="1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</row>
    <row r="2315" spans="1:20" ht="45.75" customHeight="1" x14ac:dyDescent="0.3">
      <c r="A2315" s="1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</row>
    <row r="2316" spans="1:20" ht="45.75" customHeight="1" x14ac:dyDescent="0.3">
      <c r="A2316" s="1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</row>
    <row r="2317" spans="1:20" ht="45.75" customHeight="1" x14ac:dyDescent="0.3">
      <c r="A2317" s="1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</row>
    <row r="2318" spans="1:20" ht="45.75" customHeight="1" x14ac:dyDescent="0.3">
      <c r="A2318" s="1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</row>
    <row r="2319" spans="1:20" ht="45.75" customHeight="1" x14ac:dyDescent="0.3">
      <c r="A2319" s="1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</row>
    <row r="2320" spans="1:20" ht="45.75" customHeight="1" x14ac:dyDescent="0.3">
      <c r="A2320" s="1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</row>
    <row r="2321" spans="1:20" ht="45.75" customHeight="1" x14ac:dyDescent="0.3">
      <c r="A2321" s="1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</row>
    <row r="2322" spans="1:20" ht="45.75" customHeight="1" x14ac:dyDescent="0.3">
      <c r="A2322" s="1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</row>
    <row r="2323" spans="1:20" ht="45.75" customHeight="1" x14ac:dyDescent="0.3">
      <c r="A2323" s="1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</row>
    <row r="2324" spans="1:20" ht="45.75" customHeight="1" x14ac:dyDescent="0.3">
      <c r="A2324" s="1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</row>
    <row r="2325" spans="1:20" ht="45.75" customHeight="1" x14ac:dyDescent="0.3">
      <c r="A2325" s="1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</row>
    <row r="2326" spans="1:20" ht="45.75" customHeight="1" x14ac:dyDescent="0.3">
      <c r="A2326" s="1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</row>
    <row r="2327" spans="1:20" ht="45.75" customHeight="1" x14ac:dyDescent="0.3">
      <c r="A2327" s="1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</row>
    <row r="2328" spans="1:20" ht="45.75" customHeight="1" x14ac:dyDescent="0.3">
      <c r="A2328" s="1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</row>
    <row r="2329" spans="1:20" ht="45.75" customHeight="1" x14ac:dyDescent="0.3">
      <c r="A2329" s="1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</row>
    <row r="2330" spans="1:20" ht="45.75" customHeight="1" x14ac:dyDescent="0.3">
      <c r="A2330" s="1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</row>
    <row r="2331" spans="1:20" ht="45.75" customHeight="1" x14ac:dyDescent="0.3">
      <c r="A2331" s="1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</row>
    <row r="2332" spans="1:20" ht="45.75" customHeight="1" x14ac:dyDescent="0.3">
      <c r="A2332" s="1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</row>
    <row r="2333" spans="1:20" ht="45.75" customHeight="1" x14ac:dyDescent="0.3">
      <c r="A2333" s="1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</row>
    <row r="2334" spans="1:20" ht="45.75" customHeight="1" x14ac:dyDescent="0.3">
      <c r="A2334" s="1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</row>
    <row r="2335" spans="1:20" ht="45.75" customHeight="1" x14ac:dyDescent="0.3">
      <c r="A2335" s="1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</row>
    <row r="2336" spans="1:20" ht="45.75" customHeight="1" x14ac:dyDescent="0.3">
      <c r="A2336" s="1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</row>
    <row r="2337" spans="1:20" ht="45.75" customHeight="1" x14ac:dyDescent="0.3">
      <c r="A2337" s="1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</row>
    <row r="2338" spans="1:20" ht="45.75" customHeight="1" x14ac:dyDescent="0.3">
      <c r="A2338" s="1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</row>
    <row r="2339" spans="1:20" ht="45.75" customHeight="1" x14ac:dyDescent="0.3">
      <c r="A2339" s="1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</row>
    <row r="2340" spans="1:20" ht="45.75" customHeight="1" x14ac:dyDescent="0.3">
      <c r="A2340" s="1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</row>
    <row r="2341" spans="1:20" ht="45.75" customHeight="1" x14ac:dyDescent="0.3">
      <c r="A2341" s="1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</row>
    <row r="2342" spans="1:20" ht="45.75" customHeight="1" x14ac:dyDescent="0.3">
      <c r="A2342" s="1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</row>
    <row r="2343" spans="1:20" ht="45.75" customHeight="1" x14ac:dyDescent="0.3">
      <c r="A2343" s="1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</row>
    <row r="2344" spans="1:20" ht="45.75" customHeight="1" x14ac:dyDescent="0.3">
      <c r="A2344" s="1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</row>
    <row r="2345" spans="1:20" ht="45.75" customHeight="1" x14ac:dyDescent="0.3">
      <c r="A2345" s="1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</row>
    <row r="2346" spans="1:20" ht="45.75" customHeight="1" x14ac:dyDescent="0.3">
      <c r="A2346" s="1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</row>
    <row r="2347" spans="1:20" ht="45.75" customHeight="1" x14ac:dyDescent="0.3">
      <c r="A2347" s="1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</row>
    <row r="2348" spans="1:20" ht="45.75" customHeight="1" x14ac:dyDescent="0.3">
      <c r="A2348" s="1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</row>
    <row r="2349" spans="1:20" ht="45.75" customHeight="1" x14ac:dyDescent="0.3">
      <c r="A2349" s="1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</row>
    <row r="2350" spans="1:20" ht="45.75" customHeight="1" x14ac:dyDescent="0.3">
      <c r="A2350" s="1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</row>
    <row r="2351" spans="1:20" ht="45.75" customHeight="1" x14ac:dyDescent="0.3">
      <c r="A2351" s="1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</row>
    <row r="2352" spans="1:20" ht="45.75" customHeight="1" x14ac:dyDescent="0.3">
      <c r="A2352" s="1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</row>
    <row r="2353" spans="1:20" ht="45.75" customHeight="1" x14ac:dyDescent="0.3">
      <c r="A2353" s="1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</row>
    <row r="2354" spans="1:20" ht="45.75" customHeight="1" x14ac:dyDescent="0.3">
      <c r="A2354" s="1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</row>
    <row r="2355" spans="1:20" ht="45.75" customHeight="1" x14ac:dyDescent="0.3">
      <c r="A2355" s="1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</row>
    <row r="2356" spans="1:20" ht="45.75" customHeight="1" x14ac:dyDescent="0.3">
      <c r="A2356" s="1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</row>
    <row r="2357" spans="1:20" ht="45.75" customHeight="1" x14ac:dyDescent="0.3">
      <c r="A2357" s="1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</row>
    <row r="2358" spans="1:20" ht="45.75" customHeight="1" x14ac:dyDescent="0.3">
      <c r="A2358" s="1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</row>
    <row r="2359" spans="1:20" ht="45.75" customHeight="1" x14ac:dyDescent="0.3">
      <c r="A2359" s="1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</row>
    <row r="2360" spans="1:20" ht="45.75" customHeight="1" x14ac:dyDescent="0.3">
      <c r="A2360" s="1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</row>
    <row r="2361" spans="1:20" ht="45.75" customHeight="1" x14ac:dyDescent="0.3">
      <c r="A2361" s="1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</row>
    <row r="2362" spans="1:20" ht="45.75" customHeight="1" x14ac:dyDescent="0.3">
      <c r="A2362" s="1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</row>
    <row r="2363" spans="1:20" ht="45.75" customHeight="1" x14ac:dyDescent="0.3">
      <c r="A2363" s="1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</row>
    <row r="2364" spans="1:20" ht="45.75" customHeight="1" x14ac:dyDescent="0.3">
      <c r="A2364" s="1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</row>
    <row r="2365" spans="1:20" ht="45.75" customHeight="1" x14ac:dyDescent="0.3">
      <c r="A2365" s="1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</row>
    <row r="2366" spans="1:20" ht="45.75" customHeight="1" x14ac:dyDescent="0.3">
      <c r="A2366" s="1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</row>
    <row r="2367" spans="1:20" ht="45.75" customHeight="1" x14ac:dyDescent="0.3">
      <c r="A2367" s="1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</row>
    <row r="2368" spans="1:20" ht="45.75" customHeight="1" x14ac:dyDescent="0.3">
      <c r="A2368" s="1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</row>
    <row r="2369" spans="1:20" ht="45.75" customHeight="1" x14ac:dyDescent="0.3">
      <c r="A2369" s="1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</row>
    <row r="2370" spans="1:20" ht="45.75" customHeight="1" x14ac:dyDescent="0.3">
      <c r="A2370" s="1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</row>
    <row r="2371" spans="1:20" ht="45.75" customHeight="1" x14ac:dyDescent="0.3">
      <c r="A2371" s="1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</row>
    <row r="2372" spans="1:20" ht="45.75" customHeight="1" x14ac:dyDescent="0.3">
      <c r="A2372" s="1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</row>
    <row r="2373" spans="1:20" ht="45.75" customHeight="1" x14ac:dyDescent="0.3">
      <c r="A2373" s="1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</row>
    <row r="2374" spans="1:20" ht="45.75" customHeight="1" x14ac:dyDescent="0.3">
      <c r="A2374" s="1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</row>
    <row r="2375" spans="1:20" ht="45.75" customHeight="1" x14ac:dyDescent="0.3">
      <c r="A2375" s="1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</row>
    <row r="2376" spans="1:20" ht="45.75" customHeight="1" x14ac:dyDescent="0.3">
      <c r="A2376" s="1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</row>
    <row r="2377" spans="1:20" ht="45.75" customHeight="1" x14ac:dyDescent="0.3">
      <c r="A2377" s="1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</row>
    <row r="2378" spans="1:20" ht="45.75" customHeight="1" x14ac:dyDescent="0.3">
      <c r="A2378" s="1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</row>
    <row r="2379" spans="1:20" ht="45.75" customHeight="1" x14ac:dyDescent="0.3">
      <c r="A2379" s="1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</row>
    <row r="2380" spans="1:20" ht="45.75" customHeight="1" x14ac:dyDescent="0.3">
      <c r="A2380" s="1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</row>
    <row r="2381" spans="1:20" ht="45.75" customHeight="1" x14ac:dyDescent="0.3">
      <c r="A2381" s="1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</row>
    <row r="2382" spans="1:20" ht="45.75" customHeight="1" x14ac:dyDescent="0.3">
      <c r="A2382" s="1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</row>
    <row r="2383" spans="1:20" ht="45.75" customHeight="1" x14ac:dyDescent="0.3">
      <c r="A2383" s="1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</row>
    <row r="2384" spans="1:20" ht="45.75" customHeight="1" x14ac:dyDescent="0.3">
      <c r="A2384" s="1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</row>
    <row r="2385" spans="1:20" ht="45.75" customHeight="1" x14ac:dyDescent="0.3">
      <c r="A2385" s="1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</row>
    <row r="2386" spans="1:20" ht="45.75" customHeight="1" x14ac:dyDescent="0.3">
      <c r="A2386" s="1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</row>
    <row r="2387" spans="1:20" ht="45.75" customHeight="1" x14ac:dyDescent="0.3">
      <c r="A2387" s="1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</row>
    <row r="2388" spans="1:20" ht="45.75" customHeight="1" x14ac:dyDescent="0.3">
      <c r="A2388" s="1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</row>
    <row r="2389" spans="1:20" ht="45.75" customHeight="1" x14ac:dyDescent="0.3">
      <c r="A2389" s="1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</row>
    <row r="2390" spans="1:20" ht="45.75" customHeight="1" x14ac:dyDescent="0.3">
      <c r="A2390" s="1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</row>
    <row r="2391" spans="1:20" ht="45.75" customHeight="1" x14ac:dyDescent="0.3">
      <c r="A2391" s="1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</row>
    <row r="2392" spans="1:20" ht="45.75" customHeight="1" x14ac:dyDescent="0.3">
      <c r="A2392" s="1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</row>
    <row r="2393" spans="1:20" ht="45.75" customHeight="1" x14ac:dyDescent="0.3">
      <c r="A2393" s="1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</row>
    <row r="2394" spans="1:20" ht="45.75" customHeight="1" x14ac:dyDescent="0.3">
      <c r="A2394" s="1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</row>
    <row r="2395" spans="1:20" ht="45.75" customHeight="1" x14ac:dyDescent="0.3">
      <c r="A2395" s="1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</row>
    <row r="2396" spans="1:20" ht="45.75" customHeight="1" x14ac:dyDescent="0.3">
      <c r="A2396" s="1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</row>
    <row r="2397" spans="1:20" ht="45.75" customHeight="1" x14ac:dyDescent="0.3">
      <c r="A2397" s="1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</row>
    <row r="2398" spans="1:20" ht="45.75" customHeight="1" x14ac:dyDescent="0.3">
      <c r="A2398" s="1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</row>
    <row r="2399" spans="1:20" ht="45.75" customHeight="1" x14ac:dyDescent="0.3">
      <c r="A2399" s="1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</row>
    <row r="2400" spans="1:20" ht="45.75" customHeight="1" x14ac:dyDescent="0.3">
      <c r="A2400" s="1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</row>
    <row r="2401" spans="1:20" ht="45.75" customHeight="1" x14ac:dyDescent="0.3">
      <c r="A2401" s="1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</row>
    <row r="2402" spans="1:20" ht="45.75" customHeight="1" x14ac:dyDescent="0.3">
      <c r="A2402" s="1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</row>
    <row r="2403" spans="1:20" ht="45.75" customHeight="1" x14ac:dyDescent="0.3">
      <c r="A2403" s="1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</row>
    <row r="2404" spans="1:20" ht="45.75" customHeight="1" x14ac:dyDescent="0.3">
      <c r="A2404" s="1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</row>
    <row r="2405" spans="1:20" ht="45.75" customHeight="1" x14ac:dyDescent="0.3">
      <c r="A2405" s="1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</row>
    <row r="2406" spans="1:20" ht="45.75" customHeight="1" x14ac:dyDescent="0.3">
      <c r="A2406" s="1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</row>
    <row r="2407" spans="1:20" ht="45.75" customHeight="1" x14ac:dyDescent="0.3">
      <c r="A2407" s="1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</row>
    <row r="2408" spans="1:20" ht="45.75" customHeight="1" x14ac:dyDescent="0.3">
      <c r="A2408" s="1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</row>
    <row r="2409" spans="1:20" ht="45.75" customHeight="1" x14ac:dyDescent="0.3">
      <c r="A2409" s="1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</row>
    <row r="2410" spans="1:20" ht="45.75" customHeight="1" x14ac:dyDescent="0.3">
      <c r="A2410" s="1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</row>
    <row r="2411" spans="1:20" ht="45.75" customHeight="1" x14ac:dyDescent="0.3">
      <c r="A2411" s="1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</row>
    <row r="2412" spans="1:20" ht="45.75" customHeight="1" x14ac:dyDescent="0.3">
      <c r="A2412" s="1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</row>
    <row r="2413" spans="1:20" ht="45.75" customHeight="1" x14ac:dyDescent="0.3">
      <c r="A2413" s="1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</row>
    <row r="2414" spans="1:20" ht="45.75" customHeight="1" x14ac:dyDescent="0.3">
      <c r="A2414" s="1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</row>
    <row r="2415" spans="1:20" ht="45.75" customHeight="1" x14ac:dyDescent="0.3">
      <c r="A2415" s="1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</row>
    <row r="2416" spans="1:20" ht="45.75" customHeight="1" x14ac:dyDescent="0.3">
      <c r="A2416" s="1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</row>
    <row r="2417" spans="1:20" ht="45.75" customHeight="1" x14ac:dyDescent="0.3">
      <c r="A2417" s="1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</row>
    <row r="2418" spans="1:20" ht="45.75" customHeight="1" x14ac:dyDescent="0.3">
      <c r="A2418" s="1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</row>
    <row r="2419" spans="1:20" ht="45.75" customHeight="1" x14ac:dyDescent="0.3">
      <c r="A2419" s="1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</row>
    <row r="2420" spans="1:20" ht="45.75" customHeight="1" x14ac:dyDescent="0.3">
      <c r="A2420" s="1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</row>
    <row r="2421" spans="1:20" ht="45.75" customHeight="1" x14ac:dyDescent="0.3">
      <c r="A2421" s="1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</row>
    <row r="2422" spans="1:20" ht="45.75" customHeight="1" x14ac:dyDescent="0.3">
      <c r="A2422" s="1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</row>
    <row r="2423" spans="1:20" ht="45.75" customHeight="1" x14ac:dyDescent="0.3">
      <c r="A2423" s="1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</row>
    <row r="2424" spans="1:20" ht="45.75" customHeight="1" x14ac:dyDescent="0.3">
      <c r="A2424" s="1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</row>
    <row r="2425" spans="1:20" ht="45.75" customHeight="1" x14ac:dyDescent="0.3">
      <c r="A2425" s="1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</row>
    <row r="2426" spans="1:20" ht="45.75" customHeight="1" x14ac:dyDescent="0.3">
      <c r="A2426" s="1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</row>
    <row r="2427" spans="1:20" ht="45.75" customHeight="1" x14ac:dyDescent="0.3">
      <c r="A2427" s="1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</row>
    <row r="2428" spans="1:20" ht="45.75" customHeight="1" x14ac:dyDescent="0.3">
      <c r="A2428" s="1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</row>
    <row r="2429" spans="1:20" ht="45.75" customHeight="1" x14ac:dyDescent="0.3">
      <c r="A2429" s="1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</row>
    <row r="2430" spans="1:20" ht="45.75" customHeight="1" x14ac:dyDescent="0.3">
      <c r="A2430" s="1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</row>
    <row r="2431" spans="1:20" ht="45.75" customHeight="1" x14ac:dyDescent="0.3">
      <c r="A2431" s="1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</row>
    <row r="2432" spans="1:20" ht="45.75" customHeight="1" x14ac:dyDescent="0.3">
      <c r="A2432" s="1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</row>
    <row r="2433" spans="1:20" ht="45.75" customHeight="1" x14ac:dyDescent="0.3">
      <c r="A2433" s="1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</row>
    <row r="2434" spans="1:20" ht="45.75" customHeight="1" x14ac:dyDescent="0.3">
      <c r="A2434" s="1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</row>
    <row r="2435" spans="1:20" ht="45.75" customHeight="1" x14ac:dyDescent="0.3">
      <c r="A2435" s="1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</row>
    <row r="2436" spans="1:20" ht="45.75" customHeight="1" x14ac:dyDescent="0.3">
      <c r="A2436" s="1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</row>
    <row r="2437" spans="1:20" ht="45.75" customHeight="1" x14ac:dyDescent="0.3">
      <c r="A2437" s="1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</row>
    <row r="2438" spans="1:20" ht="45.75" customHeight="1" x14ac:dyDescent="0.3">
      <c r="A2438" s="1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</row>
    <row r="2439" spans="1:20" ht="45.75" customHeight="1" x14ac:dyDescent="0.3">
      <c r="A2439" s="1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</row>
    <row r="2440" spans="1:20" ht="45.75" customHeight="1" x14ac:dyDescent="0.3">
      <c r="A2440" s="1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</row>
    <row r="2441" spans="1:20" ht="45.75" customHeight="1" x14ac:dyDescent="0.3">
      <c r="A2441" s="1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</row>
    <row r="2442" spans="1:20" ht="45.75" customHeight="1" x14ac:dyDescent="0.3">
      <c r="A2442" s="1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</row>
    <row r="2443" spans="1:20" ht="45.75" customHeight="1" x14ac:dyDescent="0.3">
      <c r="A2443" s="1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</row>
    <row r="2444" spans="1:20" ht="45.75" customHeight="1" x14ac:dyDescent="0.3">
      <c r="A2444" s="1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</row>
    <row r="2445" spans="1:20" ht="45.75" customHeight="1" x14ac:dyDescent="0.3">
      <c r="A2445" s="1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</row>
    <row r="2446" spans="1:20" ht="45.75" customHeight="1" x14ac:dyDescent="0.3">
      <c r="A2446" s="1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</row>
    <row r="2447" spans="1:20" ht="45.75" customHeight="1" x14ac:dyDescent="0.3">
      <c r="A2447" s="1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</row>
    <row r="2448" spans="1:20" ht="45.75" customHeight="1" x14ac:dyDescent="0.3">
      <c r="A2448" s="1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</row>
    <row r="2449" spans="1:20" ht="45.75" customHeight="1" x14ac:dyDescent="0.3">
      <c r="A2449" s="1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</row>
    <row r="2450" spans="1:20" ht="45.75" customHeight="1" x14ac:dyDescent="0.3">
      <c r="A2450" s="1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</row>
    <row r="2451" spans="1:20" ht="45.75" customHeight="1" x14ac:dyDescent="0.3">
      <c r="A2451" s="1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</row>
    <row r="2452" spans="1:20" ht="45.75" customHeight="1" x14ac:dyDescent="0.3">
      <c r="A2452" s="1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</row>
    <row r="2453" spans="1:20" ht="45.75" customHeight="1" x14ac:dyDescent="0.3">
      <c r="A2453" s="1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</row>
    <row r="2454" spans="1:20" ht="45.75" customHeight="1" x14ac:dyDescent="0.3">
      <c r="A2454" s="1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</row>
    <row r="2455" spans="1:20" ht="45.75" customHeight="1" x14ac:dyDescent="0.3">
      <c r="A2455" s="1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</row>
    <row r="2456" spans="1:20" ht="45.75" customHeight="1" x14ac:dyDescent="0.3">
      <c r="A2456" s="1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</row>
    <row r="2457" spans="1:20" ht="45.75" customHeight="1" x14ac:dyDescent="0.3">
      <c r="A2457" s="1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</row>
    <row r="2458" spans="1:20" ht="45.75" customHeight="1" x14ac:dyDescent="0.3">
      <c r="A2458" s="1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</row>
    <row r="2459" spans="1:20" ht="45.75" customHeight="1" x14ac:dyDescent="0.3">
      <c r="A2459" s="1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</row>
    <row r="2460" spans="1:20" ht="45.75" customHeight="1" x14ac:dyDescent="0.3">
      <c r="A2460" s="1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</row>
    <row r="2461" spans="1:20" ht="45.75" customHeight="1" x14ac:dyDescent="0.3">
      <c r="A2461" s="1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</row>
    <row r="2462" spans="1:20" ht="45.75" customHeight="1" x14ac:dyDescent="0.3">
      <c r="A2462" s="1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</row>
    <row r="2463" spans="1:20" ht="45.75" customHeight="1" x14ac:dyDescent="0.3">
      <c r="A2463" s="1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</row>
    <row r="2464" spans="1:20" ht="45.75" customHeight="1" x14ac:dyDescent="0.3">
      <c r="A2464" s="1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</row>
    <row r="2465" spans="1:20" ht="45.75" customHeight="1" x14ac:dyDescent="0.3">
      <c r="A2465" s="1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</row>
    <row r="2466" spans="1:20" ht="45.75" customHeight="1" x14ac:dyDescent="0.3">
      <c r="A2466" s="1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</row>
    <row r="2467" spans="1:20" ht="45.75" customHeight="1" x14ac:dyDescent="0.3">
      <c r="A2467" s="1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</row>
    <row r="2468" spans="1:20" ht="45.75" customHeight="1" x14ac:dyDescent="0.3">
      <c r="A2468" s="1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</row>
    <row r="2469" spans="1:20" ht="45.75" customHeight="1" x14ac:dyDescent="0.3">
      <c r="A2469" s="1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</row>
    <row r="2470" spans="1:20" ht="45.75" customHeight="1" x14ac:dyDescent="0.3">
      <c r="A2470" s="1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</row>
    <row r="2471" spans="1:20" ht="45.75" customHeight="1" x14ac:dyDescent="0.3">
      <c r="A2471" s="1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</row>
    <row r="2472" spans="1:20" ht="45.75" customHeight="1" x14ac:dyDescent="0.3">
      <c r="A2472" s="1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</row>
    <row r="2473" spans="1:20" ht="45.75" customHeight="1" x14ac:dyDescent="0.3">
      <c r="A2473" s="1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</row>
    <row r="2474" spans="1:20" ht="45.75" customHeight="1" x14ac:dyDescent="0.3">
      <c r="A2474" s="1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</row>
    <row r="2475" spans="1:20" ht="45.75" customHeight="1" x14ac:dyDescent="0.3">
      <c r="A2475" s="1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</row>
    <row r="2476" spans="1:20" ht="45.75" customHeight="1" x14ac:dyDescent="0.3">
      <c r="A2476" s="1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</row>
    <row r="2477" spans="1:20" ht="45.75" customHeight="1" x14ac:dyDescent="0.3">
      <c r="A2477" s="1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</row>
    <row r="2478" spans="1:20" ht="45.75" customHeight="1" x14ac:dyDescent="0.3">
      <c r="A2478" s="1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</row>
    <row r="2479" spans="1:20" ht="45.75" customHeight="1" x14ac:dyDescent="0.3">
      <c r="A2479" s="1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</row>
    <row r="2480" spans="1:20" ht="45.75" customHeight="1" x14ac:dyDescent="0.3">
      <c r="A2480" s="1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</row>
    <row r="2481" spans="1:20" ht="45.75" customHeight="1" x14ac:dyDescent="0.3">
      <c r="A2481" s="1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</row>
    <row r="2482" spans="1:20" ht="45.75" customHeight="1" x14ac:dyDescent="0.3">
      <c r="A2482" s="1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</row>
    <row r="2483" spans="1:20" ht="45.75" customHeight="1" x14ac:dyDescent="0.3">
      <c r="A2483" s="1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</row>
    <row r="2484" spans="1:20" ht="45.75" customHeight="1" x14ac:dyDescent="0.3">
      <c r="A2484" s="1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</row>
    <row r="2485" spans="1:20" ht="45.75" customHeight="1" x14ac:dyDescent="0.3">
      <c r="A2485" s="1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</row>
    <row r="2486" spans="1:20" ht="45.75" customHeight="1" x14ac:dyDescent="0.3">
      <c r="A2486" s="1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</row>
    <row r="2487" spans="1:20" ht="45.75" customHeight="1" x14ac:dyDescent="0.3">
      <c r="A2487" s="1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</row>
    <row r="2488" spans="1:20" ht="45.75" customHeight="1" x14ac:dyDescent="0.3">
      <c r="A2488" s="1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</row>
    <row r="2489" spans="1:20" ht="45.75" customHeight="1" x14ac:dyDescent="0.3">
      <c r="A2489" s="1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</row>
    <row r="2490" spans="1:20" ht="45.75" customHeight="1" x14ac:dyDescent="0.3">
      <c r="A2490" s="1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</row>
    <row r="2491" spans="1:20" ht="45.75" customHeight="1" x14ac:dyDescent="0.3">
      <c r="A2491" s="1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</row>
    <row r="2492" spans="1:20" ht="45.75" customHeight="1" x14ac:dyDescent="0.3">
      <c r="A2492" s="1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</row>
    <row r="2493" spans="1:20" ht="45.75" customHeight="1" x14ac:dyDescent="0.3">
      <c r="A2493" s="1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</row>
    <row r="2494" spans="1:20" ht="45.75" customHeight="1" x14ac:dyDescent="0.3">
      <c r="A2494" s="1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</row>
    <row r="2495" spans="1:20" ht="45.75" customHeight="1" x14ac:dyDescent="0.3">
      <c r="A2495" s="1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</row>
    <row r="2496" spans="1:20" ht="45.75" customHeight="1" x14ac:dyDescent="0.3">
      <c r="A2496" s="1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</row>
    <row r="2497" spans="1:20" ht="45.75" customHeight="1" x14ac:dyDescent="0.3">
      <c r="A2497" s="1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</row>
    <row r="2498" spans="1:20" ht="45.75" customHeight="1" x14ac:dyDescent="0.3">
      <c r="A2498" s="1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</row>
    <row r="2499" spans="1:20" ht="45.75" customHeight="1" x14ac:dyDescent="0.3">
      <c r="A2499" s="1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</row>
    <row r="2500" spans="1:20" ht="45.75" customHeight="1" x14ac:dyDescent="0.3">
      <c r="A2500" s="1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</row>
    <row r="2501" spans="1:20" ht="45.75" customHeight="1" x14ac:dyDescent="0.3">
      <c r="A2501" s="1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</row>
    <row r="2502" spans="1:20" ht="45.75" customHeight="1" x14ac:dyDescent="0.3">
      <c r="A2502" s="1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</row>
    <row r="2503" spans="1:20" ht="45.75" customHeight="1" x14ac:dyDescent="0.3">
      <c r="A2503" s="1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</row>
    <row r="2504" spans="1:20" ht="45.75" customHeight="1" x14ac:dyDescent="0.3">
      <c r="A2504" s="1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</row>
    <row r="2505" spans="1:20" ht="45.75" customHeight="1" x14ac:dyDescent="0.3">
      <c r="A2505" s="1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</row>
    <row r="2506" spans="1:20" ht="45.75" customHeight="1" x14ac:dyDescent="0.3">
      <c r="A2506" s="1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</row>
    <row r="2507" spans="1:20" ht="45.75" customHeight="1" x14ac:dyDescent="0.3">
      <c r="A2507" s="1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</row>
    <row r="2508" spans="1:20" ht="45.75" customHeight="1" x14ac:dyDescent="0.3">
      <c r="A2508" s="1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</row>
    <row r="2509" spans="1:20" ht="45.75" customHeight="1" x14ac:dyDescent="0.3">
      <c r="A2509" s="1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</row>
    <row r="2510" spans="1:20" ht="45.75" customHeight="1" x14ac:dyDescent="0.3">
      <c r="A2510" s="1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</row>
    <row r="2511" spans="1:20" ht="45.75" customHeight="1" x14ac:dyDescent="0.3">
      <c r="A2511" s="1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</row>
    <row r="2512" spans="1:20" ht="45.75" customHeight="1" x14ac:dyDescent="0.3">
      <c r="A2512" s="1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</row>
    <row r="2513" spans="1:20" ht="45.75" customHeight="1" x14ac:dyDescent="0.3">
      <c r="A2513" s="1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</row>
    <row r="2514" spans="1:20" ht="45.75" customHeight="1" x14ac:dyDescent="0.3">
      <c r="A2514" s="1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</row>
    <row r="2515" spans="1:20" ht="45.75" customHeight="1" x14ac:dyDescent="0.3">
      <c r="A2515" s="1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</row>
    <row r="2516" spans="1:20" ht="45.75" customHeight="1" x14ac:dyDescent="0.3">
      <c r="A2516" s="1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</row>
    <row r="2517" spans="1:20" ht="45.75" customHeight="1" x14ac:dyDescent="0.3">
      <c r="A2517" s="1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</row>
    <row r="2518" spans="1:20" ht="45.75" customHeight="1" x14ac:dyDescent="0.3">
      <c r="A2518" s="1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</row>
    <row r="2519" spans="1:20" ht="45.75" customHeight="1" x14ac:dyDescent="0.3">
      <c r="A2519" s="1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</row>
    <row r="2520" spans="1:20" ht="45.75" customHeight="1" x14ac:dyDescent="0.3">
      <c r="A2520" s="1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</row>
    <row r="2521" spans="1:20" ht="45.75" customHeight="1" x14ac:dyDescent="0.3">
      <c r="A2521" s="1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</row>
    <row r="2522" spans="1:20" ht="45.75" customHeight="1" x14ac:dyDescent="0.3">
      <c r="A2522" s="1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</row>
    <row r="2523" spans="1:20" ht="45.75" customHeight="1" x14ac:dyDescent="0.3">
      <c r="A2523" s="1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</row>
    <row r="2524" spans="1:20" ht="45.75" customHeight="1" x14ac:dyDescent="0.3">
      <c r="A2524" s="1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</row>
    <row r="2525" spans="1:20" ht="45.75" customHeight="1" x14ac:dyDescent="0.3">
      <c r="A2525" s="1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</row>
    <row r="2526" spans="1:20" ht="45.75" customHeight="1" x14ac:dyDescent="0.3">
      <c r="A2526" s="1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</row>
    <row r="2527" spans="1:20" ht="45.75" customHeight="1" x14ac:dyDescent="0.3">
      <c r="A2527" s="1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</row>
    <row r="2528" spans="1:20" ht="45.75" customHeight="1" x14ac:dyDescent="0.3">
      <c r="A2528" s="1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</row>
    <row r="2529" spans="1:20" ht="45.75" customHeight="1" x14ac:dyDescent="0.3">
      <c r="A2529" s="1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</row>
    <row r="2530" spans="1:20" ht="45.75" customHeight="1" x14ac:dyDescent="0.3">
      <c r="A2530" s="1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</row>
    <row r="2531" spans="1:20" ht="45.75" customHeight="1" x14ac:dyDescent="0.3">
      <c r="A2531" s="1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</row>
    <row r="2532" spans="1:20" ht="45.75" customHeight="1" x14ac:dyDescent="0.3">
      <c r="A2532" s="1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</row>
    <row r="2533" spans="1:20" ht="45.75" customHeight="1" x14ac:dyDescent="0.3">
      <c r="A2533" s="1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</row>
    <row r="2534" spans="1:20" ht="45.75" customHeight="1" x14ac:dyDescent="0.3">
      <c r="A2534" s="1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</row>
    <row r="2535" spans="1:20" ht="45.75" customHeight="1" x14ac:dyDescent="0.3">
      <c r="A2535" s="1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</row>
    <row r="2536" spans="1:20" ht="45.75" customHeight="1" x14ac:dyDescent="0.3">
      <c r="A2536" s="1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</row>
    <row r="2537" spans="1:20" ht="45.75" customHeight="1" x14ac:dyDescent="0.3">
      <c r="A2537" s="1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</row>
    <row r="2538" spans="1:20" ht="45.75" customHeight="1" x14ac:dyDescent="0.3">
      <c r="A2538" s="1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</row>
    <row r="2539" spans="1:20" ht="45.75" customHeight="1" x14ac:dyDescent="0.3">
      <c r="A2539" s="1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</row>
    <row r="2540" spans="1:20" ht="45.75" customHeight="1" x14ac:dyDescent="0.3">
      <c r="A2540" s="1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</row>
    <row r="2541" spans="1:20" ht="45.75" customHeight="1" x14ac:dyDescent="0.3">
      <c r="A2541" s="1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</row>
    <row r="2542" spans="1:20" ht="45.75" customHeight="1" x14ac:dyDescent="0.3">
      <c r="A2542" s="1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</row>
    <row r="2543" spans="1:20" ht="45.75" customHeight="1" x14ac:dyDescent="0.3">
      <c r="A2543" s="1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</row>
    <row r="2544" spans="1:20" ht="45.75" customHeight="1" x14ac:dyDescent="0.3">
      <c r="A2544" s="1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</row>
    <row r="2545" spans="1:20" ht="45.75" customHeight="1" x14ac:dyDescent="0.3">
      <c r="A2545" s="1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</row>
    <row r="2546" spans="1:20" ht="45.75" customHeight="1" x14ac:dyDescent="0.3">
      <c r="A2546" s="1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</row>
    <row r="2547" spans="1:20" ht="45.75" customHeight="1" x14ac:dyDescent="0.3">
      <c r="A2547" s="1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</row>
    <row r="2548" spans="1:20" ht="45.75" customHeight="1" x14ac:dyDescent="0.3">
      <c r="A2548" s="1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</row>
    <row r="2549" spans="1:20" ht="45.75" customHeight="1" x14ac:dyDescent="0.3">
      <c r="A2549" s="1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</row>
    <row r="2550" spans="1:20" ht="45.75" customHeight="1" x14ac:dyDescent="0.3">
      <c r="A2550" s="1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</row>
    <row r="2551" spans="1:20" ht="45.75" customHeight="1" x14ac:dyDescent="0.3">
      <c r="A2551" s="1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</row>
    <row r="2552" spans="1:20" ht="45.75" customHeight="1" x14ac:dyDescent="0.3">
      <c r="A2552" s="1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</row>
    <row r="2553" spans="1:20" ht="45.75" customHeight="1" x14ac:dyDescent="0.3">
      <c r="A2553" s="1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</row>
    <row r="2554" spans="1:20" ht="45.75" customHeight="1" x14ac:dyDescent="0.3">
      <c r="A2554" s="1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</row>
    <row r="2555" spans="1:20" ht="45.75" customHeight="1" x14ac:dyDescent="0.3">
      <c r="A2555" s="1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</row>
    <row r="2556" spans="1:20" ht="45.75" customHeight="1" x14ac:dyDescent="0.3">
      <c r="A2556" s="1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</row>
    <row r="2557" spans="1:20" ht="45.75" customHeight="1" x14ac:dyDescent="0.3">
      <c r="A2557" s="1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</row>
    <row r="2558" spans="1:20" ht="45.75" customHeight="1" x14ac:dyDescent="0.3">
      <c r="A2558" s="1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</row>
    <row r="2559" spans="1:20" ht="45.75" customHeight="1" x14ac:dyDescent="0.3">
      <c r="A2559" s="1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</row>
    <row r="2560" spans="1:20" ht="45.75" customHeight="1" x14ac:dyDescent="0.3">
      <c r="A2560" s="1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</row>
    <row r="2561" spans="1:20" ht="45.75" customHeight="1" x14ac:dyDescent="0.3">
      <c r="A2561" s="1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</row>
    <row r="2562" spans="1:20" ht="45.75" customHeight="1" x14ac:dyDescent="0.3">
      <c r="A2562" s="1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</row>
    <row r="2563" spans="1:20" ht="45.75" customHeight="1" x14ac:dyDescent="0.3">
      <c r="A2563" s="1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</row>
    <row r="2564" spans="1:20" ht="45.75" customHeight="1" x14ac:dyDescent="0.3">
      <c r="A2564" s="1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</row>
    <row r="2565" spans="1:20" ht="45.75" customHeight="1" x14ac:dyDescent="0.3">
      <c r="A2565" s="1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</row>
    <row r="2566" spans="1:20" ht="45.75" customHeight="1" x14ac:dyDescent="0.3">
      <c r="A2566" s="1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</row>
    <row r="2567" spans="1:20" ht="45.75" customHeight="1" x14ac:dyDescent="0.3">
      <c r="A2567" s="1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</row>
    <row r="2568" spans="1:20" ht="45.75" customHeight="1" x14ac:dyDescent="0.3">
      <c r="A2568" s="1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</row>
    <row r="2569" spans="1:20" ht="45.75" customHeight="1" x14ac:dyDescent="0.3">
      <c r="A2569" s="1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</row>
    <row r="2570" spans="1:20" ht="45.75" customHeight="1" x14ac:dyDescent="0.3">
      <c r="A2570" s="1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</row>
    <row r="2571" spans="1:20" ht="45.75" customHeight="1" x14ac:dyDescent="0.3">
      <c r="A2571" s="1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</row>
    <row r="2572" spans="1:20" ht="45.75" customHeight="1" x14ac:dyDescent="0.3">
      <c r="A2572" s="1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</row>
    <row r="2573" spans="1:20" ht="45.75" customHeight="1" x14ac:dyDescent="0.3">
      <c r="A2573" s="1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</row>
    <row r="2574" spans="1:20" ht="45.75" customHeight="1" x14ac:dyDescent="0.3">
      <c r="A2574" s="1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</row>
    <row r="2575" spans="1:20" ht="45.75" customHeight="1" x14ac:dyDescent="0.3">
      <c r="A2575" s="1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</row>
    <row r="2576" spans="1:20" ht="45.75" customHeight="1" x14ac:dyDescent="0.3">
      <c r="A2576" s="1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</row>
    <row r="2577" spans="1:20" ht="45.75" customHeight="1" x14ac:dyDescent="0.3">
      <c r="A2577" s="1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</row>
    <row r="2578" spans="1:20" ht="45.75" customHeight="1" x14ac:dyDescent="0.3">
      <c r="A2578" s="1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</row>
    <row r="2579" spans="1:20" ht="45.75" customHeight="1" x14ac:dyDescent="0.3">
      <c r="A2579" s="1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</row>
    <row r="2580" spans="1:20" ht="45.75" customHeight="1" x14ac:dyDescent="0.3">
      <c r="A2580" s="1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</row>
    <row r="2581" spans="1:20" ht="45.75" customHeight="1" x14ac:dyDescent="0.3">
      <c r="A2581" s="1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</row>
    <row r="2582" spans="1:20" ht="45.75" customHeight="1" x14ac:dyDescent="0.3">
      <c r="A2582" s="1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</row>
    <row r="2583" spans="1:20" ht="45.75" customHeight="1" x14ac:dyDescent="0.3">
      <c r="A2583" s="1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</row>
    <row r="2584" spans="1:20" ht="45.75" customHeight="1" x14ac:dyDescent="0.3">
      <c r="A2584" s="1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</row>
    <row r="2585" spans="1:20" ht="45.75" customHeight="1" x14ac:dyDescent="0.3">
      <c r="A2585" s="1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</row>
    <row r="2586" spans="1:20" ht="45.75" customHeight="1" x14ac:dyDescent="0.3">
      <c r="A2586" s="1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</row>
    <row r="2587" spans="1:20" ht="45.75" customHeight="1" x14ac:dyDescent="0.3">
      <c r="A2587" s="1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</row>
    <row r="2588" spans="1:20" ht="45.75" customHeight="1" x14ac:dyDescent="0.3">
      <c r="A2588" s="1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</row>
    <row r="2589" spans="1:20" ht="45.75" customHeight="1" x14ac:dyDescent="0.3">
      <c r="A2589" s="1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</row>
    <row r="2590" spans="1:20" ht="45.75" customHeight="1" x14ac:dyDescent="0.3">
      <c r="A2590" s="1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</row>
    <row r="2591" spans="1:20" ht="45.75" customHeight="1" x14ac:dyDescent="0.3">
      <c r="A2591" s="1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</row>
    <row r="2592" spans="1:20" ht="45.75" customHeight="1" x14ac:dyDescent="0.3">
      <c r="A2592" s="1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</row>
    <row r="2593" spans="1:20" ht="45.75" customHeight="1" x14ac:dyDescent="0.3">
      <c r="A2593" s="1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</row>
    <row r="2594" spans="1:20" ht="45.75" customHeight="1" x14ac:dyDescent="0.3">
      <c r="A2594" s="1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</row>
    <row r="2595" spans="1:20" ht="45.75" customHeight="1" x14ac:dyDescent="0.3">
      <c r="A2595" s="1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</row>
    <row r="2596" spans="1:20" ht="45.75" customHeight="1" x14ac:dyDescent="0.3">
      <c r="A2596" s="1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</row>
    <row r="2597" spans="1:20" ht="45.75" customHeight="1" x14ac:dyDescent="0.3">
      <c r="A2597" s="1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</row>
    <row r="2598" spans="1:20" ht="45.75" customHeight="1" x14ac:dyDescent="0.3">
      <c r="A2598" s="1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</row>
    <row r="2599" spans="1:20" ht="45.75" customHeight="1" x14ac:dyDescent="0.3">
      <c r="A2599" s="1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</row>
    <row r="2600" spans="1:20" ht="45.75" customHeight="1" x14ac:dyDescent="0.3">
      <c r="A2600" s="1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</row>
    <row r="2601" spans="1:20" ht="45.75" customHeight="1" x14ac:dyDescent="0.3">
      <c r="A2601" s="1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</row>
    <row r="2602" spans="1:20" ht="45.75" customHeight="1" x14ac:dyDescent="0.3">
      <c r="A2602" s="1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</row>
    <row r="2603" spans="1:20" ht="45.75" customHeight="1" x14ac:dyDescent="0.3">
      <c r="A2603" s="1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</row>
    <row r="2604" spans="1:20" ht="45.75" customHeight="1" x14ac:dyDescent="0.3">
      <c r="A2604" s="1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</row>
    <row r="2605" spans="1:20" ht="45.75" customHeight="1" x14ac:dyDescent="0.3">
      <c r="A2605" s="1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</row>
    <row r="2606" spans="1:20" ht="45.75" customHeight="1" x14ac:dyDescent="0.3">
      <c r="A2606" s="1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</row>
    <row r="2607" spans="1:20" ht="45.75" customHeight="1" x14ac:dyDescent="0.3">
      <c r="A2607" s="1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</row>
    <row r="2608" spans="1:20" ht="45.75" customHeight="1" x14ac:dyDescent="0.3">
      <c r="A2608" s="1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</row>
    <row r="2609" spans="1:20" ht="45.75" customHeight="1" x14ac:dyDescent="0.3">
      <c r="A2609" s="1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</row>
    <row r="2610" spans="1:20" ht="45.75" customHeight="1" x14ac:dyDescent="0.3">
      <c r="A2610" s="1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</row>
    <row r="2611" spans="1:20" ht="45.75" customHeight="1" x14ac:dyDescent="0.3">
      <c r="A2611" s="1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</row>
    <row r="2612" spans="1:20" ht="45.75" customHeight="1" x14ac:dyDescent="0.3">
      <c r="A2612" s="1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</row>
    <row r="2613" spans="1:20" ht="45.75" customHeight="1" x14ac:dyDescent="0.3">
      <c r="A2613" s="1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</row>
    <row r="2614" spans="1:20" ht="45.75" customHeight="1" x14ac:dyDescent="0.3">
      <c r="A2614" s="1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</row>
    <row r="2615" spans="1:20" ht="45.75" customHeight="1" x14ac:dyDescent="0.3">
      <c r="A2615" s="1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</row>
    <row r="2616" spans="1:20" ht="45.75" customHeight="1" x14ac:dyDescent="0.3">
      <c r="A2616" s="1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</row>
    <row r="2617" spans="1:20" ht="45.75" customHeight="1" x14ac:dyDescent="0.3">
      <c r="A2617" s="1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</row>
    <row r="2618" spans="1:20" ht="45.75" customHeight="1" x14ac:dyDescent="0.3">
      <c r="A2618" s="1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</row>
    <row r="2619" spans="1:20" ht="45.75" customHeight="1" x14ac:dyDescent="0.3">
      <c r="A2619" s="1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</row>
    <row r="2620" spans="1:20" ht="45.75" customHeight="1" x14ac:dyDescent="0.3">
      <c r="A2620" s="1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</row>
    <row r="2621" spans="1:20" ht="45.75" customHeight="1" x14ac:dyDescent="0.3">
      <c r="A2621" s="1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</row>
    <row r="2622" spans="1:20" ht="45.75" customHeight="1" x14ac:dyDescent="0.3">
      <c r="A2622" s="1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</row>
    <row r="2623" spans="1:20" ht="45.75" customHeight="1" x14ac:dyDescent="0.3">
      <c r="A2623" s="1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</row>
    <row r="2624" spans="1:20" ht="45.75" customHeight="1" x14ac:dyDescent="0.3">
      <c r="A2624" s="1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</row>
    <row r="2625" spans="1:20" ht="45.75" customHeight="1" x14ac:dyDescent="0.3">
      <c r="A2625" s="1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</row>
    <row r="2626" spans="1:20" ht="45.75" customHeight="1" x14ac:dyDescent="0.3">
      <c r="A2626" s="1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</row>
    <row r="2627" spans="1:20" ht="45.75" customHeight="1" x14ac:dyDescent="0.3">
      <c r="A2627" s="1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</row>
    <row r="2628" spans="1:20" ht="45.75" customHeight="1" x14ac:dyDescent="0.3">
      <c r="A2628" s="1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</row>
    <row r="2629" spans="1:20" ht="45.75" customHeight="1" x14ac:dyDescent="0.3">
      <c r="A2629" s="1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</row>
    <row r="2630" spans="1:20" ht="45.75" customHeight="1" x14ac:dyDescent="0.3">
      <c r="A2630" s="1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</row>
    <row r="2631" spans="1:20" ht="45.75" customHeight="1" x14ac:dyDescent="0.3">
      <c r="A2631" s="1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</row>
    <row r="2632" spans="1:20" ht="45.75" customHeight="1" x14ac:dyDescent="0.3">
      <c r="A2632" s="1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</row>
    <row r="2633" spans="1:20" ht="45.75" customHeight="1" x14ac:dyDescent="0.3">
      <c r="A2633" s="1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</row>
    <row r="2634" spans="1:20" ht="45.75" customHeight="1" x14ac:dyDescent="0.3">
      <c r="A2634" s="1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</row>
    <row r="2635" spans="1:20" ht="45.75" customHeight="1" x14ac:dyDescent="0.3">
      <c r="A2635" s="1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</row>
    <row r="2636" spans="1:20" ht="45.75" customHeight="1" x14ac:dyDescent="0.3">
      <c r="A2636" s="1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</row>
    <row r="2637" spans="1:20" ht="45.75" customHeight="1" x14ac:dyDescent="0.3">
      <c r="A2637" s="1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</row>
    <row r="2638" spans="1:20" ht="45.75" customHeight="1" x14ac:dyDescent="0.3">
      <c r="A2638" s="1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</row>
    <row r="2639" spans="1:20" ht="45.75" customHeight="1" x14ac:dyDescent="0.3">
      <c r="A2639" s="1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</row>
    <row r="2640" spans="1:20" ht="45.75" customHeight="1" x14ac:dyDescent="0.3">
      <c r="A2640" s="1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</row>
    <row r="2641" spans="1:20" ht="45.75" customHeight="1" x14ac:dyDescent="0.3">
      <c r="A2641" s="1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</row>
    <row r="2642" spans="1:20" ht="45.75" customHeight="1" x14ac:dyDescent="0.3">
      <c r="A2642" s="1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</row>
    <row r="2643" spans="1:20" ht="45.75" customHeight="1" x14ac:dyDescent="0.3">
      <c r="A2643" s="1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</row>
    <row r="2644" spans="1:20" ht="45.75" customHeight="1" x14ac:dyDescent="0.3">
      <c r="A2644" s="1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</row>
    <row r="2645" spans="1:20" ht="45.75" customHeight="1" x14ac:dyDescent="0.3">
      <c r="A2645" s="1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</row>
    <row r="2646" spans="1:20" ht="45.75" customHeight="1" x14ac:dyDescent="0.3">
      <c r="A2646" s="1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</row>
    <row r="2647" spans="1:20" ht="45.75" customHeight="1" x14ac:dyDescent="0.3">
      <c r="A2647" s="1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</row>
    <row r="2648" spans="1:20" ht="45.75" customHeight="1" x14ac:dyDescent="0.3">
      <c r="A2648" s="1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</row>
    <row r="2649" spans="1:20" ht="45.75" customHeight="1" x14ac:dyDescent="0.3">
      <c r="A2649" s="1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</row>
    <row r="2650" spans="1:20" ht="45.75" customHeight="1" x14ac:dyDescent="0.3">
      <c r="A2650" s="1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</row>
    <row r="2651" spans="1:20" ht="45.75" customHeight="1" x14ac:dyDescent="0.3">
      <c r="A2651" s="1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</row>
    <row r="2652" spans="1:20" ht="45.75" customHeight="1" x14ac:dyDescent="0.3">
      <c r="A2652" s="1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</row>
    <row r="2653" spans="1:20" ht="45.75" customHeight="1" x14ac:dyDescent="0.3">
      <c r="A2653" s="1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</row>
    <row r="2654" spans="1:20" ht="45.75" customHeight="1" x14ac:dyDescent="0.3">
      <c r="A2654" s="1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</row>
    <row r="2655" spans="1:20" ht="45.75" customHeight="1" x14ac:dyDescent="0.3">
      <c r="A2655" s="1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</row>
    <row r="2656" spans="1:20" ht="45.75" customHeight="1" x14ac:dyDescent="0.3">
      <c r="A2656" s="1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</row>
    <row r="2657" spans="1:20" ht="45.75" customHeight="1" x14ac:dyDescent="0.3">
      <c r="A2657" s="1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</row>
    <row r="2658" spans="1:20" ht="45.75" customHeight="1" x14ac:dyDescent="0.3">
      <c r="A2658" s="1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</row>
    <row r="2659" spans="1:20" ht="45.75" customHeight="1" x14ac:dyDescent="0.3">
      <c r="A2659" s="1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</row>
    <row r="2660" spans="1:20" ht="45.75" customHeight="1" x14ac:dyDescent="0.3">
      <c r="A2660" s="1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</row>
    <row r="2661" spans="1:20" ht="45.75" customHeight="1" x14ac:dyDescent="0.3">
      <c r="A2661" s="1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</row>
    <row r="2662" spans="1:20" ht="45.75" customHeight="1" x14ac:dyDescent="0.3">
      <c r="A2662" s="1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</row>
    <row r="2663" spans="1:20" ht="45.75" customHeight="1" x14ac:dyDescent="0.3">
      <c r="A2663" s="1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</row>
    <row r="2664" spans="1:20" ht="45.75" customHeight="1" x14ac:dyDescent="0.3">
      <c r="A2664" s="1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</row>
    <row r="2665" spans="1:20" ht="45.75" customHeight="1" x14ac:dyDescent="0.3">
      <c r="A2665" s="1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</row>
    <row r="2666" spans="1:20" ht="45.75" customHeight="1" x14ac:dyDescent="0.3">
      <c r="A2666" s="1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</row>
    <row r="2667" spans="1:20" ht="45.75" customHeight="1" x14ac:dyDescent="0.3">
      <c r="A2667" s="1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</row>
    <row r="2668" spans="1:20" ht="45.75" customHeight="1" x14ac:dyDescent="0.3">
      <c r="A2668" s="1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</row>
    <row r="2669" spans="1:20" ht="45.75" customHeight="1" x14ac:dyDescent="0.3">
      <c r="A2669" s="1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</row>
    <row r="2670" spans="1:20" ht="45.75" customHeight="1" x14ac:dyDescent="0.3">
      <c r="A2670" s="1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</row>
    <row r="2671" spans="1:20" ht="45.75" customHeight="1" x14ac:dyDescent="0.3">
      <c r="A2671" s="1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</row>
    <row r="2672" spans="1:20" ht="45.75" customHeight="1" x14ac:dyDescent="0.3">
      <c r="A2672" s="1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</row>
    <row r="2673" spans="1:20" ht="45.75" customHeight="1" x14ac:dyDescent="0.3">
      <c r="A2673" s="1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</row>
    <row r="2674" spans="1:20" ht="45.75" customHeight="1" x14ac:dyDescent="0.3">
      <c r="A2674" s="1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</row>
    <row r="2675" spans="1:20" ht="45.75" customHeight="1" x14ac:dyDescent="0.3">
      <c r="A2675" s="1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</row>
    <row r="2676" spans="1:20" ht="45.75" customHeight="1" x14ac:dyDescent="0.3">
      <c r="A2676" s="1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</row>
    <row r="2677" spans="1:20" ht="45.75" customHeight="1" x14ac:dyDescent="0.3">
      <c r="A2677" s="1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</row>
    <row r="2678" spans="1:20" ht="45.75" customHeight="1" x14ac:dyDescent="0.3">
      <c r="A2678" s="1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</row>
    <row r="2679" spans="1:20" ht="45.75" customHeight="1" x14ac:dyDescent="0.3">
      <c r="A2679" s="1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</row>
    <row r="2680" spans="1:20" ht="45.75" customHeight="1" x14ac:dyDescent="0.3">
      <c r="A2680" s="1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</row>
    <row r="2681" spans="1:20" ht="45.75" customHeight="1" x14ac:dyDescent="0.3">
      <c r="A2681" s="1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</row>
    <row r="2682" spans="1:20" ht="45.75" customHeight="1" x14ac:dyDescent="0.3">
      <c r="A2682" s="1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</row>
    <row r="2683" spans="1:20" ht="45.75" customHeight="1" x14ac:dyDescent="0.3">
      <c r="A2683" s="1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</row>
    <row r="2684" spans="1:20" ht="45.75" customHeight="1" x14ac:dyDescent="0.3">
      <c r="A2684" s="1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</row>
    <row r="2685" spans="1:20" ht="45.75" customHeight="1" x14ac:dyDescent="0.3">
      <c r="A2685" s="1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</row>
    <row r="2686" spans="1:20" ht="45.75" customHeight="1" x14ac:dyDescent="0.3">
      <c r="A2686" s="1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</row>
    <row r="2687" spans="1:20" ht="45.75" customHeight="1" x14ac:dyDescent="0.3">
      <c r="A2687" s="1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</row>
    <row r="2688" spans="1:20" ht="45.75" customHeight="1" x14ac:dyDescent="0.3">
      <c r="A2688" s="1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</row>
    <row r="2689" spans="1:20" ht="45.75" customHeight="1" x14ac:dyDescent="0.3">
      <c r="A2689" s="1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</row>
    <row r="2690" spans="1:20" ht="45.75" customHeight="1" x14ac:dyDescent="0.3">
      <c r="A2690" s="1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</row>
    <row r="2691" spans="1:20" ht="45.75" customHeight="1" x14ac:dyDescent="0.3">
      <c r="A2691" s="1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</row>
    <row r="2692" spans="1:20" ht="45.75" customHeight="1" x14ac:dyDescent="0.3">
      <c r="A2692" s="1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</row>
    <row r="2693" spans="1:20" ht="45.75" customHeight="1" x14ac:dyDescent="0.3">
      <c r="A2693" s="1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</row>
    <row r="2694" spans="1:20" ht="45.75" customHeight="1" x14ac:dyDescent="0.3">
      <c r="A2694" s="1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</row>
    <row r="2695" spans="1:20" ht="45.75" customHeight="1" x14ac:dyDescent="0.3">
      <c r="A2695" s="1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</row>
    <row r="2696" spans="1:20" ht="45.75" customHeight="1" x14ac:dyDescent="0.3">
      <c r="A2696" s="1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</row>
    <row r="2697" spans="1:20" ht="45.75" customHeight="1" x14ac:dyDescent="0.3">
      <c r="A2697" s="1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</row>
    <row r="2698" spans="1:20" ht="45.75" customHeight="1" x14ac:dyDescent="0.3">
      <c r="A2698" s="1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</row>
    <row r="2699" spans="1:20" ht="45.75" customHeight="1" x14ac:dyDescent="0.3">
      <c r="A2699" s="1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</row>
    <row r="2700" spans="1:20" ht="45.75" customHeight="1" x14ac:dyDescent="0.3">
      <c r="A2700" s="1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</row>
    <row r="2701" spans="1:20" ht="45.75" customHeight="1" x14ac:dyDescent="0.3">
      <c r="A2701" s="1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</row>
    <row r="2702" spans="1:20" ht="45.75" customHeight="1" x14ac:dyDescent="0.3">
      <c r="A2702" s="1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</row>
    <row r="2703" spans="1:20" ht="45.75" customHeight="1" x14ac:dyDescent="0.3">
      <c r="A2703" s="1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</row>
    <row r="2704" spans="1:20" ht="45.75" customHeight="1" x14ac:dyDescent="0.3">
      <c r="A2704" s="1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</row>
    <row r="2705" spans="1:20" ht="45.75" customHeight="1" x14ac:dyDescent="0.3">
      <c r="A2705" s="1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</row>
    <row r="2706" spans="1:20" ht="45.75" customHeight="1" x14ac:dyDescent="0.3">
      <c r="A2706" s="1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</row>
    <row r="2707" spans="1:20" ht="45.75" customHeight="1" x14ac:dyDescent="0.3">
      <c r="A2707" s="1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</row>
    <row r="2708" spans="1:20" ht="45.75" customHeight="1" x14ac:dyDescent="0.3">
      <c r="A2708" s="1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</row>
    <row r="2709" spans="1:20" ht="45.75" customHeight="1" x14ac:dyDescent="0.3">
      <c r="A2709" s="1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</row>
    <row r="2710" spans="1:20" ht="45.75" customHeight="1" x14ac:dyDescent="0.3">
      <c r="A2710" s="1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</row>
    <row r="2711" spans="1:20" ht="45.75" customHeight="1" x14ac:dyDescent="0.3">
      <c r="A2711" s="1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</row>
    <row r="2712" spans="1:20" ht="45.75" customHeight="1" x14ac:dyDescent="0.3">
      <c r="A2712" s="1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</row>
    <row r="2713" spans="1:20" ht="45.75" customHeight="1" x14ac:dyDescent="0.3">
      <c r="A2713" s="1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</row>
    <row r="2714" spans="1:20" ht="45.75" customHeight="1" x14ac:dyDescent="0.3">
      <c r="A2714" s="1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</row>
    <row r="2715" spans="1:20" ht="45.75" customHeight="1" x14ac:dyDescent="0.3">
      <c r="A2715" s="1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</row>
    <row r="2716" spans="1:20" ht="45.75" customHeight="1" x14ac:dyDescent="0.3">
      <c r="A2716" s="1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</row>
    <row r="2717" spans="1:20" ht="45.75" customHeight="1" x14ac:dyDescent="0.3">
      <c r="A2717" s="1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</row>
    <row r="2718" spans="1:20" ht="45.75" customHeight="1" x14ac:dyDescent="0.3">
      <c r="A2718" s="1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</row>
    <row r="2719" spans="1:20" ht="45.75" customHeight="1" x14ac:dyDescent="0.3">
      <c r="A2719" s="1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</row>
    <row r="2720" spans="1:20" ht="45.75" customHeight="1" x14ac:dyDescent="0.3">
      <c r="A2720" s="1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</row>
    <row r="2721" spans="1:20" ht="45.75" customHeight="1" x14ac:dyDescent="0.3">
      <c r="A2721" s="1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</row>
    <row r="2722" spans="1:20" ht="45.75" customHeight="1" x14ac:dyDescent="0.3">
      <c r="A2722" s="1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</row>
    <row r="2723" spans="1:20" ht="45.75" customHeight="1" x14ac:dyDescent="0.3">
      <c r="A2723" s="1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</row>
    <row r="2724" spans="1:20" ht="45.75" customHeight="1" x14ac:dyDescent="0.3">
      <c r="A2724" s="1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</row>
    <row r="2725" spans="1:20" ht="45.75" customHeight="1" x14ac:dyDescent="0.3">
      <c r="A2725" s="1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</row>
    <row r="2726" spans="1:20" ht="45.75" customHeight="1" x14ac:dyDescent="0.3">
      <c r="A2726" s="1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</row>
    <row r="2727" spans="1:20" ht="45.75" customHeight="1" x14ac:dyDescent="0.3">
      <c r="A2727" s="1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</row>
    <row r="2728" spans="1:20" ht="45.75" customHeight="1" x14ac:dyDescent="0.3">
      <c r="A2728" s="1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</row>
    <row r="2729" spans="1:20" ht="45.75" customHeight="1" x14ac:dyDescent="0.3">
      <c r="A2729" s="1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</row>
    <row r="2730" spans="1:20" ht="45.75" customHeight="1" x14ac:dyDescent="0.3">
      <c r="A2730" s="1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</row>
    <row r="2731" spans="1:20" ht="45.75" customHeight="1" x14ac:dyDescent="0.3">
      <c r="A2731" s="1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</row>
    <row r="2732" spans="1:20" ht="45.75" customHeight="1" x14ac:dyDescent="0.3">
      <c r="A2732" s="1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</row>
    <row r="2733" spans="1:20" ht="45.75" customHeight="1" x14ac:dyDescent="0.3">
      <c r="A2733" s="1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</row>
    <row r="2734" spans="1:20" ht="45.75" customHeight="1" x14ac:dyDescent="0.3">
      <c r="A2734" s="1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</row>
    <row r="2735" spans="1:20" ht="45.75" customHeight="1" x14ac:dyDescent="0.3">
      <c r="A2735" s="1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</row>
    <row r="2736" spans="1:20" ht="45.75" customHeight="1" x14ac:dyDescent="0.3">
      <c r="A2736" s="1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</row>
    <row r="2737" spans="1:20" ht="45.75" customHeight="1" x14ac:dyDescent="0.3">
      <c r="A2737" s="1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</row>
    <row r="2738" spans="1:20" ht="45.75" customHeight="1" x14ac:dyDescent="0.3">
      <c r="A2738" s="1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</row>
    <row r="2739" spans="1:20" ht="45.75" customHeight="1" x14ac:dyDescent="0.3">
      <c r="A2739" s="1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</row>
    <row r="2740" spans="1:20" ht="45.75" customHeight="1" x14ac:dyDescent="0.3">
      <c r="A2740" s="1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</row>
    <row r="2741" spans="1:20" ht="45.75" customHeight="1" x14ac:dyDescent="0.3">
      <c r="A2741" s="1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</row>
    <row r="2742" spans="1:20" ht="45.75" customHeight="1" x14ac:dyDescent="0.3">
      <c r="A2742" s="1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</row>
    <row r="2743" spans="1:20" ht="45.75" customHeight="1" x14ac:dyDescent="0.3">
      <c r="A2743" s="1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</row>
    <row r="2744" spans="1:20" ht="45.75" customHeight="1" x14ac:dyDescent="0.3">
      <c r="A2744" s="1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</row>
    <row r="2745" spans="1:20" ht="45.75" customHeight="1" x14ac:dyDescent="0.3">
      <c r="A2745" s="1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</row>
    <row r="2746" spans="1:20" ht="45.75" customHeight="1" x14ac:dyDescent="0.3">
      <c r="A2746" s="1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</row>
    <row r="2747" spans="1:20" ht="45.75" customHeight="1" x14ac:dyDescent="0.3">
      <c r="A2747" s="1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</row>
    <row r="2748" spans="1:20" ht="45.75" customHeight="1" x14ac:dyDescent="0.3">
      <c r="A2748" s="1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</row>
    <row r="2749" spans="1:20" ht="45.75" customHeight="1" x14ac:dyDescent="0.3">
      <c r="A2749" s="1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</row>
    <row r="2750" spans="1:20" ht="45.75" customHeight="1" x14ac:dyDescent="0.3">
      <c r="A2750" s="1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</row>
    <row r="2751" spans="1:20" ht="45.75" customHeight="1" x14ac:dyDescent="0.3">
      <c r="A2751" s="1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</row>
    <row r="2752" spans="1:20" ht="45.75" customHeight="1" x14ac:dyDescent="0.3">
      <c r="A2752" s="1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</row>
    <row r="2753" spans="1:20" ht="45.75" customHeight="1" x14ac:dyDescent="0.3">
      <c r="A2753" s="1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</row>
    <row r="2754" spans="1:20" ht="45.75" customHeight="1" x14ac:dyDescent="0.3">
      <c r="A2754" s="1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</row>
    <row r="2755" spans="1:20" ht="45.75" customHeight="1" x14ac:dyDescent="0.3">
      <c r="A2755" s="1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</row>
    <row r="2756" spans="1:20" ht="45.75" customHeight="1" x14ac:dyDescent="0.3">
      <c r="A2756" s="1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</row>
    <row r="2757" spans="1:20" ht="45.75" customHeight="1" x14ac:dyDescent="0.3">
      <c r="A2757" s="1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</row>
    <row r="2758" spans="1:20" ht="45.75" customHeight="1" x14ac:dyDescent="0.3">
      <c r="A2758" s="1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</row>
    <row r="2759" spans="1:20" ht="45.75" customHeight="1" x14ac:dyDescent="0.3">
      <c r="A2759" s="1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</row>
    <row r="2760" spans="1:20" ht="45.75" customHeight="1" x14ac:dyDescent="0.3">
      <c r="A2760" s="1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</row>
    <row r="2761" spans="1:20" ht="45.75" customHeight="1" x14ac:dyDescent="0.3">
      <c r="A2761" s="1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</row>
    <row r="2762" spans="1:20" ht="45.75" customHeight="1" x14ac:dyDescent="0.3">
      <c r="A2762" s="1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</row>
    <row r="2763" spans="1:20" ht="45.75" customHeight="1" x14ac:dyDescent="0.3">
      <c r="A2763" s="1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</row>
    <row r="2764" spans="1:20" ht="45.75" customHeight="1" x14ac:dyDescent="0.3">
      <c r="A2764" s="1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</row>
    <row r="2765" spans="1:20" ht="45.75" customHeight="1" x14ac:dyDescent="0.3">
      <c r="A2765" s="1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</row>
    <row r="2766" spans="1:20" ht="45.75" customHeight="1" x14ac:dyDescent="0.3">
      <c r="A2766" s="1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</row>
    <row r="2767" spans="1:20" ht="45.75" customHeight="1" x14ac:dyDescent="0.3">
      <c r="A2767" s="1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</row>
    <row r="2768" spans="1:20" ht="45.75" customHeight="1" x14ac:dyDescent="0.3">
      <c r="A2768" s="1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</row>
    <row r="2769" spans="1:20" ht="45.75" customHeight="1" x14ac:dyDescent="0.3">
      <c r="A2769" s="1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</row>
    <row r="2770" spans="1:20" ht="45.75" customHeight="1" x14ac:dyDescent="0.3">
      <c r="A2770" s="1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</row>
    <row r="2771" spans="1:20" ht="45.75" customHeight="1" x14ac:dyDescent="0.3">
      <c r="A2771" s="1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</row>
    <row r="2772" spans="1:20" ht="45.75" customHeight="1" x14ac:dyDescent="0.3">
      <c r="A2772" s="1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</row>
    <row r="2773" spans="1:20" ht="45.75" customHeight="1" x14ac:dyDescent="0.3">
      <c r="A2773" s="1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</row>
    <row r="2774" spans="1:20" ht="45.75" customHeight="1" x14ac:dyDescent="0.3">
      <c r="A2774" s="1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</row>
    <row r="2775" spans="1:20" ht="45.75" customHeight="1" x14ac:dyDescent="0.3">
      <c r="A2775" s="1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</row>
    <row r="2776" spans="1:20" ht="45.75" customHeight="1" x14ac:dyDescent="0.3">
      <c r="A2776" s="1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</row>
    <row r="2777" spans="1:20" ht="45.75" customHeight="1" x14ac:dyDescent="0.3">
      <c r="A2777" s="1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</row>
    <row r="2778" spans="1:20" ht="45.75" customHeight="1" x14ac:dyDescent="0.3">
      <c r="A2778" s="1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</row>
    <row r="2779" spans="1:20" ht="45.75" customHeight="1" x14ac:dyDescent="0.3">
      <c r="A2779" s="1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</row>
    <row r="2780" spans="1:20" ht="45.75" customHeight="1" x14ac:dyDescent="0.3">
      <c r="A2780" s="1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</row>
    <row r="2781" spans="1:20" ht="45.75" customHeight="1" x14ac:dyDescent="0.3">
      <c r="A2781" s="1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</row>
    <row r="2782" spans="1:20" ht="45.75" customHeight="1" x14ac:dyDescent="0.3">
      <c r="A2782" s="1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</row>
    <row r="2783" spans="1:20" ht="45.75" customHeight="1" x14ac:dyDescent="0.3">
      <c r="A2783" s="1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</row>
    <row r="2784" spans="1:20" ht="45.75" customHeight="1" x14ac:dyDescent="0.3">
      <c r="A2784" s="1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</row>
    <row r="2785" spans="1:20" ht="45.75" customHeight="1" x14ac:dyDescent="0.3">
      <c r="A2785" s="1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</row>
    <row r="2786" spans="1:20" ht="45.75" customHeight="1" x14ac:dyDescent="0.3">
      <c r="A2786" s="1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</row>
    <row r="2787" spans="1:20" ht="45.75" customHeight="1" x14ac:dyDescent="0.3">
      <c r="A2787" s="1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</row>
    <row r="2788" spans="1:20" ht="45.75" customHeight="1" x14ac:dyDescent="0.3">
      <c r="A2788" s="1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</row>
    <row r="2789" spans="1:20" ht="45.75" customHeight="1" x14ac:dyDescent="0.3">
      <c r="A2789" s="1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</row>
    <row r="2790" spans="1:20" ht="45.75" customHeight="1" x14ac:dyDescent="0.3">
      <c r="A2790" s="1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</row>
    <row r="2791" spans="1:20" ht="45.75" customHeight="1" x14ac:dyDescent="0.3">
      <c r="A2791" s="1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</row>
    <row r="2792" spans="1:20" ht="45.75" customHeight="1" x14ac:dyDescent="0.3">
      <c r="A2792" s="1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</row>
    <row r="2793" spans="1:20" ht="45.75" customHeight="1" x14ac:dyDescent="0.3">
      <c r="A2793" s="1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</row>
    <row r="2794" spans="1:20" ht="45.75" customHeight="1" x14ac:dyDescent="0.3">
      <c r="A2794" s="1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</row>
    <row r="2795" spans="1:20" ht="45.75" customHeight="1" x14ac:dyDescent="0.3">
      <c r="A2795" s="1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</row>
    <row r="2796" spans="1:20" ht="45.75" customHeight="1" x14ac:dyDescent="0.3">
      <c r="A2796" s="1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</row>
    <row r="2797" spans="1:20" ht="45.75" customHeight="1" x14ac:dyDescent="0.3">
      <c r="A2797" s="1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</row>
    <row r="2798" spans="1:20" ht="45.75" customHeight="1" x14ac:dyDescent="0.3">
      <c r="A2798" s="1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</row>
    <row r="2799" spans="1:20" ht="45.75" customHeight="1" x14ac:dyDescent="0.3">
      <c r="A2799" s="1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</row>
    <row r="2800" spans="1:20" ht="45.75" customHeight="1" x14ac:dyDescent="0.3">
      <c r="A2800" s="1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</row>
    <row r="2801" spans="1:20" ht="45.75" customHeight="1" x14ac:dyDescent="0.3">
      <c r="A2801" s="1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</row>
    <row r="2802" spans="1:20" ht="45.75" customHeight="1" x14ac:dyDescent="0.3">
      <c r="A2802" s="1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</row>
    <row r="2803" spans="1:20" ht="45.75" customHeight="1" x14ac:dyDescent="0.3">
      <c r="A2803" s="1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</row>
    <row r="2804" spans="1:20" ht="45.75" customHeight="1" x14ac:dyDescent="0.3">
      <c r="A2804" s="1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</row>
    <row r="2805" spans="1:20" ht="45.75" customHeight="1" x14ac:dyDescent="0.3">
      <c r="A2805" s="1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</row>
    <row r="2806" spans="1:20" ht="45.75" customHeight="1" x14ac:dyDescent="0.3">
      <c r="A2806" s="1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</row>
    <row r="2807" spans="1:20" ht="45.75" customHeight="1" x14ac:dyDescent="0.3">
      <c r="A2807" s="1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</row>
    <row r="2808" spans="1:20" ht="45.75" customHeight="1" x14ac:dyDescent="0.3">
      <c r="A2808" s="1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</row>
    <row r="2809" spans="1:20" ht="45.75" customHeight="1" x14ac:dyDescent="0.3">
      <c r="A2809" s="1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</row>
    <row r="2810" spans="1:20" ht="45.75" customHeight="1" x14ac:dyDescent="0.3">
      <c r="A2810" s="1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</row>
    <row r="2811" spans="1:20" ht="45.75" customHeight="1" x14ac:dyDescent="0.3">
      <c r="A2811" s="1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</row>
    <row r="2812" spans="1:20" ht="45.75" customHeight="1" x14ac:dyDescent="0.3">
      <c r="A2812" s="1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</row>
    <row r="2813" spans="1:20" ht="45.75" customHeight="1" x14ac:dyDescent="0.3">
      <c r="A2813" s="1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</row>
    <row r="2814" spans="1:20" ht="45.75" customHeight="1" x14ac:dyDescent="0.3">
      <c r="A2814" s="1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</row>
    <row r="2815" spans="1:20" ht="45.75" customHeight="1" x14ac:dyDescent="0.3">
      <c r="A2815" s="1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</row>
    <row r="2816" spans="1:20" ht="45.75" customHeight="1" x14ac:dyDescent="0.3">
      <c r="A2816" s="1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</row>
    <row r="2817" spans="1:20" ht="45.75" customHeight="1" x14ac:dyDescent="0.3">
      <c r="A2817" s="1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</row>
    <row r="2818" spans="1:20" ht="45.75" customHeight="1" x14ac:dyDescent="0.3">
      <c r="A2818" s="1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</row>
    <row r="2819" spans="1:20" ht="45.75" customHeight="1" x14ac:dyDescent="0.3">
      <c r="A2819" s="1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</row>
    <row r="2820" spans="1:20" ht="45.75" customHeight="1" x14ac:dyDescent="0.3">
      <c r="A2820" s="1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</row>
    <row r="2821" spans="1:20" ht="45.75" customHeight="1" x14ac:dyDescent="0.3">
      <c r="A2821" s="1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</row>
    <row r="2822" spans="1:20" ht="45.75" customHeight="1" x14ac:dyDescent="0.3">
      <c r="A2822" s="1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</row>
    <row r="2823" spans="1:20" ht="45.75" customHeight="1" x14ac:dyDescent="0.3">
      <c r="A2823" s="1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</row>
    <row r="2824" spans="1:20" ht="45.75" customHeight="1" x14ac:dyDescent="0.3">
      <c r="A2824" s="1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</row>
    <row r="2825" spans="1:20" ht="45.75" customHeight="1" x14ac:dyDescent="0.3">
      <c r="A2825" s="1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</row>
    <row r="2826" spans="1:20" ht="45.75" customHeight="1" x14ac:dyDescent="0.3">
      <c r="A2826" s="1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</row>
    <row r="2827" spans="1:20" ht="45.75" customHeight="1" x14ac:dyDescent="0.3">
      <c r="A2827" s="1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</row>
    <row r="2828" spans="1:20" ht="45.75" customHeight="1" x14ac:dyDescent="0.3">
      <c r="A2828" s="1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</row>
    <row r="2829" spans="1:20" ht="45.75" customHeight="1" x14ac:dyDescent="0.3">
      <c r="A2829" s="1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</row>
    <row r="2830" spans="1:20" ht="45.75" customHeight="1" x14ac:dyDescent="0.3">
      <c r="A2830" s="1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</row>
    <row r="2831" spans="1:20" ht="45.75" customHeight="1" x14ac:dyDescent="0.3">
      <c r="A2831" s="1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</row>
    <row r="2832" spans="1:20" ht="45.75" customHeight="1" x14ac:dyDescent="0.3">
      <c r="A2832" s="1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</row>
    <row r="2833" spans="1:20" ht="45.75" customHeight="1" x14ac:dyDescent="0.3">
      <c r="A2833" s="1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</row>
    <row r="2834" spans="1:20" ht="45.75" customHeight="1" x14ac:dyDescent="0.3">
      <c r="A2834" s="1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</row>
    <row r="2835" spans="1:20" ht="45.75" customHeight="1" x14ac:dyDescent="0.3">
      <c r="A2835" s="1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</row>
    <row r="2836" spans="1:20" ht="45.75" customHeight="1" x14ac:dyDescent="0.3">
      <c r="A2836" s="1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</row>
    <row r="2837" spans="1:20" ht="45.75" customHeight="1" x14ac:dyDescent="0.3">
      <c r="A2837" s="1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</row>
    <row r="2838" spans="1:20" ht="45.75" customHeight="1" x14ac:dyDescent="0.3">
      <c r="A2838" s="1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</row>
    <row r="2839" spans="1:20" ht="45.75" customHeight="1" x14ac:dyDescent="0.3">
      <c r="A2839" s="1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</row>
    <row r="2840" spans="1:20" ht="45.75" customHeight="1" x14ac:dyDescent="0.3">
      <c r="A2840" s="1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</row>
    <row r="2841" spans="1:20" ht="45.75" customHeight="1" x14ac:dyDescent="0.3">
      <c r="A2841" s="1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</row>
    <row r="2842" spans="1:20" ht="45.75" customHeight="1" x14ac:dyDescent="0.3">
      <c r="A2842" s="1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</row>
    <row r="2843" spans="1:20" ht="45.75" customHeight="1" x14ac:dyDescent="0.3">
      <c r="A2843" s="1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</row>
    <row r="2844" spans="1:20" ht="45.75" customHeight="1" x14ac:dyDescent="0.3">
      <c r="A2844" s="1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</row>
    <row r="2845" spans="1:20" ht="45.75" customHeight="1" x14ac:dyDescent="0.3">
      <c r="A2845" s="1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</row>
    <row r="2846" spans="1:20" ht="45.75" customHeight="1" x14ac:dyDescent="0.3">
      <c r="A2846" s="1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</row>
    <row r="2847" spans="1:20" ht="45.75" customHeight="1" x14ac:dyDescent="0.3">
      <c r="A2847" s="1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</row>
    <row r="2848" spans="1:20" ht="45.75" customHeight="1" x14ac:dyDescent="0.3">
      <c r="A2848" s="1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</row>
    <row r="2849" spans="1:20" ht="45.75" customHeight="1" x14ac:dyDescent="0.3">
      <c r="A2849" s="1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</row>
    <row r="2850" spans="1:20" ht="45.75" customHeight="1" x14ac:dyDescent="0.3">
      <c r="A2850" s="1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</row>
    <row r="2851" spans="1:20" ht="45.75" customHeight="1" x14ac:dyDescent="0.3">
      <c r="A2851" s="1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</row>
    <row r="2852" spans="1:20" ht="45.75" customHeight="1" x14ac:dyDescent="0.3">
      <c r="A2852" s="1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</row>
    <row r="2853" spans="1:20" ht="45.75" customHeight="1" x14ac:dyDescent="0.3">
      <c r="A2853" s="1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</row>
    <row r="2854" spans="1:20" ht="45.75" customHeight="1" x14ac:dyDescent="0.3">
      <c r="A2854" s="1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</row>
    <row r="2855" spans="1:20" ht="45.75" customHeight="1" x14ac:dyDescent="0.3">
      <c r="A2855" s="1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</row>
    <row r="2856" spans="1:20" ht="45.75" customHeight="1" x14ac:dyDescent="0.3">
      <c r="A2856" s="1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</row>
    <row r="2857" spans="1:20" ht="45.75" customHeight="1" x14ac:dyDescent="0.3">
      <c r="A2857" s="1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</row>
    <row r="2858" spans="1:20" ht="45.75" customHeight="1" x14ac:dyDescent="0.3">
      <c r="A2858" s="1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</row>
    <row r="2859" spans="1:20" ht="45.75" customHeight="1" x14ac:dyDescent="0.3">
      <c r="A2859" s="1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</row>
    <row r="2860" spans="1:20" ht="45.75" customHeight="1" x14ac:dyDescent="0.3">
      <c r="A2860" s="1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</row>
    <row r="2861" spans="1:20" ht="45.75" customHeight="1" x14ac:dyDescent="0.3">
      <c r="A2861" s="1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</row>
    <row r="2862" spans="1:20" ht="45.75" customHeight="1" x14ac:dyDescent="0.3">
      <c r="A2862" s="1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</row>
    <row r="2863" spans="1:20" ht="45.75" customHeight="1" x14ac:dyDescent="0.3">
      <c r="A2863" s="1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</row>
    <row r="2864" spans="1:20" ht="45.75" customHeight="1" x14ac:dyDescent="0.3">
      <c r="A2864" s="1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</row>
    <row r="2865" spans="1:20" ht="45.75" customHeight="1" x14ac:dyDescent="0.3">
      <c r="A2865" s="1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</row>
    <row r="2866" spans="1:20" ht="45.75" customHeight="1" x14ac:dyDescent="0.3">
      <c r="A2866" s="1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</row>
    <row r="2867" spans="1:20" ht="45.75" customHeight="1" x14ac:dyDescent="0.3">
      <c r="A2867" s="1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</row>
    <row r="2868" spans="1:20" ht="45.75" customHeight="1" x14ac:dyDescent="0.3">
      <c r="A2868" s="1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</row>
    <row r="2869" spans="1:20" ht="45.75" customHeight="1" x14ac:dyDescent="0.3">
      <c r="A2869" s="1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</row>
    <row r="2870" spans="1:20" ht="45.75" customHeight="1" x14ac:dyDescent="0.3">
      <c r="A2870" s="1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</row>
    <row r="2871" spans="1:20" ht="45.75" customHeight="1" x14ac:dyDescent="0.3">
      <c r="A2871" s="1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</row>
    <row r="2872" spans="1:20" ht="45.75" customHeight="1" x14ac:dyDescent="0.3">
      <c r="A2872" s="1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</row>
    <row r="2873" spans="1:20" ht="45.75" customHeight="1" x14ac:dyDescent="0.3">
      <c r="A2873" s="1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</row>
    <row r="2874" spans="1:20" ht="45.75" customHeight="1" x14ac:dyDescent="0.3">
      <c r="A2874" s="1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</row>
    <row r="2875" spans="1:20" ht="45.75" customHeight="1" x14ac:dyDescent="0.3">
      <c r="A2875" s="1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</row>
    <row r="2876" spans="1:20" ht="45.75" customHeight="1" x14ac:dyDescent="0.3">
      <c r="A2876" s="1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</row>
    <row r="2877" spans="1:20" ht="45.75" customHeight="1" x14ac:dyDescent="0.3">
      <c r="A2877" s="1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</row>
    <row r="2878" spans="1:20" ht="45.75" customHeight="1" x14ac:dyDescent="0.3">
      <c r="A2878" s="1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</row>
    <row r="2879" spans="1:20" ht="45.75" customHeight="1" x14ac:dyDescent="0.3">
      <c r="A2879" s="1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</row>
    <row r="2880" spans="1:20" ht="45.75" customHeight="1" x14ac:dyDescent="0.3">
      <c r="A2880" s="1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</row>
    <row r="2881" spans="1:20" ht="45.75" customHeight="1" x14ac:dyDescent="0.3">
      <c r="A2881" s="1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</row>
    <row r="2882" spans="1:20" ht="45.75" customHeight="1" x14ac:dyDescent="0.3">
      <c r="A2882" s="1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</row>
    <row r="2883" spans="1:20" ht="45.75" customHeight="1" x14ac:dyDescent="0.3">
      <c r="A2883" s="1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</row>
    <row r="2884" spans="1:20" ht="45.75" customHeight="1" x14ac:dyDescent="0.3">
      <c r="A2884" s="1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</row>
    <row r="2885" spans="1:20" ht="45.75" customHeight="1" x14ac:dyDescent="0.3">
      <c r="A2885" s="1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</row>
    <row r="2886" spans="1:20" ht="45.75" customHeight="1" x14ac:dyDescent="0.3">
      <c r="A2886" s="1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</row>
    <row r="2887" spans="1:20" ht="45.75" customHeight="1" x14ac:dyDescent="0.3">
      <c r="A2887" s="1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</row>
    <row r="2888" spans="1:20" ht="45.75" customHeight="1" x14ac:dyDescent="0.3">
      <c r="A2888" s="1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</row>
    <row r="2889" spans="1:20" ht="45.75" customHeight="1" x14ac:dyDescent="0.3">
      <c r="A2889" s="1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</row>
    <row r="2890" spans="1:20" ht="45.75" customHeight="1" x14ac:dyDescent="0.3">
      <c r="A2890" s="1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</row>
    <row r="2891" spans="1:20" ht="45.75" customHeight="1" x14ac:dyDescent="0.3">
      <c r="A2891" s="1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</row>
    <row r="2892" spans="1:20" ht="45.75" customHeight="1" x14ac:dyDescent="0.3">
      <c r="A2892" s="1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</row>
    <row r="2893" spans="1:20" ht="45.75" customHeight="1" x14ac:dyDescent="0.3">
      <c r="A2893" s="1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</row>
    <row r="2894" spans="1:20" ht="45.75" customHeight="1" x14ac:dyDescent="0.3">
      <c r="A2894" s="1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</row>
    <row r="2895" spans="1:20" ht="45.75" customHeight="1" x14ac:dyDescent="0.3">
      <c r="A2895" s="1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</row>
    <row r="2896" spans="1:20" ht="45.75" customHeight="1" x14ac:dyDescent="0.3">
      <c r="A2896" s="1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</row>
    <row r="2897" spans="1:20" ht="45.75" customHeight="1" x14ac:dyDescent="0.3">
      <c r="A2897" s="1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</row>
    <row r="2898" spans="1:20" ht="45.75" customHeight="1" x14ac:dyDescent="0.3">
      <c r="A2898" s="1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</row>
    <row r="2899" spans="1:20" ht="45.75" customHeight="1" x14ac:dyDescent="0.3">
      <c r="A2899" s="1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</row>
    <row r="2900" spans="1:20" ht="45.75" customHeight="1" x14ac:dyDescent="0.3">
      <c r="A2900" s="1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</row>
    <row r="2901" spans="1:20" ht="45.75" customHeight="1" x14ac:dyDescent="0.3">
      <c r="A2901" s="1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</row>
    <row r="2902" spans="1:20" ht="45.75" customHeight="1" x14ac:dyDescent="0.3">
      <c r="A2902" s="1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</row>
    <row r="2903" spans="1:20" ht="45.75" customHeight="1" x14ac:dyDescent="0.3">
      <c r="A2903" s="1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</row>
    <row r="2904" spans="1:20" ht="45.75" customHeight="1" x14ac:dyDescent="0.3">
      <c r="A2904" s="1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</row>
    <row r="2905" spans="1:20" ht="45.75" customHeight="1" x14ac:dyDescent="0.3">
      <c r="A2905" s="1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</row>
    <row r="2906" spans="1:20" ht="45.75" customHeight="1" x14ac:dyDescent="0.3">
      <c r="A2906" s="1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</row>
    <row r="2907" spans="1:20" ht="45.75" customHeight="1" x14ac:dyDescent="0.3">
      <c r="A2907" s="1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</row>
    <row r="2908" spans="1:20" ht="45.75" customHeight="1" x14ac:dyDescent="0.3">
      <c r="A2908" s="1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</row>
    <row r="2909" spans="1:20" ht="45.75" customHeight="1" x14ac:dyDescent="0.3">
      <c r="A2909" s="1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</row>
    <row r="2910" spans="1:20" ht="45.75" customHeight="1" x14ac:dyDescent="0.3">
      <c r="A2910" s="1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</row>
    <row r="2911" spans="1:20" ht="45.75" customHeight="1" x14ac:dyDescent="0.3">
      <c r="A2911" s="1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</row>
    <row r="2912" spans="1:20" ht="45.75" customHeight="1" x14ac:dyDescent="0.3">
      <c r="A2912" s="1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</row>
    <row r="2913" spans="1:20" ht="45.75" customHeight="1" x14ac:dyDescent="0.3">
      <c r="A2913" s="1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</row>
    <row r="2914" spans="1:20" ht="45.75" customHeight="1" x14ac:dyDescent="0.3">
      <c r="A2914" s="1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</row>
    <row r="2915" spans="1:20" ht="45.75" customHeight="1" x14ac:dyDescent="0.3">
      <c r="A2915" s="1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</row>
    <row r="2916" spans="1:20" ht="45.75" customHeight="1" x14ac:dyDescent="0.3">
      <c r="A2916" s="1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</row>
    <row r="2917" spans="1:20" ht="45.75" customHeight="1" x14ac:dyDescent="0.3">
      <c r="A2917" s="1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</row>
    <row r="2918" spans="1:20" ht="45.75" customHeight="1" x14ac:dyDescent="0.3">
      <c r="A2918" s="1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</row>
    <row r="2919" spans="1:20" ht="45.75" customHeight="1" x14ac:dyDescent="0.3">
      <c r="A2919" s="1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</row>
    <row r="2920" spans="1:20" ht="45.75" customHeight="1" x14ac:dyDescent="0.3">
      <c r="A2920" s="1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</row>
    <row r="2921" spans="1:20" ht="45.75" customHeight="1" x14ac:dyDescent="0.3">
      <c r="A2921" s="1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</row>
    <row r="2922" spans="1:20" ht="45.75" customHeight="1" x14ac:dyDescent="0.3">
      <c r="A2922" s="1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</row>
    <row r="2923" spans="1:20" ht="45.75" customHeight="1" x14ac:dyDescent="0.3">
      <c r="A2923" s="1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</row>
    <row r="2924" spans="1:20" ht="45.75" customHeight="1" x14ac:dyDescent="0.3">
      <c r="A2924" s="1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</row>
    <row r="2925" spans="1:20" ht="45.75" customHeight="1" x14ac:dyDescent="0.3">
      <c r="A2925" s="1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</row>
    <row r="2926" spans="1:20" ht="45.75" customHeight="1" x14ac:dyDescent="0.3">
      <c r="A2926" s="1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</row>
    <row r="2927" spans="1:20" ht="45.75" customHeight="1" x14ac:dyDescent="0.3">
      <c r="A2927" s="1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</row>
    <row r="2928" spans="1:20" ht="45.75" customHeight="1" x14ac:dyDescent="0.3">
      <c r="A2928" s="1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</row>
    <row r="2929" spans="1:20" ht="45.75" customHeight="1" x14ac:dyDescent="0.3">
      <c r="A2929" s="1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</row>
    <row r="2930" spans="1:20" ht="45.75" customHeight="1" x14ac:dyDescent="0.3">
      <c r="A2930" s="1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</row>
    <row r="2931" spans="1:20" ht="45.75" customHeight="1" x14ac:dyDescent="0.3">
      <c r="A2931" s="1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</row>
    <row r="2932" spans="1:20" ht="45.75" customHeight="1" x14ac:dyDescent="0.3">
      <c r="A2932" s="1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</row>
    <row r="2933" spans="1:20" ht="45.75" customHeight="1" x14ac:dyDescent="0.3">
      <c r="A2933" s="1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</row>
    <row r="2934" spans="1:20" ht="45.75" customHeight="1" x14ac:dyDescent="0.3">
      <c r="A2934" s="1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</row>
    <row r="2935" spans="1:20" ht="45.75" customHeight="1" x14ac:dyDescent="0.3">
      <c r="A2935" s="1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</row>
    <row r="2936" spans="1:20" ht="45.75" customHeight="1" x14ac:dyDescent="0.3">
      <c r="A2936" s="1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</row>
    <row r="2937" spans="1:20" ht="45.75" customHeight="1" x14ac:dyDescent="0.3">
      <c r="A2937" s="1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</row>
    <row r="2938" spans="1:20" ht="45.75" customHeight="1" x14ac:dyDescent="0.3">
      <c r="A2938" s="1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</row>
    <row r="2939" spans="1:20" ht="45.75" customHeight="1" x14ac:dyDescent="0.3">
      <c r="A2939" s="1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</row>
    <row r="2940" spans="1:20" ht="45.75" customHeight="1" x14ac:dyDescent="0.3">
      <c r="A2940" s="1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</row>
    <row r="2941" spans="1:20" ht="45.75" customHeight="1" x14ac:dyDescent="0.3">
      <c r="A2941" s="1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</row>
    <row r="2942" spans="1:20" ht="45.75" customHeight="1" x14ac:dyDescent="0.3">
      <c r="A2942" s="1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</row>
    <row r="2943" spans="1:20" ht="45.75" customHeight="1" x14ac:dyDescent="0.3">
      <c r="A2943" s="1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</row>
    <row r="2944" spans="1:20" ht="45.75" customHeight="1" x14ac:dyDescent="0.3">
      <c r="A2944" s="1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</row>
    <row r="2945" spans="1:20" ht="45.75" customHeight="1" x14ac:dyDescent="0.3">
      <c r="A2945" s="1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</row>
    <row r="2946" spans="1:20" ht="45.75" customHeight="1" x14ac:dyDescent="0.3">
      <c r="A2946" s="1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</row>
    <row r="2947" spans="1:20" ht="45.75" customHeight="1" x14ac:dyDescent="0.3">
      <c r="A2947" s="1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</row>
    <row r="2948" spans="1:20" ht="45.75" customHeight="1" x14ac:dyDescent="0.3">
      <c r="A2948" s="1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</row>
    <row r="2949" spans="1:20" ht="45.75" customHeight="1" x14ac:dyDescent="0.3">
      <c r="A2949" s="1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</row>
    <row r="2950" spans="1:20" ht="45.75" customHeight="1" x14ac:dyDescent="0.3">
      <c r="A2950" s="1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</row>
    <row r="2951" spans="1:20" ht="45.75" customHeight="1" x14ac:dyDescent="0.3">
      <c r="A2951" s="1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</row>
    <row r="2952" spans="1:20" ht="45.75" customHeight="1" x14ac:dyDescent="0.3">
      <c r="A2952" s="1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</row>
    <row r="2953" spans="1:20" ht="45.75" customHeight="1" x14ac:dyDescent="0.3">
      <c r="A2953" s="1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</row>
    <row r="2954" spans="1:20" ht="45.75" customHeight="1" x14ac:dyDescent="0.3">
      <c r="A2954" s="1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</row>
    <row r="2955" spans="1:20" ht="45.75" customHeight="1" x14ac:dyDescent="0.3">
      <c r="A2955" s="1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</row>
    <row r="2956" spans="1:20" ht="45.75" customHeight="1" x14ac:dyDescent="0.3">
      <c r="A2956" s="1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</row>
    <row r="2957" spans="1:20" ht="45.75" customHeight="1" x14ac:dyDescent="0.3">
      <c r="A2957" s="1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</row>
    <row r="2958" spans="1:20" ht="45.75" customHeight="1" x14ac:dyDescent="0.3">
      <c r="A2958" s="1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</row>
    <row r="2959" spans="1:20" ht="45.75" customHeight="1" x14ac:dyDescent="0.3">
      <c r="A2959" s="1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</row>
    <row r="2960" spans="1:20" ht="45.75" customHeight="1" x14ac:dyDescent="0.3">
      <c r="A2960" s="1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</row>
    <row r="2961" spans="1:20" ht="45.75" customHeight="1" x14ac:dyDescent="0.3">
      <c r="A2961" s="1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</row>
    <row r="2962" spans="1:20" ht="45.75" customHeight="1" x14ac:dyDescent="0.3">
      <c r="A2962" s="1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</row>
    <row r="2963" spans="1:20" ht="45.75" customHeight="1" x14ac:dyDescent="0.3">
      <c r="A2963" s="1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</row>
    <row r="2964" spans="1:20" ht="45.75" customHeight="1" x14ac:dyDescent="0.3">
      <c r="A2964" s="1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</row>
    <row r="2965" spans="1:20" ht="45.75" customHeight="1" x14ac:dyDescent="0.3">
      <c r="A2965" s="1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</row>
    <row r="2966" spans="1:20" ht="45.75" customHeight="1" x14ac:dyDescent="0.3">
      <c r="A2966" s="1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</row>
    <row r="2967" spans="1:20" ht="45.75" customHeight="1" x14ac:dyDescent="0.3">
      <c r="A2967" s="1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</row>
    <row r="2968" spans="1:20" ht="45.75" customHeight="1" x14ac:dyDescent="0.3">
      <c r="A2968" s="1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</row>
    <row r="2969" spans="1:20" ht="45.75" customHeight="1" x14ac:dyDescent="0.3">
      <c r="A2969" s="1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</row>
    <row r="2970" spans="1:20" ht="45.75" customHeight="1" x14ac:dyDescent="0.3">
      <c r="A2970" s="1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</row>
    <row r="2971" spans="1:20" ht="45.75" customHeight="1" x14ac:dyDescent="0.3">
      <c r="A2971" s="1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</row>
    <row r="2972" spans="1:20" ht="45.75" customHeight="1" x14ac:dyDescent="0.3">
      <c r="A2972" s="1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</row>
    <row r="2973" spans="1:20" ht="45.75" customHeight="1" x14ac:dyDescent="0.3">
      <c r="A2973" s="1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</row>
    <row r="2974" spans="1:20" ht="45.75" customHeight="1" x14ac:dyDescent="0.3">
      <c r="A2974" s="1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</row>
    <row r="2975" spans="1:20" ht="45.75" customHeight="1" x14ac:dyDescent="0.3">
      <c r="A2975" s="1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</row>
    <row r="2976" spans="1:20" ht="45.75" customHeight="1" x14ac:dyDescent="0.3">
      <c r="A2976" s="1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</row>
    <row r="2977" spans="1:20" ht="45.75" customHeight="1" x14ac:dyDescent="0.3">
      <c r="A2977" s="1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</row>
    <row r="2978" spans="1:20" ht="45.75" customHeight="1" x14ac:dyDescent="0.3">
      <c r="A2978" s="1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</row>
    <row r="2979" spans="1:20" ht="45.75" customHeight="1" x14ac:dyDescent="0.3">
      <c r="A2979" s="1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</row>
    <row r="2980" spans="1:20" ht="45.75" customHeight="1" x14ac:dyDescent="0.3">
      <c r="A2980" s="1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</row>
    <row r="2981" spans="1:20" ht="45.75" customHeight="1" x14ac:dyDescent="0.3">
      <c r="A2981" s="1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</row>
    <row r="2982" spans="1:20" ht="45.75" customHeight="1" x14ac:dyDescent="0.3">
      <c r="A2982" s="1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</row>
    <row r="2983" spans="1:20" ht="45.75" customHeight="1" x14ac:dyDescent="0.3">
      <c r="A2983" s="1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</row>
    <row r="2984" spans="1:20" ht="45.75" customHeight="1" x14ac:dyDescent="0.3">
      <c r="A2984" s="1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</row>
    <row r="2985" spans="1:20" ht="45.75" customHeight="1" x14ac:dyDescent="0.3">
      <c r="A2985" s="1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</row>
    <row r="2986" spans="1:20" ht="45.75" customHeight="1" x14ac:dyDescent="0.3">
      <c r="A2986" s="1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</row>
    <row r="2987" spans="1:20" ht="45.75" customHeight="1" x14ac:dyDescent="0.3">
      <c r="A2987" s="1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</row>
    <row r="2988" spans="1:20" ht="45.75" customHeight="1" x14ac:dyDescent="0.3">
      <c r="A2988" s="1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</row>
    <row r="2989" spans="1:20" ht="45.75" customHeight="1" x14ac:dyDescent="0.3">
      <c r="A2989" s="1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</row>
    <row r="2990" spans="1:20" ht="45.75" customHeight="1" x14ac:dyDescent="0.3">
      <c r="A2990" s="1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</row>
    <row r="2991" spans="1:20" ht="45.75" customHeight="1" x14ac:dyDescent="0.3">
      <c r="A2991" s="1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</row>
    <row r="2992" spans="1:20" ht="45.75" customHeight="1" x14ac:dyDescent="0.3">
      <c r="A2992" s="1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</row>
    <row r="2993" spans="1:20" ht="45.75" customHeight="1" x14ac:dyDescent="0.3">
      <c r="A2993" s="1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</row>
    <row r="2994" spans="1:20" ht="45.75" customHeight="1" x14ac:dyDescent="0.3">
      <c r="A2994" s="1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</row>
    <row r="2995" spans="1:20" ht="45.75" customHeight="1" x14ac:dyDescent="0.3">
      <c r="A2995" s="1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</row>
    <row r="2996" spans="1:20" ht="45.75" customHeight="1" x14ac:dyDescent="0.3">
      <c r="A2996" s="1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</row>
    <row r="2997" spans="1:20" ht="45.75" customHeight="1" x14ac:dyDescent="0.3">
      <c r="A2997" s="1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</row>
    <row r="2998" spans="1:20" ht="45.75" customHeight="1" x14ac:dyDescent="0.3">
      <c r="A2998" s="1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</row>
    <row r="2999" spans="1:20" ht="45.75" customHeight="1" x14ac:dyDescent="0.3">
      <c r="A2999" s="1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</row>
    <row r="3000" spans="1:20" ht="45.75" customHeight="1" x14ac:dyDescent="0.3">
      <c r="A3000" s="1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</row>
    <row r="3001" spans="1:20" ht="45.75" customHeight="1" x14ac:dyDescent="0.3">
      <c r="A3001" s="1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</row>
    <row r="3002" spans="1:20" ht="45.75" customHeight="1" x14ac:dyDescent="0.3">
      <c r="A3002" s="1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</row>
    <row r="3003" spans="1:20" ht="45.75" customHeight="1" x14ac:dyDescent="0.3">
      <c r="A3003" s="1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</row>
    <row r="3004" spans="1:20" ht="45.75" customHeight="1" x14ac:dyDescent="0.3">
      <c r="A3004" s="1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</row>
    <row r="3005" spans="1:20" ht="45.75" customHeight="1" x14ac:dyDescent="0.3">
      <c r="A3005" s="1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</row>
    <row r="3006" spans="1:20" ht="45.75" customHeight="1" x14ac:dyDescent="0.3">
      <c r="A3006" s="1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</row>
    <row r="3007" spans="1:20" ht="45.75" customHeight="1" x14ac:dyDescent="0.3">
      <c r="A3007" s="1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</row>
    <row r="3008" spans="1:20" ht="45.75" customHeight="1" x14ac:dyDescent="0.3">
      <c r="A3008" s="1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</row>
    <row r="3009" spans="1:20" ht="45.75" customHeight="1" x14ac:dyDescent="0.3">
      <c r="A3009" s="1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</row>
    <row r="3010" spans="1:20" ht="45.75" customHeight="1" x14ac:dyDescent="0.3">
      <c r="A3010" s="1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</row>
    <row r="3011" spans="1:20" ht="45.75" customHeight="1" x14ac:dyDescent="0.3">
      <c r="A3011" s="1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</row>
    <row r="3012" spans="1:20" ht="45.75" customHeight="1" x14ac:dyDescent="0.3">
      <c r="A3012" s="1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</row>
    <row r="3013" spans="1:20" ht="45.75" customHeight="1" x14ac:dyDescent="0.3">
      <c r="A3013" s="1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</row>
    <row r="3014" spans="1:20" ht="45.75" customHeight="1" x14ac:dyDescent="0.3">
      <c r="A3014" s="1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</row>
    <row r="3015" spans="1:20" ht="45.75" customHeight="1" x14ac:dyDescent="0.3">
      <c r="A3015" s="1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</row>
    <row r="3016" spans="1:20" ht="45.75" customHeight="1" x14ac:dyDescent="0.3">
      <c r="A3016" s="1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</row>
    <row r="3017" spans="1:20" ht="45.75" customHeight="1" x14ac:dyDescent="0.3">
      <c r="A3017" s="1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</row>
    <row r="3018" spans="1:20" ht="45.75" customHeight="1" x14ac:dyDescent="0.3">
      <c r="A3018" s="1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</row>
    <row r="3019" spans="1:20" ht="45.75" customHeight="1" x14ac:dyDescent="0.3">
      <c r="A3019" s="1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</row>
    <row r="3020" spans="1:20" ht="45.75" customHeight="1" x14ac:dyDescent="0.3">
      <c r="A3020" s="1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</row>
    <row r="3021" spans="1:20" ht="45.75" customHeight="1" x14ac:dyDescent="0.3">
      <c r="A3021" s="1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</row>
    <row r="3022" spans="1:20" ht="45.75" customHeight="1" x14ac:dyDescent="0.3">
      <c r="A3022" s="1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</row>
    <row r="3023" spans="1:20" ht="45.75" customHeight="1" x14ac:dyDescent="0.3">
      <c r="A3023" s="1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</row>
    <row r="3024" spans="1:20" ht="45.75" customHeight="1" x14ac:dyDescent="0.3">
      <c r="A3024" s="1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</row>
    <row r="3025" spans="1:20" ht="45.75" customHeight="1" x14ac:dyDescent="0.3">
      <c r="A3025" s="1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</row>
    <row r="3026" spans="1:20" ht="45.75" customHeight="1" x14ac:dyDescent="0.3">
      <c r="A3026" s="1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</row>
    <row r="3027" spans="1:20" ht="45.75" customHeight="1" x14ac:dyDescent="0.3">
      <c r="A3027" s="1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</row>
    <row r="3028" spans="1:20" ht="45.75" customHeight="1" x14ac:dyDescent="0.3">
      <c r="A3028" s="1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</row>
    <row r="3029" spans="1:20" ht="45.75" customHeight="1" x14ac:dyDescent="0.3">
      <c r="A3029" s="1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</row>
    <row r="3030" spans="1:20" ht="45.75" customHeight="1" x14ac:dyDescent="0.3">
      <c r="A3030" s="1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</row>
    <row r="3031" spans="1:20" ht="45.75" customHeight="1" x14ac:dyDescent="0.3">
      <c r="A3031" s="1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</row>
    <row r="3032" spans="1:20" ht="45.75" customHeight="1" x14ac:dyDescent="0.3">
      <c r="A3032" s="1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</row>
    <row r="3033" spans="1:20" ht="45.75" customHeight="1" x14ac:dyDescent="0.3">
      <c r="A3033" s="1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</row>
    <row r="3034" spans="1:20" ht="45.75" customHeight="1" x14ac:dyDescent="0.3">
      <c r="A3034" s="1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</row>
    <row r="3035" spans="1:20" ht="45.75" customHeight="1" x14ac:dyDescent="0.3">
      <c r="A3035" s="1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</row>
    <row r="3036" spans="1:20" ht="45.75" customHeight="1" x14ac:dyDescent="0.3">
      <c r="A3036" s="1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</row>
    <row r="3037" spans="1:20" ht="45.75" customHeight="1" x14ac:dyDescent="0.3">
      <c r="A3037" s="1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</row>
    <row r="3038" spans="1:20" ht="45.75" customHeight="1" x14ac:dyDescent="0.3">
      <c r="A3038" s="1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</row>
    <row r="3039" spans="1:20" ht="45.75" customHeight="1" x14ac:dyDescent="0.3">
      <c r="A3039" s="1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</row>
    <row r="3040" spans="1:20" ht="45.75" customHeight="1" x14ac:dyDescent="0.3">
      <c r="A3040" s="1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</row>
    <row r="3041" spans="1:20" ht="45.75" customHeight="1" x14ac:dyDescent="0.3">
      <c r="A3041" s="1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</row>
    <row r="3042" spans="1:20" ht="45.75" customHeight="1" x14ac:dyDescent="0.3">
      <c r="A3042" s="1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</row>
    <row r="3043" spans="1:20" ht="45.75" customHeight="1" x14ac:dyDescent="0.3">
      <c r="A3043" s="1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</row>
    <row r="3044" spans="1:20" ht="45.75" customHeight="1" x14ac:dyDescent="0.3">
      <c r="A3044" s="1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</row>
    <row r="3045" spans="1:20" ht="45.75" customHeight="1" x14ac:dyDescent="0.3">
      <c r="A3045" s="1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</row>
    <row r="3046" spans="1:20" ht="45.75" customHeight="1" x14ac:dyDescent="0.3">
      <c r="A3046" s="1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</row>
    <row r="3047" spans="1:20" ht="45.75" customHeight="1" x14ac:dyDescent="0.3">
      <c r="A3047" s="1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</row>
    <row r="3048" spans="1:20" ht="45.75" customHeight="1" x14ac:dyDescent="0.3">
      <c r="A3048" s="1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</row>
    <row r="3049" spans="1:20" ht="45.75" customHeight="1" x14ac:dyDescent="0.3">
      <c r="A3049" s="1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</row>
    <row r="3050" spans="1:20" ht="45.75" customHeight="1" x14ac:dyDescent="0.3">
      <c r="A3050" s="1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</row>
    <row r="3051" spans="1:20" ht="45.75" customHeight="1" x14ac:dyDescent="0.3">
      <c r="A3051" s="1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</row>
    <row r="3052" spans="1:20" ht="45.75" customHeight="1" x14ac:dyDescent="0.3">
      <c r="A3052" s="1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</row>
    <row r="3053" spans="1:20" ht="45.75" customHeight="1" x14ac:dyDescent="0.3">
      <c r="A3053" s="1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</row>
    <row r="3054" spans="1:20" ht="45.75" customHeight="1" x14ac:dyDescent="0.3">
      <c r="A3054" s="1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</row>
    <row r="3055" spans="1:20" ht="45.75" customHeight="1" x14ac:dyDescent="0.3">
      <c r="A3055" s="1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</row>
    <row r="3056" spans="1:20" ht="45.75" customHeight="1" x14ac:dyDescent="0.3">
      <c r="A3056" s="1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</row>
    <row r="3057" spans="1:20" ht="45.75" customHeight="1" x14ac:dyDescent="0.3">
      <c r="A3057" s="1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</row>
    <row r="3058" spans="1:20" ht="45.75" customHeight="1" x14ac:dyDescent="0.3">
      <c r="A3058" s="1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</row>
    <row r="3059" spans="1:20" ht="45.75" customHeight="1" x14ac:dyDescent="0.3">
      <c r="A3059" s="1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</row>
    <row r="3060" spans="1:20" ht="45.75" customHeight="1" x14ac:dyDescent="0.3">
      <c r="A3060" s="1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</row>
    <row r="3061" spans="1:20" ht="45.75" customHeight="1" x14ac:dyDescent="0.3">
      <c r="A3061" s="1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</row>
    <row r="3062" spans="1:20" ht="45.75" customHeight="1" x14ac:dyDescent="0.3">
      <c r="A3062" s="1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</row>
    <row r="3063" spans="1:20" ht="45.75" customHeight="1" x14ac:dyDescent="0.3">
      <c r="A3063" s="1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</row>
    <row r="3064" spans="1:20" ht="45.75" customHeight="1" x14ac:dyDescent="0.3">
      <c r="A3064" s="1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</row>
    <row r="3065" spans="1:20" ht="45.75" customHeight="1" x14ac:dyDescent="0.3">
      <c r="A3065" s="1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</row>
    <row r="3066" spans="1:20" ht="45.75" customHeight="1" x14ac:dyDescent="0.3">
      <c r="A3066" s="1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</row>
    <row r="3067" spans="1:20" ht="45.75" customHeight="1" x14ac:dyDescent="0.3">
      <c r="A3067" s="1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</row>
    <row r="3068" spans="1:20" ht="45.75" customHeight="1" x14ac:dyDescent="0.3">
      <c r="A3068" s="1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</row>
    <row r="3069" spans="1:20" ht="45.75" customHeight="1" x14ac:dyDescent="0.3">
      <c r="A3069" s="1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</row>
    <row r="3070" spans="1:20" ht="45.75" customHeight="1" x14ac:dyDescent="0.3">
      <c r="A3070" s="1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</row>
    <row r="3071" spans="1:20" ht="45.75" customHeight="1" x14ac:dyDescent="0.3">
      <c r="A3071" s="1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</row>
    <row r="3072" spans="1:20" ht="45.75" customHeight="1" x14ac:dyDescent="0.3">
      <c r="A3072" s="1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</row>
    <row r="3073" spans="1:20" ht="45.75" customHeight="1" x14ac:dyDescent="0.3">
      <c r="A3073" s="1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</row>
    <row r="3074" spans="1:20" ht="45.75" customHeight="1" x14ac:dyDescent="0.3">
      <c r="A3074" s="1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</row>
    <row r="3075" spans="1:20" ht="45.75" customHeight="1" x14ac:dyDescent="0.3">
      <c r="A3075" s="1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</row>
    <row r="3076" spans="1:20" ht="45.75" customHeight="1" x14ac:dyDescent="0.3">
      <c r="A3076" s="1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</row>
    <row r="3077" spans="1:20" ht="45.75" customHeight="1" x14ac:dyDescent="0.3">
      <c r="A3077" s="1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</row>
    <row r="3078" spans="1:20" ht="45.75" customHeight="1" x14ac:dyDescent="0.3">
      <c r="A3078" s="1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</row>
    <row r="3079" spans="1:20" ht="45.75" customHeight="1" x14ac:dyDescent="0.3">
      <c r="A3079" s="1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</row>
    <row r="3080" spans="1:20" ht="45.75" customHeight="1" x14ac:dyDescent="0.3">
      <c r="A3080" s="1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</row>
    <row r="3081" spans="1:20" ht="45.75" customHeight="1" x14ac:dyDescent="0.3">
      <c r="A3081" s="1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</row>
    <row r="3082" spans="1:20" ht="45.75" customHeight="1" x14ac:dyDescent="0.3">
      <c r="A3082" s="1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</row>
    <row r="3083" spans="1:20" ht="45.75" customHeight="1" x14ac:dyDescent="0.3">
      <c r="A3083" s="1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</row>
    <row r="3084" spans="1:20" ht="45.75" customHeight="1" x14ac:dyDescent="0.3">
      <c r="A3084" s="1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</row>
    <row r="3085" spans="1:20" ht="45.75" customHeight="1" x14ac:dyDescent="0.3">
      <c r="A3085" s="1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</row>
    <row r="3086" spans="1:20" ht="45.75" customHeight="1" x14ac:dyDescent="0.3">
      <c r="A3086" s="1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</row>
    <row r="3087" spans="1:20" ht="45.75" customHeight="1" x14ac:dyDescent="0.3">
      <c r="A3087" s="1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</row>
    <row r="3088" spans="1:20" ht="45.75" customHeight="1" x14ac:dyDescent="0.3">
      <c r="A3088" s="1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</row>
    <row r="3089" spans="1:20" ht="45.75" customHeight="1" x14ac:dyDescent="0.3">
      <c r="A3089" s="1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</row>
    <row r="3090" spans="1:20" ht="45.75" customHeight="1" x14ac:dyDescent="0.3">
      <c r="A3090" s="1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</row>
    <row r="3091" spans="1:20" ht="45.75" customHeight="1" x14ac:dyDescent="0.3">
      <c r="A3091" s="1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</row>
    <row r="3092" spans="1:20" ht="45.75" customHeight="1" x14ac:dyDescent="0.3">
      <c r="A3092" s="1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</row>
    <row r="3093" spans="1:20" ht="45.75" customHeight="1" x14ac:dyDescent="0.3">
      <c r="A3093" s="1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</row>
    <row r="3094" spans="1:20" ht="45.75" customHeight="1" x14ac:dyDescent="0.3">
      <c r="A3094" s="1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</row>
    <row r="3095" spans="1:20" ht="45.75" customHeight="1" x14ac:dyDescent="0.3">
      <c r="A3095" s="1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</row>
    <row r="3096" spans="1:20" ht="45.75" customHeight="1" x14ac:dyDescent="0.3">
      <c r="A3096" s="1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</row>
    <row r="3097" spans="1:20" ht="45.75" customHeight="1" x14ac:dyDescent="0.3">
      <c r="A3097" s="1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</row>
    <row r="3098" spans="1:20" ht="45.75" customHeight="1" x14ac:dyDescent="0.3">
      <c r="A3098" s="1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</row>
    <row r="3099" spans="1:20" ht="45.75" customHeight="1" x14ac:dyDescent="0.3">
      <c r="A3099" s="1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</row>
    <row r="3100" spans="1:20" ht="45.75" customHeight="1" x14ac:dyDescent="0.3">
      <c r="A3100" s="1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</row>
    <row r="3101" spans="1:20" ht="45.75" customHeight="1" x14ac:dyDescent="0.3">
      <c r="A3101" s="1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</row>
    <row r="3102" spans="1:20" ht="45.75" customHeight="1" x14ac:dyDescent="0.3">
      <c r="A3102" s="1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</row>
    <row r="3103" spans="1:20" ht="45.75" customHeight="1" x14ac:dyDescent="0.3">
      <c r="A3103" s="1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</row>
    <row r="3104" spans="1:20" ht="45.75" customHeight="1" x14ac:dyDescent="0.3">
      <c r="A3104" s="1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</row>
    <row r="3105" spans="1:20" ht="45.75" customHeight="1" x14ac:dyDescent="0.3">
      <c r="A3105" s="1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</row>
    <row r="3106" spans="1:20" ht="45.75" customHeight="1" x14ac:dyDescent="0.3">
      <c r="A3106" s="1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</row>
    <row r="3107" spans="1:20" ht="45.75" customHeight="1" x14ac:dyDescent="0.3">
      <c r="A3107" s="1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</row>
    <row r="3108" spans="1:20" ht="45.75" customHeight="1" x14ac:dyDescent="0.3">
      <c r="A3108" s="1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</row>
    <row r="3109" spans="1:20" ht="45.75" customHeight="1" x14ac:dyDescent="0.3">
      <c r="A3109" s="1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</row>
    <row r="3110" spans="1:20" ht="45.75" customHeight="1" x14ac:dyDescent="0.3">
      <c r="A3110" s="1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</row>
    <row r="3111" spans="1:20" ht="45.75" customHeight="1" x14ac:dyDescent="0.3">
      <c r="A3111" s="1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</row>
    <row r="3112" spans="1:20" ht="45.75" customHeight="1" x14ac:dyDescent="0.3">
      <c r="A3112" s="1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</row>
    <row r="3113" spans="1:20" ht="45.75" customHeight="1" x14ac:dyDescent="0.3">
      <c r="A3113" s="1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</row>
    <row r="3114" spans="1:20" ht="45.75" customHeight="1" x14ac:dyDescent="0.3">
      <c r="A3114" s="1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</row>
    <row r="3115" spans="1:20" ht="45.75" customHeight="1" x14ac:dyDescent="0.3">
      <c r="A3115" s="1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</row>
    <row r="3116" spans="1:20" ht="45.75" customHeight="1" x14ac:dyDescent="0.3">
      <c r="A3116" s="1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</row>
    <row r="3117" spans="1:20" ht="45.75" customHeight="1" x14ac:dyDescent="0.3">
      <c r="A3117" s="1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</row>
    <row r="3118" spans="1:20" ht="45.75" customHeight="1" x14ac:dyDescent="0.3">
      <c r="A3118" s="1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</row>
    <row r="3119" spans="1:20" ht="45.75" customHeight="1" x14ac:dyDescent="0.3">
      <c r="A3119" s="1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</row>
    <row r="3120" spans="1:20" ht="45.75" customHeight="1" x14ac:dyDescent="0.3">
      <c r="A3120" s="1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</row>
    <row r="3121" spans="1:20" ht="45.75" customHeight="1" x14ac:dyDescent="0.3">
      <c r="A3121" s="1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</row>
    <row r="3122" spans="1:20" ht="45.75" customHeight="1" x14ac:dyDescent="0.3">
      <c r="A3122" s="1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</row>
    <row r="3123" spans="1:20" ht="45.75" customHeight="1" x14ac:dyDescent="0.3">
      <c r="A3123" s="1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</row>
    <row r="3124" spans="1:20" ht="45.75" customHeight="1" x14ac:dyDescent="0.3">
      <c r="A3124" s="1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</row>
    <row r="3125" spans="1:20" ht="45.75" customHeight="1" x14ac:dyDescent="0.3">
      <c r="A3125" s="1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</row>
    <row r="3126" spans="1:20" ht="45.75" customHeight="1" x14ac:dyDescent="0.3">
      <c r="A3126" s="1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</row>
    <row r="3127" spans="1:20" ht="45.75" customHeight="1" x14ac:dyDescent="0.3">
      <c r="A3127" s="1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</row>
    <row r="3128" spans="1:20" ht="45.75" customHeight="1" x14ac:dyDescent="0.3">
      <c r="A3128" s="1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</row>
    <row r="3129" spans="1:20" ht="45.75" customHeight="1" x14ac:dyDescent="0.3">
      <c r="A3129" s="1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</row>
    <row r="3130" spans="1:20" ht="45.75" customHeight="1" x14ac:dyDescent="0.3">
      <c r="A3130" s="1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</row>
    <row r="3131" spans="1:20" ht="45.75" customHeight="1" x14ac:dyDescent="0.3">
      <c r="A3131" s="1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</row>
    <row r="3132" spans="1:20" ht="45.75" customHeight="1" x14ac:dyDescent="0.3">
      <c r="A3132" s="1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</row>
    <row r="3133" spans="1:20" ht="45.75" customHeight="1" x14ac:dyDescent="0.3">
      <c r="A3133" s="1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</row>
    <row r="3134" spans="1:20" ht="45.75" customHeight="1" x14ac:dyDescent="0.3">
      <c r="A3134" s="1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</row>
    <row r="3135" spans="1:20" ht="45.75" customHeight="1" x14ac:dyDescent="0.3">
      <c r="A3135" s="1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</row>
    <row r="3136" spans="1:20" ht="45.75" customHeight="1" x14ac:dyDescent="0.3">
      <c r="A3136" s="1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</row>
    <row r="3137" spans="1:20" ht="45.75" customHeight="1" x14ac:dyDescent="0.3">
      <c r="A3137" s="1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</row>
    <row r="3138" spans="1:20" ht="45.75" customHeight="1" x14ac:dyDescent="0.3">
      <c r="A3138" s="1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</row>
    <row r="3139" spans="1:20" ht="45.75" customHeight="1" x14ac:dyDescent="0.3">
      <c r="A3139" s="1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</row>
    <row r="3140" spans="1:20" ht="45.75" customHeight="1" x14ac:dyDescent="0.3">
      <c r="A3140" s="1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</row>
    <row r="3141" spans="1:20" ht="45.75" customHeight="1" x14ac:dyDescent="0.3">
      <c r="A3141" s="1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</row>
    <row r="3142" spans="1:20" ht="45.75" customHeight="1" x14ac:dyDescent="0.3">
      <c r="A3142" s="1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</row>
    <row r="3143" spans="1:20" ht="45.75" customHeight="1" x14ac:dyDescent="0.3">
      <c r="A3143" s="1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</row>
    <row r="3144" spans="1:20" ht="45.75" customHeight="1" x14ac:dyDescent="0.3">
      <c r="A3144" s="1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</row>
    <row r="3145" spans="1:20" ht="45.75" customHeight="1" x14ac:dyDescent="0.3">
      <c r="A3145" s="1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</row>
    <row r="3146" spans="1:20" ht="45.75" customHeight="1" x14ac:dyDescent="0.3">
      <c r="A3146" s="1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</row>
    <row r="3147" spans="1:20" ht="45.75" customHeight="1" x14ac:dyDescent="0.3">
      <c r="A3147" s="1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</row>
    <row r="3148" spans="1:20" ht="45.75" customHeight="1" x14ac:dyDescent="0.3">
      <c r="A3148" s="1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</row>
    <row r="3149" spans="1:20" ht="45.75" customHeight="1" x14ac:dyDescent="0.3">
      <c r="A3149" s="1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</row>
    <row r="3150" spans="1:20" ht="45.75" customHeight="1" x14ac:dyDescent="0.3">
      <c r="A3150" s="1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</row>
    <row r="3151" spans="1:20" ht="45.75" customHeight="1" x14ac:dyDescent="0.3">
      <c r="A3151" s="1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</row>
    <row r="3152" spans="1:20" ht="45.75" customHeight="1" x14ac:dyDescent="0.3">
      <c r="A3152" s="1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</row>
    <row r="3153" spans="1:20" ht="45.75" customHeight="1" x14ac:dyDescent="0.3">
      <c r="A3153" s="1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</row>
    <row r="3154" spans="1:20" ht="45.75" customHeight="1" x14ac:dyDescent="0.3">
      <c r="A3154" s="1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</row>
    <row r="3155" spans="1:20" ht="45.75" customHeight="1" x14ac:dyDescent="0.3">
      <c r="A3155" s="1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</row>
    <row r="3156" spans="1:20" ht="45.75" customHeight="1" x14ac:dyDescent="0.3">
      <c r="A3156" s="1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</row>
    <row r="3157" spans="1:20" ht="45.75" customHeight="1" x14ac:dyDescent="0.3">
      <c r="A3157" s="1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</row>
    <row r="3158" spans="1:20" ht="45.75" customHeight="1" x14ac:dyDescent="0.3">
      <c r="A3158" s="1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</row>
    <row r="3159" spans="1:20" ht="45.75" customHeight="1" x14ac:dyDescent="0.3">
      <c r="A3159" s="1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</row>
    <row r="3160" spans="1:20" ht="45.75" customHeight="1" x14ac:dyDescent="0.3">
      <c r="A3160" s="1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</row>
    <row r="3161" spans="1:20" ht="45.75" customHeight="1" x14ac:dyDescent="0.3">
      <c r="A3161" s="1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</row>
    <row r="3162" spans="1:20" ht="45.75" customHeight="1" x14ac:dyDescent="0.3">
      <c r="A3162" s="1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</row>
    <row r="3163" spans="1:20" ht="45.75" customHeight="1" x14ac:dyDescent="0.3">
      <c r="A3163" s="1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</row>
    <row r="3164" spans="1:20" ht="45.75" customHeight="1" x14ac:dyDescent="0.3">
      <c r="A3164" s="1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</row>
    <row r="3165" spans="1:20" ht="45.75" customHeight="1" x14ac:dyDescent="0.3">
      <c r="A3165" s="1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</row>
    <row r="3166" spans="1:20" ht="45.75" customHeight="1" x14ac:dyDescent="0.3">
      <c r="A3166" s="1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</row>
    <row r="3167" spans="1:20" ht="45.75" customHeight="1" x14ac:dyDescent="0.3">
      <c r="A3167" s="1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</row>
    <row r="3168" spans="1:20" ht="45.75" customHeight="1" x14ac:dyDescent="0.3">
      <c r="A3168" s="1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</row>
    <row r="3169" spans="1:20" ht="45.75" customHeight="1" x14ac:dyDescent="0.3">
      <c r="A3169" s="1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</row>
    <row r="3170" spans="1:20" ht="45.75" customHeight="1" x14ac:dyDescent="0.3">
      <c r="A3170" s="1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</row>
    <row r="3171" spans="1:20" ht="45.75" customHeight="1" x14ac:dyDescent="0.3">
      <c r="A3171" s="1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</row>
    <row r="3172" spans="1:20" ht="45.75" customHeight="1" x14ac:dyDescent="0.3">
      <c r="A3172" s="1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</row>
    <row r="3173" spans="1:20" ht="45.75" customHeight="1" x14ac:dyDescent="0.3">
      <c r="A3173" s="1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</row>
    <row r="3174" spans="1:20" ht="45.75" customHeight="1" x14ac:dyDescent="0.3">
      <c r="A3174" s="1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</row>
    <row r="3175" spans="1:20" ht="45.75" customHeight="1" x14ac:dyDescent="0.3">
      <c r="A3175" s="1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</row>
    <row r="3176" spans="1:20" ht="45.75" customHeight="1" x14ac:dyDescent="0.3">
      <c r="A3176" s="1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</row>
    <row r="3177" spans="1:20" ht="45.75" customHeight="1" x14ac:dyDescent="0.3">
      <c r="A3177" s="1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</row>
    <row r="3178" spans="1:20" ht="45.75" customHeight="1" x14ac:dyDescent="0.3">
      <c r="A3178" s="1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</row>
    <row r="3179" spans="1:20" ht="45.75" customHeight="1" x14ac:dyDescent="0.3">
      <c r="A3179" s="1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</row>
    <row r="3180" spans="1:20" ht="45.75" customHeight="1" x14ac:dyDescent="0.3">
      <c r="A3180" s="1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</row>
    <row r="3181" spans="1:20" ht="45.75" customHeight="1" x14ac:dyDescent="0.3">
      <c r="A3181" s="1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</row>
    <row r="3182" spans="1:20" ht="45.75" customHeight="1" x14ac:dyDescent="0.3">
      <c r="A3182" s="1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</row>
    <row r="3183" spans="1:20" ht="45.75" customHeight="1" x14ac:dyDescent="0.3">
      <c r="A3183" s="1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</row>
    <row r="3184" spans="1:20" ht="45.75" customHeight="1" x14ac:dyDescent="0.3">
      <c r="A3184" s="1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</row>
    <row r="3185" spans="1:20" ht="45.75" customHeight="1" x14ac:dyDescent="0.3">
      <c r="A3185" s="1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</row>
    <row r="3186" spans="1:20" ht="45.75" customHeight="1" x14ac:dyDescent="0.3">
      <c r="A3186" s="1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</row>
    <row r="3187" spans="1:20" ht="45.75" customHeight="1" x14ac:dyDescent="0.3">
      <c r="A3187" s="1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</row>
    <row r="3188" spans="1:20" ht="45.75" customHeight="1" x14ac:dyDescent="0.3">
      <c r="A3188" s="1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</row>
    <row r="3189" spans="1:20" ht="45.75" customHeight="1" x14ac:dyDescent="0.3">
      <c r="A3189" s="1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</row>
    <row r="3190" spans="1:20" ht="45.75" customHeight="1" x14ac:dyDescent="0.3">
      <c r="A3190" s="1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</row>
    <row r="3191" spans="1:20" ht="45.75" customHeight="1" x14ac:dyDescent="0.3">
      <c r="A3191" s="1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</row>
    <row r="3192" spans="1:20" ht="45.75" customHeight="1" x14ac:dyDescent="0.3">
      <c r="A3192" s="1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</row>
    <row r="3193" spans="1:20" ht="45.75" customHeight="1" x14ac:dyDescent="0.3">
      <c r="A3193" s="1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</row>
    <row r="3194" spans="1:20" ht="45.75" customHeight="1" x14ac:dyDescent="0.3">
      <c r="A3194" s="1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</row>
    <row r="3195" spans="1:20" ht="45.75" customHeight="1" x14ac:dyDescent="0.3">
      <c r="A3195" s="1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</row>
    <row r="3196" spans="1:20" ht="45.75" customHeight="1" x14ac:dyDescent="0.3">
      <c r="A3196" s="1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</row>
    <row r="3197" spans="1:20" ht="45.75" customHeight="1" x14ac:dyDescent="0.3">
      <c r="A3197" s="1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</row>
    <row r="3198" spans="1:20" ht="45.75" customHeight="1" x14ac:dyDescent="0.3">
      <c r="A3198" s="1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</row>
    <row r="3199" spans="1:20" ht="45.75" customHeight="1" x14ac:dyDescent="0.3">
      <c r="A3199" s="1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</row>
    <row r="3200" spans="1:20" ht="45.75" customHeight="1" x14ac:dyDescent="0.3">
      <c r="A3200" s="1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</row>
    <row r="3201" spans="1:20" ht="45.75" customHeight="1" x14ac:dyDescent="0.3">
      <c r="A3201" s="1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</row>
    <row r="3202" spans="1:20" ht="45.75" customHeight="1" x14ac:dyDescent="0.3">
      <c r="A3202" s="1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</row>
    <row r="3203" spans="1:20" ht="45.75" customHeight="1" x14ac:dyDescent="0.3">
      <c r="A3203" s="1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</row>
    <row r="3204" spans="1:20" ht="45.75" customHeight="1" x14ac:dyDescent="0.3">
      <c r="A3204" s="1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</row>
    <row r="3205" spans="1:20" ht="45.75" customHeight="1" x14ac:dyDescent="0.3">
      <c r="A3205" s="1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</row>
    <row r="3206" spans="1:20" ht="45.75" customHeight="1" x14ac:dyDescent="0.3">
      <c r="A3206" s="1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</row>
    <row r="3207" spans="1:20" ht="45.75" customHeight="1" x14ac:dyDescent="0.3">
      <c r="A3207" s="1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</row>
    <row r="3208" spans="1:20" ht="45.75" customHeight="1" x14ac:dyDescent="0.3">
      <c r="A3208" s="1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</row>
    <row r="3209" spans="1:20" ht="45.75" customHeight="1" x14ac:dyDescent="0.3">
      <c r="A3209" s="1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</row>
    <row r="3210" spans="1:20" ht="45.75" customHeight="1" x14ac:dyDescent="0.3">
      <c r="A3210" s="1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</row>
    <row r="3211" spans="1:20" ht="45.75" customHeight="1" x14ac:dyDescent="0.3">
      <c r="A3211" s="1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</row>
    <row r="3212" spans="1:20" ht="45.75" customHeight="1" x14ac:dyDescent="0.3">
      <c r="A3212" s="1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</row>
    <row r="3213" spans="1:20" ht="45.75" customHeight="1" x14ac:dyDescent="0.3">
      <c r="A3213" s="1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</row>
    <row r="3214" spans="1:20" ht="45.75" customHeight="1" x14ac:dyDescent="0.3">
      <c r="A3214" s="1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</row>
    <row r="3215" spans="1:20" ht="45.75" customHeight="1" x14ac:dyDescent="0.3">
      <c r="A3215" s="1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</row>
    <row r="3216" spans="1:20" ht="45.75" customHeight="1" x14ac:dyDescent="0.3">
      <c r="A3216" s="1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</row>
    <row r="3217" spans="1:20" ht="45.75" customHeight="1" x14ac:dyDescent="0.3">
      <c r="A3217" s="1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</row>
    <row r="3218" spans="1:20" ht="45.75" customHeight="1" x14ac:dyDescent="0.3">
      <c r="A3218" s="1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</row>
    <row r="3219" spans="1:20" ht="45.75" customHeight="1" x14ac:dyDescent="0.3">
      <c r="A3219" s="1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</row>
    <row r="3220" spans="1:20" ht="45.75" customHeight="1" x14ac:dyDescent="0.3">
      <c r="A3220" s="1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</row>
    <row r="3221" spans="1:20" ht="45.75" customHeight="1" x14ac:dyDescent="0.3">
      <c r="A3221" s="1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</row>
    <row r="3222" spans="1:20" ht="45.75" customHeight="1" x14ac:dyDescent="0.3">
      <c r="A3222" s="1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</row>
    <row r="3223" spans="1:20" ht="45.75" customHeight="1" x14ac:dyDescent="0.3">
      <c r="A3223" s="1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</row>
    <row r="3224" spans="1:20" ht="45.75" customHeight="1" x14ac:dyDescent="0.3">
      <c r="A3224" s="1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</row>
    <row r="3225" spans="1:20" ht="45.75" customHeight="1" x14ac:dyDescent="0.3">
      <c r="A3225" s="1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</row>
    <row r="3226" spans="1:20" ht="45.75" customHeight="1" x14ac:dyDescent="0.3">
      <c r="A3226" s="1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</row>
    <row r="3227" spans="1:20" ht="45.75" customHeight="1" x14ac:dyDescent="0.3">
      <c r="A3227" s="1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</row>
    <row r="3228" spans="1:20" ht="45.75" customHeight="1" x14ac:dyDescent="0.3">
      <c r="A3228" s="1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</row>
    <row r="3229" spans="1:20" ht="45.75" customHeight="1" x14ac:dyDescent="0.3">
      <c r="A3229" s="1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</row>
    <row r="3230" spans="1:20" ht="45.75" customHeight="1" x14ac:dyDescent="0.3">
      <c r="A3230" s="1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</row>
    <row r="3231" spans="1:20" ht="45.75" customHeight="1" x14ac:dyDescent="0.3">
      <c r="A3231" s="1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</row>
    <row r="3232" spans="1:20" ht="45.75" customHeight="1" x14ac:dyDescent="0.3">
      <c r="A3232" s="1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</row>
    <row r="3233" spans="1:20" ht="45.75" customHeight="1" x14ac:dyDescent="0.3">
      <c r="A3233" s="1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</row>
    <row r="3234" spans="1:20" ht="45.75" customHeight="1" x14ac:dyDescent="0.3">
      <c r="A3234" s="1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</row>
    <row r="3235" spans="1:20" ht="45.75" customHeight="1" x14ac:dyDescent="0.3">
      <c r="A3235" s="1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</row>
    <row r="3236" spans="1:20" ht="45.75" customHeight="1" x14ac:dyDescent="0.3">
      <c r="A3236" s="1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</row>
    <row r="3237" spans="1:20" ht="45.75" customHeight="1" x14ac:dyDescent="0.3">
      <c r="A3237" s="1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</row>
    <row r="3238" spans="1:20" ht="45.75" customHeight="1" x14ac:dyDescent="0.3">
      <c r="A3238" s="1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</row>
    <row r="3239" spans="1:20" ht="45.75" customHeight="1" x14ac:dyDescent="0.3">
      <c r="A3239" s="1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</row>
    <row r="3240" spans="1:20" ht="45.75" customHeight="1" x14ac:dyDescent="0.3">
      <c r="A3240" s="1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</row>
    <row r="3241" spans="1:20" ht="45.75" customHeight="1" x14ac:dyDescent="0.3">
      <c r="A3241" s="1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</row>
    <row r="3242" spans="1:20" ht="45.75" customHeight="1" x14ac:dyDescent="0.3">
      <c r="A3242" s="1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</row>
    <row r="3243" spans="1:20" ht="45.75" customHeight="1" x14ac:dyDescent="0.3">
      <c r="A3243" s="1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</row>
    <row r="3244" spans="1:20" ht="45.75" customHeight="1" x14ac:dyDescent="0.3">
      <c r="A3244" s="1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</row>
    <row r="3245" spans="1:20" ht="45.75" customHeight="1" x14ac:dyDescent="0.3">
      <c r="A3245" s="1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</row>
    <row r="3246" spans="1:20" ht="45.75" customHeight="1" x14ac:dyDescent="0.3">
      <c r="A3246" s="1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</row>
    <row r="3247" spans="1:20" ht="45.75" customHeight="1" x14ac:dyDescent="0.3">
      <c r="A3247" s="1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</row>
    <row r="3248" spans="1:20" ht="45.75" customHeight="1" x14ac:dyDescent="0.3">
      <c r="A3248" s="1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</row>
    <row r="3249" spans="1:20" ht="45.75" customHeight="1" x14ac:dyDescent="0.3">
      <c r="A3249" s="1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</row>
    <row r="3250" spans="1:20" ht="45.75" customHeight="1" x14ac:dyDescent="0.3">
      <c r="A3250" s="1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</row>
    <row r="3251" spans="1:20" ht="45.75" customHeight="1" x14ac:dyDescent="0.3">
      <c r="A3251" s="1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</row>
    <row r="3252" spans="1:20" ht="45.75" customHeight="1" x14ac:dyDescent="0.3">
      <c r="A3252" s="1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</row>
    <row r="3253" spans="1:20" ht="45.75" customHeight="1" x14ac:dyDescent="0.3">
      <c r="A3253" s="1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</row>
    <row r="3254" spans="1:20" ht="45.75" customHeight="1" x14ac:dyDescent="0.3">
      <c r="A3254" s="1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</row>
    <row r="3255" spans="1:20" ht="45.75" customHeight="1" x14ac:dyDescent="0.3">
      <c r="A3255" s="1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</row>
    <row r="3256" spans="1:20" ht="45.75" customHeight="1" x14ac:dyDescent="0.3">
      <c r="A3256" s="1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</row>
    <row r="3257" spans="1:20" ht="45.75" customHeight="1" x14ac:dyDescent="0.3">
      <c r="A3257" s="1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</row>
    <row r="3258" spans="1:20" ht="45.75" customHeight="1" x14ac:dyDescent="0.3">
      <c r="A3258" s="1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</row>
    <row r="3259" spans="1:20" ht="45.75" customHeight="1" x14ac:dyDescent="0.3">
      <c r="A3259" s="1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</row>
    <row r="3260" spans="1:20" ht="45.75" customHeight="1" x14ac:dyDescent="0.3">
      <c r="A3260" s="1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</row>
    <row r="3261" spans="1:20" ht="45.75" customHeight="1" x14ac:dyDescent="0.3">
      <c r="A3261" s="1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</row>
    <row r="3262" spans="1:20" ht="45.75" customHeight="1" x14ac:dyDescent="0.3">
      <c r="A3262" s="1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</row>
    <row r="3263" spans="1:20" ht="45.75" customHeight="1" x14ac:dyDescent="0.3">
      <c r="A3263" s="1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</row>
    <row r="3264" spans="1:20" ht="45.75" customHeight="1" x14ac:dyDescent="0.3">
      <c r="A3264" s="1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</row>
    <row r="3265" spans="1:20" ht="45.75" customHeight="1" x14ac:dyDescent="0.3">
      <c r="A3265" s="1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</row>
    <row r="3266" spans="1:20" ht="45.75" customHeight="1" x14ac:dyDescent="0.3">
      <c r="A3266" s="1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</row>
    <row r="3267" spans="1:20" ht="45.75" customHeight="1" x14ac:dyDescent="0.3">
      <c r="A3267" s="1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</row>
    <row r="3268" spans="1:20" ht="45.75" customHeight="1" x14ac:dyDescent="0.3">
      <c r="A3268" s="1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</row>
    <row r="3269" spans="1:20" ht="45.75" customHeight="1" x14ac:dyDescent="0.3">
      <c r="A3269" s="1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</row>
    <row r="3270" spans="1:20" ht="45.75" customHeight="1" x14ac:dyDescent="0.3">
      <c r="A3270" s="1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</row>
    <row r="3271" spans="1:20" ht="45.75" customHeight="1" x14ac:dyDescent="0.3">
      <c r="A3271" s="1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</row>
    <row r="3272" spans="1:20" ht="45.75" customHeight="1" x14ac:dyDescent="0.3">
      <c r="A3272" s="1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</row>
    <row r="3273" spans="1:20" ht="45.75" customHeight="1" x14ac:dyDescent="0.3">
      <c r="A3273" s="1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</row>
    <row r="3274" spans="1:20" ht="45.75" customHeight="1" x14ac:dyDescent="0.3">
      <c r="A3274" s="1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</row>
    <row r="3275" spans="1:20" ht="45.75" customHeight="1" x14ac:dyDescent="0.3">
      <c r="A3275" s="1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</row>
    <row r="3276" spans="1:20" ht="45.75" customHeight="1" x14ac:dyDescent="0.3">
      <c r="A3276" s="1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</row>
    <row r="3277" spans="1:20" ht="45.75" customHeight="1" x14ac:dyDescent="0.3">
      <c r="A3277" s="1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</row>
    <row r="3278" spans="1:20" ht="45.75" customHeight="1" x14ac:dyDescent="0.3">
      <c r="A3278" s="1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</row>
    <row r="3279" spans="1:20" ht="45.75" customHeight="1" x14ac:dyDescent="0.3">
      <c r="A3279" s="1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</row>
    <row r="3280" spans="1:20" ht="45.75" customHeight="1" x14ac:dyDescent="0.3">
      <c r="A3280" s="1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</row>
    <row r="3281" spans="1:20" ht="45.75" customHeight="1" x14ac:dyDescent="0.3">
      <c r="A3281" s="1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</row>
    <row r="3282" spans="1:20" ht="45.75" customHeight="1" x14ac:dyDescent="0.3">
      <c r="A3282" s="1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</row>
    <row r="3283" spans="1:20" ht="45.75" customHeight="1" x14ac:dyDescent="0.3">
      <c r="A3283" s="1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</row>
    <row r="3284" spans="1:20" ht="45.75" customHeight="1" x14ac:dyDescent="0.3">
      <c r="A3284" s="1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</row>
    <row r="3285" spans="1:20" ht="45.75" customHeight="1" x14ac:dyDescent="0.3">
      <c r="A3285" s="1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</row>
    <row r="3286" spans="1:20" ht="45.75" customHeight="1" x14ac:dyDescent="0.3">
      <c r="A3286" s="1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</row>
    <row r="3287" spans="1:20" ht="45.75" customHeight="1" x14ac:dyDescent="0.3">
      <c r="A3287" s="1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</row>
    <row r="3288" spans="1:20" ht="45.75" customHeight="1" x14ac:dyDescent="0.3">
      <c r="A3288" s="1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</row>
    <row r="3289" spans="1:20" ht="45.75" customHeight="1" x14ac:dyDescent="0.3">
      <c r="A3289" s="1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</row>
    <row r="3290" spans="1:20" ht="45.75" customHeight="1" x14ac:dyDescent="0.3">
      <c r="A3290" s="1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</row>
    <row r="3291" spans="1:20" ht="45.75" customHeight="1" x14ac:dyDescent="0.3">
      <c r="A3291" s="1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</row>
    <row r="3292" spans="1:20" ht="45.75" customHeight="1" x14ac:dyDescent="0.3">
      <c r="A3292" s="1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</row>
    <row r="3293" spans="1:20" ht="45.75" customHeight="1" x14ac:dyDescent="0.3">
      <c r="A3293" s="1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</row>
    <row r="3294" spans="1:20" ht="45.75" customHeight="1" x14ac:dyDescent="0.3">
      <c r="A3294" s="1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</row>
    <row r="3295" spans="1:20" ht="45.75" customHeight="1" x14ac:dyDescent="0.3">
      <c r="A3295" s="1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</row>
    <row r="3296" spans="1:20" ht="45.75" customHeight="1" x14ac:dyDescent="0.3">
      <c r="A3296" s="1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</row>
    <row r="3297" spans="1:20" ht="45.75" customHeight="1" x14ac:dyDescent="0.3">
      <c r="A3297" s="1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</row>
    <row r="3298" spans="1:20" ht="45.75" customHeight="1" x14ac:dyDescent="0.3">
      <c r="A3298" s="1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</row>
    <row r="3299" spans="1:20" ht="45.75" customHeight="1" x14ac:dyDescent="0.3">
      <c r="A3299" s="1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</row>
    <row r="3300" spans="1:20" ht="45.75" customHeight="1" x14ac:dyDescent="0.3">
      <c r="A3300" s="1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</row>
    <row r="3301" spans="1:20" ht="45.75" customHeight="1" x14ac:dyDescent="0.3">
      <c r="A3301" s="1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</row>
    <row r="3302" spans="1:20" ht="45.75" customHeight="1" x14ac:dyDescent="0.3">
      <c r="A3302" s="1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</row>
    <row r="3303" spans="1:20" ht="45.75" customHeight="1" x14ac:dyDescent="0.3">
      <c r="A3303" s="1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</row>
    <row r="3304" spans="1:20" ht="45.75" customHeight="1" x14ac:dyDescent="0.3">
      <c r="A3304" s="1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</row>
    <row r="3305" spans="1:20" ht="45.75" customHeight="1" x14ac:dyDescent="0.3">
      <c r="A3305" s="1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</row>
    <row r="3306" spans="1:20" ht="45.75" customHeight="1" x14ac:dyDescent="0.3">
      <c r="A3306" s="1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</row>
    <row r="3307" spans="1:20" ht="45.75" customHeight="1" x14ac:dyDescent="0.3">
      <c r="A3307" s="1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</row>
    <row r="3308" spans="1:20" ht="45.75" customHeight="1" x14ac:dyDescent="0.3">
      <c r="A3308" s="1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</row>
    <row r="3309" spans="1:20" ht="45.75" customHeight="1" x14ac:dyDescent="0.3">
      <c r="A3309" s="1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</row>
    <row r="3310" spans="1:20" ht="45.75" customHeight="1" x14ac:dyDescent="0.3">
      <c r="A3310" s="1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</row>
    <row r="3311" spans="1:20" ht="45.75" customHeight="1" x14ac:dyDescent="0.3">
      <c r="A3311" s="1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</row>
    <row r="3312" spans="1:20" ht="45.75" customHeight="1" x14ac:dyDescent="0.3">
      <c r="A3312" s="1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</row>
    <row r="3313" spans="1:20" ht="45.75" customHeight="1" x14ac:dyDescent="0.3">
      <c r="A3313" s="1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</row>
    <row r="3314" spans="1:20" ht="45.75" customHeight="1" x14ac:dyDescent="0.3">
      <c r="A3314" s="1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</row>
    <row r="3315" spans="1:20" ht="45.75" customHeight="1" x14ac:dyDescent="0.3">
      <c r="A3315" s="1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</row>
    <row r="3316" spans="1:20" ht="45.75" customHeight="1" x14ac:dyDescent="0.3">
      <c r="A3316" s="1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</row>
    <row r="3317" spans="1:20" ht="45.75" customHeight="1" x14ac:dyDescent="0.3">
      <c r="A3317" s="1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</row>
    <row r="3318" spans="1:20" ht="45.75" customHeight="1" x14ac:dyDescent="0.3">
      <c r="A3318" s="1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</row>
    <row r="3319" spans="1:20" ht="45.75" customHeight="1" x14ac:dyDescent="0.3">
      <c r="A3319" s="1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</row>
    <row r="3320" spans="1:20" ht="45.75" customHeight="1" x14ac:dyDescent="0.3">
      <c r="A3320" s="1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</row>
    <row r="3321" spans="1:20" ht="45.75" customHeight="1" x14ac:dyDescent="0.3">
      <c r="A3321" s="1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</row>
    <row r="3322" spans="1:20" ht="45.75" customHeight="1" x14ac:dyDescent="0.3">
      <c r="A3322" s="1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</row>
    <row r="3323" spans="1:20" ht="45.75" customHeight="1" x14ac:dyDescent="0.3">
      <c r="A3323" s="1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</row>
    <row r="3324" spans="1:20" ht="45.75" customHeight="1" x14ac:dyDescent="0.3">
      <c r="A3324" s="1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</row>
    <row r="3325" spans="1:20" ht="45.75" customHeight="1" x14ac:dyDescent="0.3">
      <c r="A3325" s="1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</row>
    <row r="3326" spans="1:20" ht="45.75" customHeight="1" x14ac:dyDescent="0.3">
      <c r="A3326" s="1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</row>
    <row r="3327" spans="1:20" ht="45.75" customHeight="1" x14ac:dyDescent="0.3">
      <c r="A3327" s="1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</row>
    <row r="3328" spans="1:20" ht="45.75" customHeight="1" x14ac:dyDescent="0.3">
      <c r="A3328" s="1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</row>
    <row r="3329" spans="1:20" ht="45.75" customHeight="1" x14ac:dyDescent="0.3">
      <c r="A3329" s="1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</row>
    <row r="3330" spans="1:20" ht="45.75" customHeight="1" x14ac:dyDescent="0.3">
      <c r="A3330" s="1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</row>
    <row r="3331" spans="1:20" ht="45.75" customHeight="1" x14ac:dyDescent="0.3">
      <c r="A3331" s="1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</row>
    <row r="3332" spans="1:20" ht="45.75" customHeight="1" x14ac:dyDescent="0.3">
      <c r="A3332" s="1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</row>
    <row r="3333" spans="1:20" ht="45.75" customHeight="1" x14ac:dyDescent="0.3">
      <c r="A3333" s="1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</row>
    <row r="3334" spans="1:20" ht="45.75" customHeight="1" x14ac:dyDescent="0.3">
      <c r="A3334" s="1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</row>
    <row r="3335" spans="1:20" ht="45.75" customHeight="1" x14ac:dyDescent="0.3">
      <c r="A3335" s="1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</row>
    <row r="3336" spans="1:20" ht="45.75" customHeight="1" x14ac:dyDescent="0.3">
      <c r="A3336" s="1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</row>
    <row r="3337" spans="1:20" ht="45.75" customHeight="1" x14ac:dyDescent="0.3">
      <c r="A3337" s="1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</row>
    <row r="3338" spans="1:20" ht="45.75" customHeight="1" x14ac:dyDescent="0.3">
      <c r="A3338" s="1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</row>
    <row r="3339" spans="1:20" ht="45.75" customHeight="1" x14ac:dyDescent="0.3">
      <c r="A3339" s="1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</row>
    <row r="3340" spans="1:20" ht="45.75" customHeight="1" x14ac:dyDescent="0.3">
      <c r="A3340" s="1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</row>
    <row r="3341" spans="1:20" ht="45.75" customHeight="1" x14ac:dyDescent="0.3">
      <c r="A3341" s="1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</row>
    <row r="3342" spans="1:20" ht="45.75" customHeight="1" x14ac:dyDescent="0.3">
      <c r="A3342" s="1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</row>
    <row r="3343" spans="1:20" ht="45.75" customHeight="1" x14ac:dyDescent="0.3">
      <c r="A3343" s="1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</row>
    <row r="3344" spans="1:20" ht="45.75" customHeight="1" x14ac:dyDescent="0.3">
      <c r="A3344" s="1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</row>
    <row r="3345" spans="1:20" ht="45.75" customHeight="1" x14ac:dyDescent="0.3">
      <c r="A3345" s="1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</row>
    <row r="3346" spans="1:20" ht="45.75" customHeight="1" x14ac:dyDescent="0.3">
      <c r="A3346" s="1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</row>
    <row r="3347" spans="1:20" ht="45.75" customHeight="1" x14ac:dyDescent="0.3">
      <c r="A3347" s="1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</row>
    <row r="3348" spans="1:20" ht="45.75" customHeight="1" x14ac:dyDescent="0.3">
      <c r="A3348" s="1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</row>
    <row r="3349" spans="1:20" ht="45.75" customHeight="1" x14ac:dyDescent="0.3">
      <c r="A3349" s="1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</row>
    <row r="3350" spans="1:20" ht="45.75" customHeight="1" x14ac:dyDescent="0.3">
      <c r="A3350" s="1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</row>
    <row r="3351" spans="1:20" ht="45.75" customHeight="1" x14ac:dyDescent="0.3">
      <c r="A3351" s="1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</row>
    <row r="3352" spans="1:20" ht="45.75" customHeight="1" x14ac:dyDescent="0.3">
      <c r="A3352" s="1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</row>
    <row r="3353" spans="1:20" ht="45.75" customHeight="1" x14ac:dyDescent="0.3">
      <c r="A3353" s="1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</row>
    <row r="3354" spans="1:20" ht="45.75" customHeight="1" x14ac:dyDescent="0.3">
      <c r="A3354" s="1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</row>
    <row r="3355" spans="1:20" ht="45.75" customHeight="1" x14ac:dyDescent="0.3">
      <c r="A3355" s="1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</row>
    <row r="3356" spans="1:20" ht="45.75" customHeight="1" x14ac:dyDescent="0.3">
      <c r="A3356" s="1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</row>
    <row r="3357" spans="1:20" ht="45.75" customHeight="1" x14ac:dyDescent="0.3">
      <c r="A3357" s="1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</row>
    <row r="3358" spans="1:20" ht="45.75" customHeight="1" x14ac:dyDescent="0.3">
      <c r="A3358" s="1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</row>
    <row r="3359" spans="1:20" ht="45.75" customHeight="1" x14ac:dyDescent="0.3">
      <c r="A3359" s="1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</row>
    <row r="3360" spans="1:20" ht="45.75" customHeight="1" x14ac:dyDescent="0.3">
      <c r="A3360" s="1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</row>
    <row r="3361" spans="1:20" ht="45.75" customHeight="1" x14ac:dyDescent="0.3">
      <c r="A3361" s="1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</row>
    <row r="3362" spans="1:20" ht="45.75" customHeight="1" x14ac:dyDescent="0.3">
      <c r="A3362" s="1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</row>
    <row r="3363" spans="1:20" ht="45.75" customHeight="1" x14ac:dyDescent="0.3">
      <c r="A3363" s="1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</row>
    <row r="3364" spans="1:20" ht="45.75" customHeight="1" x14ac:dyDescent="0.3">
      <c r="A3364" s="1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</row>
    <row r="3365" spans="1:20" ht="45.75" customHeight="1" x14ac:dyDescent="0.3">
      <c r="A3365" s="1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</row>
    <row r="3366" spans="1:20" ht="45.75" customHeight="1" x14ac:dyDescent="0.3">
      <c r="A3366" s="1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</row>
    <row r="3367" spans="1:20" ht="45.75" customHeight="1" x14ac:dyDescent="0.3">
      <c r="A3367" s="1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</row>
    <row r="3368" spans="1:20" ht="45.75" customHeight="1" x14ac:dyDescent="0.3">
      <c r="A3368" s="1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</row>
    <row r="3369" spans="1:20" ht="45.75" customHeight="1" x14ac:dyDescent="0.3">
      <c r="A3369" s="1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</row>
    <row r="3370" spans="1:20" ht="45.75" customHeight="1" x14ac:dyDescent="0.3">
      <c r="A3370" s="1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</row>
    <row r="3371" spans="1:20" ht="45.75" customHeight="1" x14ac:dyDescent="0.3">
      <c r="A3371" s="1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</row>
    <row r="3372" spans="1:20" ht="45.75" customHeight="1" x14ac:dyDescent="0.3">
      <c r="A3372" s="1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</row>
    <row r="3373" spans="1:20" ht="45.75" customHeight="1" x14ac:dyDescent="0.3">
      <c r="A3373" s="1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</row>
    <row r="3374" spans="1:20" ht="45.75" customHeight="1" x14ac:dyDescent="0.3">
      <c r="A3374" s="1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</row>
    <row r="3375" spans="1:20" ht="45.75" customHeight="1" x14ac:dyDescent="0.3">
      <c r="A3375" s="1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</row>
    <row r="3376" spans="1:20" ht="45.75" customHeight="1" x14ac:dyDescent="0.3">
      <c r="A3376" s="1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</row>
    <row r="3377" spans="1:20" ht="45.75" customHeight="1" x14ac:dyDescent="0.3">
      <c r="A3377" s="1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</row>
    <row r="3378" spans="1:20" ht="45.75" customHeight="1" x14ac:dyDescent="0.3">
      <c r="A3378" s="1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</row>
    <row r="3379" spans="1:20" ht="45.75" customHeight="1" x14ac:dyDescent="0.3">
      <c r="A3379" s="1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</row>
    <row r="3380" spans="1:20" ht="45.75" customHeight="1" x14ac:dyDescent="0.3">
      <c r="A3380" s="1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</row>
    <row r="3381" spans="1:20" ht="45.75" customHeight="1" x14ac:dyDescent="0.3">
      <c r="A3381" s="1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</row>
    <row r="3382" spans="1:20" ht="45.75" customHeight="1" x14ac:dyDescent="0.3">
      <c r="A3382" s="1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</row>
    <row r="3383" spans="1:20" ht="45.75" customHeight="1" x14ac:dyDescent="0.3">
      <c r="A3383" s="1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</row>
    <row r="3384" spans="1:20" ht="45.75" customHeight="1" x14ac:dyDescent="0.3">
      <c r="A3384" s="1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</row>
    <row r="3385" spans="1:20" ht="45.75" customHeight="1" x14ac:dyDescent="0.3">
      <c r="A3385" s="1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</row>
    <row r="3386" spans="1:20" ht="45.75" customHeight="1" x14ac:dyDescent="0.3">
      <c r="A3386" s="1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</row>
    <row r="3387" spans="1:20" ht="45.75" customHeight="1" x14ac:dyDescent="0.3">
      <c r="A3387" s="1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</row>
    <row r="3388" spans="1:20" ht="45.75" customHeight="1" x14ac:dyDescent="0.3">
      <c r="A3388" s="1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</row>
    <row r="3389" spans="1:20" ht="45.75" customHeight="1" x14ac:dyDescent="0.3">
      <c r="A3389" s="1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</row>
    <row r="3390" spans="1:20" ht="45.75" customHeight="1" x14ac:dyDescent="0.3">
      <c r="A3390" s="1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</row>
    <row r="3391" spans="1:20" ht="45.75" customHeight="1" x14ac:dyDescent="0.3">
      <c r="A3391" s="1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</row>
    <row r="3392" spans="1:20" ht="45.75" customHeight="1" x14ac:dyDescent="0.3">
      <c r="A3392" s="1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</row>
    <row r="3393" spans="1:20" ht="45.75" customHeight="1" x14ac:dyDescent="0.3">
      <c r="A3393" s="1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</row>
    <row r="3394" spans="1:20" ht="45.75" customHeight="1" x14ac:dyDescent="0.3">
      <c r="A3394" s="1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</row>
    <row r="3395" spans="1:20" ht="45.75" customHeight="1" x14ac:dyDescent="0.3">
      <c r="A3395" s="1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</row>
    <row r="3396" spans="1:20" ht="45.75" customHeight="1" x14ac:dyDescent="0.3">
      <c r="A3396" s="1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</row>
    <row r="3397" spans="1:20" ht="45.75" customHeight="1" x14ac:dyDescent="0.3">
      <c r="A3397" s="1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</row>
    <row r="3398" spans="1:20" ht="45.75" customHeight="1" x14ac:dyDescent="0.3">
      <c r="A3398" s="1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</row>
    <row r="3399" spans="1:20" ht="45.75" customHeight="1" x14ac:dyDescent="0.3">
      <c r="A3399" s="1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</row>
    <row r="3400" spans="1:20" ht="45.75" customHeight="1" x14ac:dyDescent="0.3">
      <c r="A3400" s="1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</row>
    <row r="3401" spans="1:20" ht="45.75" customHeight="1" x14ac:dyDescent="0.3">
      <c r="A3401" s="1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</row>
    <row r="3402" spans="1:20" ht="45.75" customHeight="1" x14ac:dyDescent="0.3">
      <c r="A3402" s="1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</row>
    <row r="3403" spans="1:20" ht="45.75" customHeight="1" x14ac:dyDescent="0.3">
      <c r="A3403" s="1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</row>
    <row r="3404" spans="1:20" ht="45.75" customHeight="1" x14ac:dyDescent="0.3">
      <c r="A3404" s="1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</row>
    <row r="3405" spans="1:20" ht="45.75" customHeight="1" x14ac:dyDescent="0.3">
      <c r="A3405" s="1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</row>
    <row r="3406" spans="1:20" ht="45.75" customHeight="1" x14ac:dyDescent="0.3">
      <c r="A3406" s="1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</row>
    <row r="3407" spans="1:20" ht="45.75" customHeight="1" x14ac:dyDescent="0.3">
      <c r="A3407" s="1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</row>
    <row r="3408" spans="1:20" ht="45.75" customHeight="1" x14ac:dyDescent="0.3">
      <c r="A3408" s="1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</row>
    <row r="3409" spans="1:20" ht="45.75" customHeight="1" x14ac:dyDescent="0.3">
      <c r="A3409" s="1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</row>
    <row r="3410" spans="1:20" ht="45.75" customHeight="1" x14ac:dyDescent="0.3">
      <c r="A3410" s="1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</row>
    <row r="3411" spans="1:20" ht="45.75" customHeight="1" x14ac:dyDescent="0.3">
      <c r="A3411" s="1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</row>
    <row r="3412" spans="1:20" ht="45.75" customHeight="1" x14ac:dyDescent="0.3">
      <c r="A3412" s="1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</row>
    <row r="3413" spans="1:20" ht="45.75" customHeight="1" x14ac:dyDescent="0.3">
      <c r="A3413" s="1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</row>
    <row r="3414" spans="1:20" ht="45.75" customHeight="1" x14ac:dyDescent="0.3">
      <c r="A3414" s="1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</row>
    <row r="3415" spans="1:20" ht="45.75" customHeight="1" x14ac:dyDescent="0.3">
      <c r="A3415" s="1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</row>
    <row r="3416" spans="1:20" ht="45.75" customHeight="1" x14ac:dyDescent="0.3">
      <c r="A3416" s="1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</row>
    <row r="3417" spans="1:20" ht="45.75" customHeight="1" x14ac:dyDescent="0.3">
      <c r="A3417" s="1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</row>
    <row r="3418" spans="1:20" ht="45.75" customHeight="1" x14ac:dyDescent="0.3">
      <c r="A3418" s="1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</row>
    <row r="3419" spans="1:20" ht="45.75" customHeight="1" x14ac:dyDescent="0.3">
      <c r="A3419" s="1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</row>
    <row r="3420" spans="1:20" ht="45.75" customHeight="1" x14ac:dyDescent="0.3">
      <c r="A3420" s="1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</row>
    <row r="3421" spans="1:20" ht="45.75" customHeight="1" x14ac:dyDescent="0.3">
      <c r="A3421" s="1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</row>
    <row r="3422" spans="1:20" ht="45.75" customHeight="1" x14ac:dyDescent="0.3">
      <c r="A3422" s="1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</row>
    <row r="3423" spans="1:20" ht="45.75" customHeight="1" x14ac:dyDescent="0.3">
      <c r="A3423" s="1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</row>
    <row r="3424" spans="1:20" ht="45.75" customHeight="1" x14ac:dyDescent="0.3">
      <c r="A3424" s="1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</row>
    <row r="3425" spans="1:20" ht="45.75" customHeight="1" x14ac:dyDescent="0.3">
      <c r="A3425" s="1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</row>
    <row r="3426" spans="1:20" ht="45.75" customHeight="1" x14ac:dyDescent="0.3">
      <c r="A3426" s="1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</row>
    <row r="3427" spans="1:20" ht="45.75" customHeight="1" x14ac:dyDescent="0.3">
      <c r="A3427" s="1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</row>
    <row r="3428" spans="1:20" ht="45.75" customHeight="1" x14ac:dyDescent="0.3">
      <c r="A3428" s="1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</row>
    <row r="3429" spans="1:20" ht="45.75" customHeight="1" x14ac:dyDescent="0.3">
      <c r="A3429" s="1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</row>
    <row r="3430" spans="1:20" ht="45.75" customHeight="1" x14ac:dyDescent="0.3">
      <c r="A3430" s="1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</row>
    <row r="3431" spans="1:20" ht="45.75" customHeight="1" x14ac:dyDescent="0.3">
      <c r="A3431" s="1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</row>
    <row r="3432" spans="1:20" ht="45.75" customHeight="1" x14ac:dyDescent="0.3">
      <c r="A3432" s="1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</row>
    <row r="3433" spans="1:20" ht="45.75" customHeight="1" x14ac:dyDescent="0.3">
      <c r="A3433" s="1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</row>
    <row r="3434" spans="1:20" ht="45.75" customHeight="1" x14ac:dyDescent="0.3">
      <c r="A3434" s="1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</row>
    <row r="3435" spans="1:20" ht="45.75" customHeight="1" x14ac:dyDescent="0.3">
      <c r="A3435" s="1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</row>
    <row r="3436" spans="1:20" ht="45.75" customHeight="1" x14ac:dyDescent="0.3">
      <c r="A3436" s="1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</row>
    <row r="3437" spans="1:20" ht="45.75" customHeight="1" x14ac:dyDescent="0.3">
      <c r="A3437" s="1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</row>
    <row r="3438" spans="1:20" ht="45.75" customHeight="1" x14ac:dyDescent="0.3">
      <c r="A3438" s="1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</row>
    <row r="3439" spans="1:20" ht="45.75" customHeight="1" x14ac:dyDescent="0.3">
      <c r="A3439" s="1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</row>
    <row r="3440" spans="1:20" ht="45.75" customHeight="1" x14ac:dyDescent="0.3">
      <c r="A3440" s="1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</row>
    <row r="3441" spans="1:20" ht="45.75" customHeight="1" x14ac:dyDescent="0.3">
      <c r="A3441" s="1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</row>
    <row r="3442" spans="1:20" ht="45.75" customHeight="1" x14ac:dyDescent="0.3">
      <c r="A3442" s="1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</row>
    <row r="3443" spans="1:20" ht="45.75" customHeight="1" x14ac:dyDescent="0.3">
      <c r="A3443" s="1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</row>
    <row r="3444" spans="1:20" ht="45.75" customHeight="1" x14ac:dyDescent="0.3">
      <c r="A3444" s="1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</row>
    <row r="3445" spans="1:20" ht="45.75" customHeight="1" x14ac:dyDescent="0.3">
      <c r="A3445" s="1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</row>
    <row r="3446" spans="1:20" ht="45.75" customHeight="1" x14ac:dyDescent="0.3">
      <c r="A3446" s="1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</row>
    <row r="3447" spans="1:20" ht="45.75" customHeight="1" x14ac:dyDescent="0.3">
      <c r="A3447" s="1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</row>
    <row r="3448" spans="1:20" ht="45.75" customHeight="1" x14ac:dyDescent="0.3">
      <c r="A3448" s="1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</row>
    <row r="3449" spans="1:20" ht="45.75" customHeight="1" x14ac:dyDescent="0.3">
      <c r="A3449" s="1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</row>
    <row r="3450" spans="1:20" ht="45.75" customHeight="1" x14ac:dyDescent="0.3">
      <c r="A3450" s="1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</row>
    <row r="3451" spans="1:20" ht="45.75" customHeight="1" x14ac:dyDescent="0.3">
      <c r="A3451" s="1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</row>
    <row r="3452" spans="1:20" ht="45.75" customHeight="1" x14ac:dyDescent="0.3">
      <c r="A3452" s="1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</row>
    <row r="3453" spans="1:20" ht="45.75" customHeight="1" x14ac:dyDescent="0.3">
      <c r="A3453" s="1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</row>
    <row r="3454" spans="1:20" ht="45.75" customHeight="1" x14ac:dyDescent="0.3">
      <c r="A3454" s="1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</row>
    <row r="3455" spans="1:20" ht="45.75" customHeight="1" x14ac:dyDescent="0.3">
      <c r="A3455" s="1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</row>
    <row r="3456" spans="1:20" ht="45.75" customHeight="1" x14ac:dyDescent="0.3">
      <c r="A3456" s="1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</row>
    <row r="3457" spans="1:20" ht="45.75" customHeight="1" x14ac:dyDescent="0.3">
      <c r="A3457" s="1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</row>
    <row r="3458" spans="1:20" ht="45.75" customHeight="1" x14ac:dyDescent="0.3">
      <c r="A3458" s="1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</row>
    <row r="3459" spans="1:20" ht="45.75" customHeight="1" x14ac:dyDescent="0.3">
      <c r="A3459" s="1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</row>
    <row r="3460" spans="1:20" ht="45.75" customHeight="1" x14ac:dyDescent="0.3">
      <c r="A3460" s="1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</row>
    <row r="3461" spans="1:20" ht="45.75" customHeight="1" x14ac:dyDescent="0.3">
      <c r="A3461" s="1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</row>
    <row r="3462" spans="1:20" ht="45.75" customHeight="1" x14ac:dyDescent="0.3">
      <c r="A3462" s="1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</row>
    <row r="3463" spans="1:20" ht="45.75" customHeight="1" x14ac:dyDescent="0.3">
      <c r="A3463" s="1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</row>
    <row r="3464" spans="1:20" ht="45.75" customHeight="1" x14ac:dyDescent="0.3">
      <c r="A3464" s="1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</row>
    <row r="3465" spans="1:20" ht="45.75" customHeight="1" x14ac:dyDescent="0.3">
      <c r="A3465" s="1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</row>
    <row r="3466" spans="1:20" ht="45.75" customHeight="1" x14ac:dyDescent="0.3">
      <c r="A3466" s="1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</row>
    <row r="3467" spans="1:20" ht="45.75" customHeight="1" x14ac:dyDescent="0.3">
      <c r="A3467" s="1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</row>
    <row r="3468" spans="1:20" ht="45.75" customHeight="1" x14ac:dyDescent="0.3">
      <c r="A3468" s="1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</row>
    <row r="3469" spans="1:20" ht="45.75" customHeight="1" x14ac:dyDescent="0.3">
      <c r="A3469" s="1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</row>
    <row r="3470" spans="1:20" ht="45.75" customHeight="1" x14ac:dyDescent="0.3">
      <c r="A3470" s="1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</row>
    <row r="3471" spans="1:20" ht="45.75" customHeight="1" x14ac:dyDescent="0.3">
      <c r="A3471" s="1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</row>
    <row r="3472" spans="1:20" ht="45.75" customHeight="1" x14ac:dyDescent="0.3">
      <c r="A3472" s="1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</row>
    <row r="3473" spans="1:20" ht="45.75" customHeight="1" x14ac:dyDescent="0.3">
      <c r="A3473" s="1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</row>
    <row r="3474" spans="1:20" ht="45.75" customHeight="1" x14ac:dyDescent="0.3">
      <c r="A3474" s="1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</row>
    <row r="3475" spans="1:20" ht="45.75" customHeight="1" x14ac:dyDescent="0.3">
      <c r="A3475" s="1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</row>
    <row r="3476" spans="1:20" ht="45.75" customHeight="1" x14ac:dyDescent="0.3">
      <c r="A3476" s="1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</row>
    <row r="3477" spans="1:20" ht="45.75" customHeight="1" x14ac:dyDescent="0.3">
      <c r="A3477" s="1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</row>
    <row r="3478" spans="1:20" ht="45.75" customHeight="1" x14ac:dyDescent="0.3">
      <c r="A3478" s="1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</row>
    <row r="3479" spans="1:20" ht="45.75" customHeight="1" x14ac:dyDescent="0.3">
      <c r="A3479" s="1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</row>
    <row r="3480" spans="1:20" ht="45.75" customHeight="1" x14ac:dyDescent="0.3">
      <c r="A3480" s="1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</row>
    <row r="3481" spans="1:20" ht="45.75" customHeight="1" x14ac:dyDescent="0.3">
      <c r="A3481" s="1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</row>
    <row r="3482" spans="1:20" ht="45.75" customHeight="1" x14ac:dyDescent="0.3">
      <c r="A3482" s="1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</row>
    <row r="3483" spans="1:20" ht="45.75" customHeight="1" x14ac:dyDescent="0.3">
      <c r="A3483" s="1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</row>
    <row r="3484" spans="1:20" ht="45.75" customHeight="1" x14ac:dyDescent="0.3">
      <c r="A3484" s="1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</row>
    <row r="3485" spans="1:20" ht="45.75" customHeight="1" x14ac:dyDescent="0.3">
      <c r="A3485" s="1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</row>
    <row r="3486" spans="1:20" ht="45.75" customHeight="1" x14ac:dyDescent="0.3">
      <c r="A3486" s="1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</row>
    <row r="3487" spans="1:20" ht="45.75" customHeight="1" x14ac:dyDescent="0.3">
      <c r="A3487" s="1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</row>
    <row r="3488" spans="1:20" ht="45.75" customHeight="1" x14ac:dyDescent="0.3">
      <c r="A3488" s="1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</row>
    <row r="3489" spans="1:20" ht="45.75" customHeight="1" x14ac:dyDescent="0.3">
      <c r="A3489" s="1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</row>
    <row r="3490" spans="1:20" ht="45.75" customHeight="1" x14ac:dyDescent="0.3">
      <c r="A3490" s="1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</row>
    <row r="3491" spans="1:20" ht="45.75" customHeight="1" x14ac:dyDescent="0.3">
      <c r="A3491" s="1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</row>
    <row r="3492" spans="1:20" ht="45.75" customHeight="1" x14ac:dyDescent="0.3">
      <c r="A3492" s="1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</row>
    <row r="3493" spans="1:20" ht="45.75" customHeight="1" x14ac:dyDescent="0.3">
      <c r="A3493" s="1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</row>
    <row r="3494" spans="1:20" ht="45.75" customHeight="1" x14ac:dyDescent="0.3">
      <c r="A3494" s="1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</row>
    <row r="3495" spans="1:20" ht="45.75" customHeight="1" x14ac:dyDescent="0.3">
      <c r="A3495" s="1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</row>
    <row r="3496" spans="1:20" ht="45.75" customHeight="1" x14ac:dyDescent="0.3">
      <c r="A3496" s="1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</row>
    <row r="3497" spans="1:20" ht="45.75" customHeight="1" x14ac:dyDescent="0.3">
      <c r="A3497" s="1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</row>
    <row r="3498" spans="1:20" ht="45.75" customHeight="1" x14ac:dyDescent="0.3">
      <c r="A3498" s="1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</row>
    <row r="3499" spans="1:20" ht="45.75" customHeight="1" x14ac:dyDescent="0.3">
      <c r="A3499" s="1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</row>
    <row r="3500" spans="1:20" ht="45.75" customHeight="1" x14ac:dyDescent="0.3">
      <c r="A3500" s="1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</row>
    <row r="3501" spans="1:20" ht="45.75" customHeight="1" x14ac:dyDescent="0.3">
      <c r="A3501" s="1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</row>
    <row r="3502" spans="1:20" ht="45.75" customHeight="1" x14ac:dyDescent="0.3">
      <c r="A3502" s="1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</row>
    <row r="3503" spans="1:20" ht="45.75" customHeight="1" x14ac:dyDescent="0.3">
      <c r="A3503" s="1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</row>
    <row r="3504" spans="1:20" ht="45.75" customHeight="1" x14ac:dyDescent="0.3">
      <c r="A3504" s="1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</row>
    <row r="3505" spans="1:20" ht="45.75" customHeight="1" x14ac:dyDescent="0.3">
      <c r="A3505" s="1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</row>
    <row r="3506" spans="1:20" ht="45.75" customHeight="1" x14ac:dyDescent="0.3">
      <c r="A3506" s="1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</row>
    <row r="3507" spans="1:20" ht="45.75" customHeight="1" x14ac:dyDescent="0.3">
      <c r="A3507" s="1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</row>
    <row r="3508" spans="1:20" ht="45.75" customHeight="1" x14ac:dyDescent="0.3">
      <c r="A3508" s="1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</row>
    <row r="3509" spans="1:20" ht="45.75" customHeight="1" x14ac:dyDescent="0.3">
      <c r="A3509" s="1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</row>
    <row r="3510" spans="1:20" ht="45.75" customHeight="1" x14ac:dyDescent="0.3">
      <c r="A3510" s="1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</row>
    <row r="3511" spans="1:20" ht="45.75" customHeight="1" x14ac:dyDescent="0.3">
      <c r="A3511" s="1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</row>
    <row r="3512" spans="1:20" ht="45.75" customHeight="1" x14ac:dyDescent="0.3">
      <c r="A3512" s="1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</row>
    <row r="3513" spans="1:20" ht="45.75" customHeight="1" x14ac:dyDescent="0.3">
      <c r="A3513" s="1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</row>
    <row r="3514" spans="1:20" ht="45.75" customHeight="1" x14ac:dyDescent="0.3">
      <c r="A3514" s="1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</row>
    <row r="3515" spans="1:20" ht="45.75" customHeight="1" x14ac:dyDescent="0.3">
      <c r="A3515" s="1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</row>
    <row r="3516" spans="1:20" ht="45.75" customHeight="1" x14ac:dyDescent="0.3">
      <c r="A3516" s="1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</row>
    <row r="3517" spans="1:20" ht="45.75" customHeight="1" x14ac:dyDescent="0.3">
      <c r="A3517" s="1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</row>
    <row r="3518" spans="1:20" ht="45.75" customHeight="1" x14ac:dyDescent="0.3">
      <c r="A3518" s="1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</row>
    <row r="3519" spans="1:20" ht="45.75" customHeight="1" x14ac:dyDescent="0.3">
      <c r="A3519" s="1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</row>
    <row r="3520" spans="1:20" ht="45.75" customHeight="1" x14ac:dyDescent="0.3">
      <c r="A3520" s="1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</row>
    <row r="3521" spans="1:20" ht="45.75" customHeight="1" x14ac:dyDescent="0.3">
      <c r="A3521" s="1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</row>
    <row r="3522" spans="1:20" ht="45.75" customHeight="1" x14ac:dyDescent="0.3">
      <c r="A3522" s="1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</row>
    <row r="3523" spans="1:20" ht="45.75" customHeight="1" x14ac:dyDescent="0.3">
      <c r="A3523" s="1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</row>
    <row r="3524" spans="1:20" ht="45.75" customHeight="1" x14ac:dyDescent="0.3">
      <c r="A3524" s="1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</row>
    <row r="3525" spans="1:20" ht="45.75" customHeight="1" x14ac:dyDescent="0.3">
      <c r="A3525" s="1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</row>
    <row r="3526" spans="1:20" ht="45.75" customHeight="1" x14ac:dyDescent="0.3">
      <c r="A3526" s="1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</row>
    <row r="3527" spans="1:20" ht="45.75" customHeight="1" x14ac:dyDescent="0.3">
      <c r="A3527" s="1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</row>
    <row r="3528" spans="1:20" ht="45.75" customHeight="1" x14ac:dyDescent="0.3">
      <c r="A3528" s="1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</row>
    <row r="3529" spans="1:20" ht="45.75" customHeight="1" x14ac:dyDescent="0.3">
      <c r="A3529" s="1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</row>
    <row r="3530" spans="1:20" ht="45.75" customHeight="1" x14ac:dyDescent="0.3">
      <c r="A3530" s="1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</row>
    <row r="3531" spans="1:20" ht="45.75" customHeight="1" x14ac:dyDescent="0.3">
      <c r="A3531" s="1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</row>
    <row r="3532" spans="1:20" ht="45.75" customHeight="1" x14ac:dyDescent="0.3">
      <c r="A3532" s="1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</row>
    <row r="3533" spans="1:20" ht="45.75" customHeight="1" x14ac:dyDescent="0.3">
      <c r="A3533" s="1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</row>
    <row r="3534" spans="1:20" ht="45.75" customHeight="1" x14ac:dyDescent="0.3">
      <c r="A3534" s="1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</row>
    <row r="3535" spans="1:20" ht="45.75" customHeight="1" x14ac:dyDescent="0.3">
      <c r="A3535" s="1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</row>
    <row r="3536" spans="1:20" ht="45.75" customHeight="1" x14ac:dyDescent="0.3">
      <c r="A3536" s="1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</row>
    <row r="3537" spans="1:20" ht="45.75" customHeight="1" x14ac:dyDescent="0.3">
      <c r="A3537" s="1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</row>
    <row r="3538" spans="1:20" ht="45.75" customHeight="1" x14ac:dyDescent="0.3">
      <c r="A3538" s="1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</row>
    <row r="3539" spans="1:20" ht="45.75" customHeight="1" x14ac:dyDescent="0.3">
      <c r="A3539" s="1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</row>
    <row r="3540" spans="1:20" ht="45.75" customHeight="1" x14ac:dyDescent="0.3">
      <c r="A3540" s="1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</row>
    <row r="3541" spans="1:20" ht="45.75" customHeight="1" x14ac:dyDescent="0.3">
      <c r="A3541" s="1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</row>
    <row r="3542" spans="1:20" ht="45.75" customHeight="1" x14ac:dyDescent="0.3">
      <c r="A3542" s="1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</row>
    <row r="3543" spans="1:20" ht="45.75" customHeight="1" x14ac:dyDescent="0.3">
      <c r="A3543" s="1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</row>
    <row r="3544" spans="1:20" ht="45.75" customHeight="1" x14ac:dyDescent="0.3">
      <c r="A3544" s="1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</row>
    <row r="3545" spans="1:20" ht="45.75" customHeight="1" x14ac:dyDescent="0.3">
      <c r="A3545" s="1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</row>
    <row r="3546" spans="1:20" ht="45.75" customHeight="1" x14ac:dyDescent="0.3">
      <c r="A3546" s="1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</row>
    <row r="3547" spans="1:20" ht="45.75" customHeight="1" x14ac:dyDescent="0.3">
      <c r="A3547" s="1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</row>
    <row r="3548" spans="1:20" ht="45.75" customHeight="1" x14ac:dyDescent="0.3">
      <c r="A3548" s="1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</row>
    <row r="3549" spans="1:20" ht="45.75" customHeight="1" x14ac:dyDescent="0.3">
      <c r="A3549" s="1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</row>
    <row r="3550" spans="1:20" ht="45.75" customHeight="1" x14ac:dyDescent="0.3">
      <c r="A3550" s="1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</row>
    <row r="3551" spans="1:20" ht="45.75" customHeight="1" x14ac:dyDescent="0.3">
      <c r="A3551" s="1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</row>
    <row r="3552" spans="1:20" ht="45.75" customHeight="1" x14ac:dyDescent="0.3">
      <c r="A3552" s="1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</row>
    <row r="3553" spans="1:20" ht="45.75" customHeight="1" x14ac:dyDescent="0.3">
      <c r="A3553" s="1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</row>
    <row r="3554" spans="1:20" ht="45.75" customHeight="1" x14ac:dyDescent="0.3">
      <c r="A3554" s="1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</row>
    <row r="3555" spans="1:20" ht="45.75" customHeight="1" x14ac:dyDescent="0.3">
      <c r="A3555" s="1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</row>
    <row r="3556" spans="1:20" ht="45.75" customHeight="1" x14ac:dyDescent="0.3">
      <c r="A3556" s="1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</row>
    <row r="3557" spans="1:20" ht="45.75" customHeight="1" x14ac:dyDescent="0.3">
      <c r="A3557" s="1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</row>
    <row r="3558" spans="1:20" ht="45.75" customHeight="1" x14ac:dyDescent="0.3">
      <c r="A3558" s="1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</row>
    <row r="3559" spans="1:20" ht="45.75" customHeight="1" x14ac:dyDescent="0.3">
      <c r="A3559" s="1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</row>
    <row r="3560" spans="1:20" ht="45.75" customHeight="1" x14ac:dyDescent="0.3">
      <c r="A3560" s="1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</row>
    <row r="3561" spans="1:20" ht="45.75" customHeight="1" x14ac:dyDescent="0.3">
      <c r="A3561" s="1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</row>
    <row r="3562" spans="1:20" ht="45.75" customHeight="1" x14ac:dyDescent="0.3">
      <c r="A3562" s="1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</row>
    <row r="3563" spans="1:20" ht="45.75" customHeight="1" x14ac:dyDescent="0.3">
      <c r="A3563" s="1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</row>
    <row r="3564" spans="1:20" ht="45.75" customHeight="1" x14ac:dyDescent="0.3">
      <c r="A3564" s="1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</row>
    <row r="3565" spans="1:20" ht="45.75" customHeight="1" x14ac:dyDescent="0.3">
      <c r="A3565" s="1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</row>
    <row r="3566" spans="1:20" ht="45.75" customHeight="1" x14ac:dyDescent="0.3">
      <c r="A3566" s="1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</row>
    <row r="3567" spans="1:20" ht="45.75" customHeight="1" x14ac:dyDescent="0.3">
      <c r="A3567" s="1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</row>
    <row r="3568" spans="1:20" ht="45.75" customHeight="1" x14ac:dyDescent="0.3">
      <c r="A3568" s="1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</row>
    <row r="3569" spans="1:20" ht="45.75" customHeight="1" x14ac:dyDescent="0.3">
      <c r="A3569" s="1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</row>
    <row r="3570" spans="1:20" ht="45.75" customHeight="1" x14ac:dyDescent="0.3">
      <c r="A3570" s="1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</row>
    <row r="3571" spans="1:20" ht="45.75" customHeight="1" x14ac:dyDescent="0.3">
      <c r="A3571" s="1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</row>
    <row r="3572" spans="1:20" ht="45.75" customHeight="1" x14ac:dyDescent="0.3">
      <c r="A3572" s="1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</row>
    <row r="3573" spans="1:20" ht="45.75" customHeight="1" x14ac:dyDescent="0.3">
      <c r="A3573" s="1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</row>
    <row r="3574" spans="1:20" ht="45.75" customHeight="1" x14ac:dyDescent="0.3">
      <c r="A3574" s="1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</row>
    <row r="3575" spans="1:20" ht="45.75" customHeight="1" x14ac:dyDescent="0.3">
      <c r="A3575" s="1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</row>
    <row r="3576" spans="1:20" ht="45.75" customHeight="1" x14ac:dyDescent="0.3">
      <c r="A3576" s="1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</row>
    <row r="3577" spans="1:20" ht="45.75" customHeight="1" x14ac:dyDescent="0.3">
      <c r="A3577" s="1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</row>
    <row r="3578" spans="1:20" ht="45.75" customHeight="1" x14ac:dyDescent="0.3">
      <c r="A3578" s="1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</row>
    <row r="3579" spans="1:20" ht="45.75" customHeight="1" x14ac:dyDescent="0.3">
      <c r="A3579" s="1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</row>
    <row r="3580" spans="1:20" ht="45.75" customHeight="1" x14ac:dyDescent="0.3">
      <c r="A3580" s="1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</row>
    <row r="3581" spans="1:20" ht="45.75" customHeight="1" x14ac:dyDescent="0.3">
      <c r="A3581" s="1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</row>
    <row r="3582" spans="1:20" ht="45.75" customHeight="1" x14ac:dyDescent="0.3">
      <c r="A3582" s="1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</row>
    <row r="3583" spans="1:20" ht="45.75" customHeight="1" x14ac:dyDescent="0.3">
      <c r="A3583" s="1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</row>
    <row r="3584" spans="1:20" ht="45.75" customHeight="1" x14ac:dyDescent="0.3">
      <c r="A3584" s="1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</row>
    <row r="3585" spans="1:20" ht="45.75" customHeight="1" x14ac:dyDescent="0.3">
      <c r="A3585" s="1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</row>
    <row r="3586" spans="1:20" ht="45.75" customHeight="1" x14ac:dyDescent="0.3">
      <c r="A3586" s="1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</row>
    <row r="3587" spans="1:20" ht="45.75" customHeight="1" x14ac:dyDescent="0.3">
      <c r="A3587" s="1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</row>
    <row r="3588" spans="1:20" ht="45.75" customHeight="1" x14ac:dyDescent="0.3">
      <c r="A3588" s="1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</row>
    <row r="3589" spans="1:20" ht="45.75" customHeight="1" x14ac:dyDescent="0.3">
      <c r="A3589" s="1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</row>
    <row r="3590" spans="1:20" ht="45.75" customHeight="1" x14ac:dyDescent="0.3">
      <c r="A3590" s="1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</row>
    <row r="3591" spans="1:20" ht="45.75" customHeight="1" x14ac:dyDescent="0.3">
      <c r="A3591" s="1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</row>
    <row r="3592" spans="1:20" ht="45.75" customHeight="1" x14ac:dyDescent="0.3">
      <c r="A3592" s="1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</row>
    <row r="3593" spans="1:20" ht="45.75" customHeight="1" x14ac:dyDescent="0.3">
      <c r="A3593" s="1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</row>
    <row r="3594" spans="1:20" ht="45.75" customHeight="1" x14ac:dyDescent="0.3">
      <c r="A3594" s="1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</row>
    <row r="3595" spans="1:20" ht="45.75" customHeight="1" x14ac:dyDescent="0.3">
      <c r="A3595" s="1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</row>
    <row r="3596" spans="1:20" ht="45.75" customHeight="1" x14ac:dyDescent="0.3">
      <c r="A3596" s="1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</row>
    <row r="3597" spans="1:20" ht="45.75" customHeight="1" x14ac:dyDescent="0.3">
      <c r="A3597" s="1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</row>
    <row r="3598" spans="1:20" ht="45.75" customHeight="1" x14ac:dyDescent="0.3">
      <c r="A3598" s="1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</row>
    <row r="3599" spans="1:20" ht="45.75" customHeight="1" x14ac:dyDescent="0.3">
      <c r="A3599" s="1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</row>
    <row r="3600" spans="1:20" ht="45.75" customHeight="1" x14ac:dyDescent="0.3">
      <c r="A3600" s="1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</row>
    <row r="3601" spans="1:20" ht="45.75" customHeight="1" x14ac:dyDescent="0.3">
      <c r="A3601" s="1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</row>
    <row r="3602" spans="1:20" ht="45.75" customHeight="1" x14ac:dyDescent="0.3">
      <c r="A3602" s="1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</row>
    <row r="3603" spans="1:20" ht="45.75" customHeight="1" x14ac:dyDescent="0.3">
      <c r="A3603" s="1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</row>
    <row r="3604" spans="1:20" ht="45.75" customHeight="1" x14ac:dyDescent="0.3">
      <c r="A3604" s="1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</row>
    <row r="3605" spans="1:20" ht="45.75" customHeight="1" x14ac:dyDescent="0.3">
      <c r="A3605" s="1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</row>
    <row r="3606" spans="1:20" ht="45.75" customHeight="1" x14ac:dyDescent="0.3">
      <c r="A3606" s="1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</row>
    <row r="3607" spans="1:20" ht="45.75" customHeight="1" x14ac:dyDescent="0.3">
      <c r="A3607" s="1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</row>
    <row r="3608" spans="1:20" ht="45.75" customHeight="1" x14ac:dyDescent="0.3">
      <c r="A3608" s="1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</row>
    <row r="3609" spans="1:20" ht="45.75" customHeight="1" x14ac:dyDescent="0.3">
      <c r="A3609" s="1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</row>
    <row r="3610" spans="1:20" ht="45.75" customHeight="1" x14ac:dyDescent="0.3">
      <c r="A3610" s="1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</row>
    <row r="3611" spans="1:20" ht="45.75" customHeight="1" x14ac:dyDescent="0.3">
      <c r="A3611" s="1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</row>
    <row r="3612" spans="1:20" ht="45.75" customHeight="1" x14ac:dyDescent="0.3">
      <c r="A3612" s="1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</row>
    <row r="3613" spans="1:20" ht="45.75" customHeight="1" x14ac:dyDescent="0.3">
      <c r="A3613" s="1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</row>
    <row r="3614" spans="1:20" ht="45.75" customHeight="1" x14ac:dyDescent="0.3">
      <c r="A3614" s="1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</row>
    <row r="3615" spans="1:20" ht="45.75" customHeight="1" x14ac:dyDescent="0.3">
      <c r="A3615" s="1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</row>
    <row r="3616" spans="1:20" ht="45.75" customHeight="1" x14ac:dyDescent="0.3">
      <c r="A3616" s="1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</row>
    <row r="3617" spans="1:20" ht="45.75" customHeight="1" x14ac:dyDescent="0.3">
      <c r="A3617" s="1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</row>
    <row r="3618" spans="1:20" ht="45.75" customHeight="1" x14ac:dyDescent="0.3">
      <c r="A3618" s="1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</row>
    <row r="3619" spans="1:20" ht="45.75" customHeight="1" x14ac:dyDescent="0.3">
      <c r="A3619" s="1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</row>
    <row r="3620" spans="1:20" ht="45.75" customHeight="1" x14ac:dyDescent="0.3">
      <c r="A3620" s="1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</row>
    <row r="3621" spans="1:20" ht="45.75" customHeight="1" x14ac:dyDescent="0.3">
      <c r="A3621" s="1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</row>
    <row r="3622" spans="1:20" ht="45.75" customHeight="1" x14ac:dyDescent="0.3">
      <c r="A3622" s="1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</row>
    <row r="3623" spans="1:20" ht="45.75" customHeight="1" x14ac:dyDescent="0.3">
      <c r="A3623" s="1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</row>
    <row r="3624" spans="1:20" ht="45.75" customHeight="1" x14ac:dyDescent="0.3">
      <c r="A3624" s="1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</row>
    <row r="3625" spans="1:20" ht="45.75" customHeight="1" x14ac:dyDescent="0.3">
      <c r="A3625" s="1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</row>
    <row r="3626" spans="1:20" ht="45.75" customHeight="1" x14ac:dyDescent="0.3">
      <c r="A3626" s="1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</row>
    <row r="3627" spans="1:20" ht="45.75" customHeight="1" x14ac:dyDescent="0.3">
      <c r="A3627" s="1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</row>
    <row r="3628" spans="1:20" ht="45.75" customHeight="1" x14ac:dyDescent="0.3">
      <c r="A3628" s="1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</row>
    <row r="3629" spans="1:20" ht="45.75" customHeight="1" x14ac:dyDescent="0.3">
      <c r="A3629" s="1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</row>
    <row r="3630" spans="1:20" ht="45.75" customHeight="1" x14ac:dyDescent="0.3">
      <c r="A3630" s="1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</row>
    <row r="3631" spans="1:20" ht="45.75" customHeight="1" x14ac:dyDescent="0.3">
      <c r="A3631" s="1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</row>
    <row r="3632" spans="1:20" ht="45.75" customHeight="1" x14ac:dyDescent="0.3">
      <c r="A3632" s="1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</row>
    <row r="3633" spans="1:20" ht="45.75" customHeight="1" x14ac:dyDescent="0.3">
      <c r="A3633" s="1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</row>
    <row r="3634" spans="1:20" ht="45.75" customHeight="1" x14ac:dyDescent="0.3">
      <c r="A3634" s="1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</row>
    <row r="3635" spans="1:20" ht="45.75" customHeight="1" x14ac:dyDescent="0.3">
      <c r="A3635" s="1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</row>
    <row r="3636" spans="1:20" ht="45.75" customHeight="1" x14ac:dyDescent="0.3">
      <c r="A3636" s="1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</row>
    <row r="3637" spans="1:20" ht="45.75" customHeight="1" x14ac:dyDescent="0.3">
      <c r="A3637" s="1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</row>
    <row r="3638" spans="1:20" ht="45.75" customHeight="1" x14ac:dyDescent="0.3">
      <c r="A3638" s="1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</row>
    <row r="3639" spans="1:20" ht="45.75" customHeight="1" x14ac:dyDescent="0.3">
      <c r="A3639" s="1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</row>
    <row r="3640" spans="1:20" ht="45.75" customHeight="1" x14ac:dyDescent="0.3">
      <c r="A3640" s="1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</row>
    <row r="3641" spans="1:20" ht="45.75" customHeight="1" x14ac:dyDescent="0.3">
      <c r="A3641" s="1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</row>
    <row r="3642" spans="1:20" ht="45.75" customHeight="1" x14ac:dyDescent="0.3">
      <c r="A3642" s="1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</row>
    <row r="3643" spans="1:20" ht="45.75" customHeight="1" x14ac:dyDescent="0.3">
      <c r="A3643" s="1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</row>
    <row r="3644" spans="1:20" ht="45.75" customHeight="1" x14ac:dyDescent="0.3">
      <c r="A3644" s="1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</row>
    <row r="3645" spans="1:20" ht="45.75" customHeight="1" x14ac:dyDescent="0.3">
      <c r="A3645" s="1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</row>
    <row r="3646" spans="1:20" ht="45.75" customHeight="1" x14ac:dyDescent="0.3">
      <c r="A3646" s="1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</row>
    <row r="3647" spans="1:20" ht="45.75" customHeight="1" x14ac:dyDescent="0.3">
      <c r="A3647" s="1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</row>
    <row r="3648" spans="1:20" ht="45.75" customHeight="1" x14ac:dyDescent="0.3">
      <c r="A3648" s="1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</row>
    <row r="3649" spans="1:20" ht="45.75" customHeight="1" x14ac:dyDescent="0.3">
      <c r="A3649" s="1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</row>
    <row r="3650" spans="1:20" ht="45.75" customHeight="1" x14ac:dyDescent="0.3">
      <c r="A3650" s="1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</row>
    <row r="3651" spans="1:20" ht="45.75" customHeight="1" x14ac:dyDescent="0.3">
      <c r="A3651" s="1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</row>
    <row r="3652" spans="1:20" ht="45.75" customHeight="1" x14ac:dyDescent="0.3">
      <c r="A3652" s="1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</row>
    <row r="3653" spans="1:20" ht="45.75" customHeight="1" x14ac:dyDescent="0.3">
      <c r="A3653" s="1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</row>
    <row r="3654" spans="1:20" ht="45.75" customHeight="1" x14ac:dyDescent="0.3">
      <c r="A3654" s="1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</row>
    <row r="3655" spans="1:20" ht="45.75" customHeight="1" x14ac:dyDescent="0.3">
      <c r="A3655" s="1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</row>
    <row r="3656" spans="1:20" ht="45.75" customHeight="1" x14ac:dyDescent="0.3">
      <c r="A3656" s="1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</row>
    <row r="3657" spans="1:20" ht="45.75" customHeight="1" x14ac:dyDescent="0.3">
      <c r="A3657" s="1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</row>
    <row r="3658" spans="1:20" ht="45.75" customHeight="1" x14ac:dyDescent="0.3">
      <c r="A3658" s="1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</row>
    <row r="3659" spans="1:20" ht="45.75" customHeight="1" x14ac:dyDescent="0.3">
      <c r="A3659" s="1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</row>
    <row r="3660" spans="1:20" ht="45.75" customHeight="1" x14ac:dyDescent="0.3">
      <c r="A3660" s="1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</row>
    <row r="3661" spans="1:20" ht="45.75" customHeight="1" x14ac:dyDescent="0.3">
      <c r="A3661" s="1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</row>
    <row r="3662" spans="1:20" ht="45.75" customHeight="1" x14ac:dyDescent="0.3">
      <c r="A3662" s="1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</row>
    <row r="3663" spans="1:20" ht="45.75" customHeight="1" x14ac:dyDescent="0.3">
      <c r="A3663" s="1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</row>
    <row r="3664" spans="1:20" ht="45.75" customHeight="1" x14ac:dyDescent="0.3">
      <c r="A3664" s="1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</row>
    <row r="3665" spans="1:20" ht="45.75" customHeight="1" x14ac:dyDescent="0.3">
      <c r="A3665" s="1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</row>
    <row r="3666" spans="1:20" ht="45.75" customHeight="1" x14ac:dyDescent="0.3">
      <c r="A3666" s="1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</row>
    <row r="3667" spans="1:20" ht="45.75" customHeight="1" x14ac:dyDescent="0.3">
      <c r="A3667" s="1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</row>
    <row r="3668" spans="1:20" ht="45.75" customHeight="1" x14ac:dyDescent="0.3">
      <c r="A3668" s="1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</row>
    <row r="3669" spans="1:20" ht="45.75" customHeight="1" x14ac:dyDescent="0.3">
      <c r="A3669" s="1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</row>
    <row r="3670" spans="1:20" ht="45.75" customHeight="1" x14ac:dyDescent="0.3">
      <c r="A3670" s="1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</row>
    <row r="3671" spans="1:20" ht="45.75" customHeight="1" x14ac:dyDescent="0.3">
      <c r="A3671" s="1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</row>
    <row r="3672" spans="1:20" ht="45.75" customHeight="1" x14ac:dyDescent="0.3">
      <c r="A3672" s="1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</row>
    <row r="3673" spans="1:20" ht="45.75" customHeight="1" x14ac:dyDescent="0.3">
      <c r="A3673" s="1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</row>
    <row r="3674" spans="1:20" ht="45.75" customHeight="1" x14ac:dyDescent="0.3">
      <c r="A3674" s="1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</row>
    <row r="3675" spans="1:20" ht="45.75" customHeight="1" x14ac:dyDescent="0.3">
      <c r="A3675" s="1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</row>
    <row r="3676" spans="1:20" ht="45.75" customHeight="1" x14ac:dyDescent="0.3">
      <c r="A3676" s="1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</row>
    <row r="3677" spans="1:20" ht="45.75" customHeight="1" x14ac:dyDescent="0.3">
      <c r="A3677" s="1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</row>
    <row r="3678" spans="1:20" ht="45.75" customHeight="1" x14ac:dyDescent="0.3">
      <c r="A3678" s="1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</row>
    <row r="3679" spans="1:20" ht="45.75" customHeight="1" x14ac:dyDescent="0.3">
      <c r="A3679" s="1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</row>
    <row r="3680" spans="1:20" ht="45.75" customHeight="1" x14ac:dyDescent="0.3">
      <c r="A3680" s="1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</row>
    <row r="3681" spans="1:20" ht="45.75" customHeight="1" x14ac:dyDescent="0.3">
      <c r="A3681" s="1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</row>
    <row r="3682" spans="1:20" ht="45.75" customHeight="1" x14ac:dyDescent="0.3">
      <c r="A3682" s="1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</row>
    <row r="3683" spans="1:20" ht="45.75" customHeight="1" x14ac:dyDescent="0.3">
      <c r="A3683" s="1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</row>
    <row r="3684" spans="1:20" ht="45.75" customHeight="1" x14ac:dyDescent="0.3">
      <c r="A3684" s="1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</row>
    <row r="3685" spans="1:20" ht="45.75" customHeight="1" x14ac:dyDescent="0.3">
      <c r="A3685" s="1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</row>
    <row r="3686" spans="1:20" ht="45.75" customHeight="1" x14ac:dyDescent="0.3">
      <c r="A3686" s="1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</row>
    <row r="3687" spans="1:20" ht="45.75" customHeight="1" x14ac:dyDescent="0.3">
      <c r="A3687" s="1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</row>
    <row r="3688" spans="1:20" ht="45.75" customHeight="1" x14ac:dyDescent="0.3">
      <c r="A3688" s="1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</row>
    <row r="3689" spans="1:20" ht="45.75" customHeight="1" x14ac:dyDescent="0.3">
      <c r="A3689" s="1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</row>
    <row r="3690" spans="1:20" ht="45.75" customHeight="1" x14ac:dyDescent="0.3">
      <c r="A3690" s="1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</row>
    <row r="3691" spans="1:20" ht="45.75" customHeight="1" x14ac:dyDescent="0.3">
      <c r="A3691" s="1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</row>
    <row r="3692" spans="1:20" ht="45.75" customHeight="1" x14ac:dyDescent="0.3">
      <c r="A3692" s="1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</row>
    <row r="3693" spans="1:20" ht="45.75" customHeight="1" x14ac:dyDescent="0.3">
      <c r="A3693" s="1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</row>
    <row r="3694" spans="1:20" ht="45.75" customHeight="1" x14ac:dyDescent="0.3">
      <c r="A3694" s="1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</row>
    <row r="3695" spans="1:20" ht="45.75" customHeight="1" x14ac:dyDescent="0.3">
      <c r="A3695" s="1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</row>
    <row r="3696" spans="1:20" ht="45.75" customHeight="1" x14ac:dyDescent="0.3">
      <c r="A3696" s="1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</row>
    <row r="3697" spans="1:20" ht="45.75" customHeight="1" x14ac:dyDescent="0.3">
      <c r="A3697" s="1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</row>
    <row r="3698" spans="1:20" ht="45.75" customHeight="1" x14ac:dyDescent="0.3">
      <c r="A3698" s="1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</row>
    <row r="3699" spans="1:20" ht="45.75" customHeight="1" x14ac:dyDescent="0.3">
      <c r="A3699" s="1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</row>
    <row r="3700" spans="1:20" ht="45.75" customHeight="1" x14ac:dyDescent="0.3">
      <c r="A3700" s="1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</row>
    <row r="3701" spans="1:20" ht="45.75" customHeight="1" x14ac:dyDescent="0.3">
      <c r="A3701" s="1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</row>
    <row r="3702" spans="1:20" ht="45.75" customHeight="1" x14ac:dyDescent="0.3">
      <c r="A3702" s="1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</row>
    <row r="3703" spans="1:20" ht="45.75" customHeight="1" x14ac:dyDescent="0.3">
      <c r="A3703" s="1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</row>
    <row r="3704" spans="1:20" ht="45.75" customHeight="1" x14ac:dyDescent="0.3">
      <c r="A3704" s="1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</row>
    <row r="3705" spans="1:20" ht="45.75" customHeight="1" x14ac:dyDescent="0.3">
      <c r="A3705" s="1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</row>
    <row r="3706" spans="1:20" ht="45.75" customHeight="1" x14ac:dyDescent="0.3">
      <c r="A3706" s="1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</row>
    <row r="3707" spans="1:20" ht="45.75" customHeight="1" x14ac:dyDescent="0.3">
      <c r="A3707" s="1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</row>
    <row r="3708" spans="1:20" ht="45.75" customHeight="1" x14ac:dyDescent="0.3">
      <c r="A3708" s="1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</row>
    <row r="3709" spans="1:20" ht="45.75" customHeight="1" x14ac:dyDescent="0.3">
      <c r="A3709" s="1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</row>
    <row r="3710" spans="1:20" ht="45.75" customHeight="1" x14ac:dyDescent="0.3">
      <c r="A3710" s="1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</row>
    <row r="3711" spans="1:20" ht="45.75" customHeight="1" x14ac:dyDescent="0.3">
      <c r="A3711" s="1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</row>
    <row r="3712" spans="1:20" ht="45.75" customHeight="1" x14ac:dyDescent="0.3">
      <c r="A3712" s="1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</row>
    <row r="3713" spans="1:20" ht="45.75" customHeight="1" x14ac:dyDescent="0.3">
      <c r="A3713" s="1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</row>
    <row r="3714" spans="1:20" ht="45.75" customHeight="1" x14ac:dyDescent="0.3">
      <c r="A3714" s="1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</row>
    <row r="3715" spans="1:20" ht="45.75" customHeight="1" x14ac:dyDescent="0.3">
      <c r="A3715" s="1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</row>
    <row r="3716" spans="1:20" ht="45.75" customHeight="1" x14ac:dyDescent="0.3">
      <c r="A3716" s="1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</row>
    <row r="3717" spans="1:20" ht="45.75" customHeight="1" x14ac:dyDescent="0.3">
      <c r="A3717" s="1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</row>
    <row r="3718" spans="1:20" ht="45.75" customHeight="1" x14ac:dyDescent="0.3">
      <c r="A3718" s="1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</row>
    <row r="3719" spans="1:20" ht="45.75" customHeight="1" x14ac:dyDescent="0.3">
      <c r="A3719" s="1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</row>
    <row r="3720" spans="1:20" ht="45.75" customHeight="1" x14ac:dyDescent="0.3">
      <c r="A3720" s="1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</row>
    <row r="3721" spans="1:20" ht="45.75" customHeight="1" x14ac:dyDescent="0.3">
      <c r="A3721" s="1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</row>
    <row r="3722" spans="1:20" ht="45.75" customHeight="1" x14ac:dyDescent="0.3">
      <c r="A3722" s="1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</row>
    <row r="3723" spans="1:20" ht="45.75" customHeight="1" x14ac:dyDescent="0.3">
      <c r="A3723" s="1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</row>
    <row r="3724" spans="1:20" ht="45.75" customHeight="1" x14ac:dyDescent="0.3">
      <c r="A3724" s="1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</row>
    <row r="3725" spans="1:20" ht="45.75" customHeight="1" x14ac:dyDescent="0.3">
      <c r="A3725" s="1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</row>
    <row r="3726" spans="1:20" ht="45.75" customHeight="1" x14ac:dyDescent="0.3">
      <c r="A3726" s="1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</row>
    <row r="3727" spans="1:20" ht="45.75" customHeight="1" x14ac:dyDescent="0.3">
      <c r="A3727" s="1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</row>
    <row r="3728" spans="1:20" ht="45.75" customHeight="1" x14ac:dyDescent="0.3">
      <c r="A3728" s="1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</row>
    <row r="3729" spans="1:20" ht="45.75" customHeight="1" x14ac:dyDescent="0.3">
      <c r="A3729" s="1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</row>
    <row r="3730" spans="1:20" ht="45.75" customHeight="1" x14ac:dyDescent="0.3">
      <c r="A3730" s="1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</row>
    <row r="3731" spans="1:20" ht="45.75" customHeight="1" x14ac:dyDescent="0.3">
      <c r="A3731" s="1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</row>
    <row r="3732" spans="1:20" ht="45.75" customHeight="1" x14ac:dyDescent="0.3">
      <c r="A3732" s="1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</row>
    <row r="3733" spans="1:20" ht="45.75" customHeight="1" x14ac:dyDescent="0.3">
      <c r="A3733" s="1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</row>
    <row r="3734" spans="1:20" ht="45.75" customHeight="1" x14ac:dyDescent="0.3">
      <c r="A3734" s="1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</row>
    <row r="3735" spans="1:20" ht="45.75" customHeight="1" x14ac:dyDescent="0.3">
      <c r="A3735" s="1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</row>
    <row r="3736" spans="1:20" ht="45.75" customHeight="1" x14ac:dyDescent="0.3">
      <c r="A3736" s="1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</row>
    <row r="3737" spans="1:20" ht="45.75" customHeight="1" x14ac:dyDescent="0.3">
      <c r="A3737" s="1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</row>
    <row r="3738" spans="1:20" ht="45.75" customHeight="1" x14ac:dyDescent="0.3">
      <c r="A3738" s="1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</row>
    <row r="3739" spans="1:20" ht="45.75" customHeight="1" x14ac:dyDescent="0.3">
      <c r="A3739" s="1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</row>
    <row r="3740" spans="1:20" ht="45.75" customHeight="1" x14ac:dyDescent="0.3">
      <c r="A3740" s="1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</row>
    <row r="3741" spans="1:20" ht="45.75" customHeight="1" x14ac:dyDescent="0.3">
      <c r="A3741" s="1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</row>
    <row r="3742" spans="1:20" ht="45.75" customHeight="1" x14ac:dyDescent="0.3">
      <c r="A3742" s="1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</row>
    <row r="3743" spans="1:20" ht="45.75" customHeight="1" x14ac:dyDescent="0.3">
      <c r="A3743" s="1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</row>
    <row r="3744" spans="1:20" ht="45.75" customHeight="1" x14ac:dyDescent="0.3">
      <c r="A3744" s="1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</row>
    <row r="3745" spans="1:20" ht="45.75" customHeight="1" x14ac:dyDescent="0.3">
      <c r="A3745" s="1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</row>
    <row r="3746" spans="1:20" ht="45.75" customHeight="1" x14ac:dyDescent="0.3">
      <c r="A3746" s="1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</row>
    <row r="3747" spans="1:20" ht="45.75" customHeight="1" x14ac:dyDescent="0.3">
      <c r="A3747" s="1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</row>
    <row r="3748" spans="1:20" ht="45.75" customHeight="1" x14ac:dyDescent="0.3">
      <c r="A3748" s="1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</row>
    <row r="3749" spans="1:20" ht="45.75" customHeight="1" x14ac:dyDescent="0.3">
      <c r="A3749" s="1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</row>
    <row r="3750" spans="1:20" ht="45.75" customHeight="1" x14ac:dyDescent="0.3">
      <c r="A3750" s="1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</row>
    <row r="3751" spans="1:20" ht="45.75" customHeight="1" x14ac:dyDescent="0.3">
      <c r="A3751" s="1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</row>
    <row r="3752" spans="1:20" ht="45.75" customHeight="1" x14ac:dyDescent="0.3">
      <c r="A3752" s="1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</row>
    <row r="3753" spans="1:20" ht="45.75" customHeight="1" x14ac:dyDescent="0.3">
      <c r="A3753" s="1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</row>
    <row r="3754" spans="1:20" ht="45.75" customHeight="1" x14ac:dyDescent="0.3">
      <c r="A3754" s="1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</row>
    <row r="3755" spans="1:20" ht="45.75" customHeight="1" x14ac:dyDescent="0.3">
      <c r="A3755" s="1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</row>
    <row r="3756" spans="1:20" ht="45.75" customHeight="1" x14ac:dyDescent="0.3">
      <c r="A3756" s="1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</row>
    <row r="3757" spans="1:20" ht="45.75" customHeight="1" x14ac:dyDescent="0.3">
      <c r="A3757" s="1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</row>
    <row r="3758" spans="1:20" ht="45.75" customHeight="1" x14ac:dyDescent="0.3">
      <c r="A3758" s="1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</row>
    <row r="3759" spans="1:20" ht="45.75" customHeight="1" x14ac:dyDescent="0.3">
      <c r="A3759" s="1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</row>
    <row r="3760" spans="1:20" ht="45.75" customHeight="1" x14ac:dyDescent="0.3">
      <c r="A3760" s="1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</row>
    <row r="3761" spans="1:20" ht="45.75" customHeight="1" x14ac:dyDescent="0.3">
      <c r="A3761" s="1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</row>
    <row r="3762" spans="1:20" ht="45.75" customHeight="1" x14ac:dyDescent="0.3">
      <c r="A3762" s="1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</row>
    <row r="3763" spans="1:20" ht="45.75" customHeight="1" x14ac:dyDescent="0.3">
      <c r="A3763" s="1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</row>
    <row r="3764" spans="1:20" ht="45.75" customHeight="1" x14ac:dyDescent="0.3">
      <c r="A3764" s="1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</row>
    <row r="3765" spans="1:20" ht="45.75" customHeight="1" x14ac:dyDescent="0.3">
      <c r="A3765" s="1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</row>
    <row r="3766" spans="1:20" ht="45.75" customHeight="1" x14ac:dyDescent="0.3">
      <c r="A3766" s="1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</row>
    <row r="3767" spans="1:20" ht="45.75" customHeight="1" x14ac:dyDescent="0.3">
      <c r="A3767" s="1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</row>
    <row r="3768" spans="1:20" ht="45.75" customHeight="1" x14ac:dyDescent="0.3">
      <c r="A3768" s="1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</row>
    <row r="3769" spans="1:20" ht="45.75" customHeight="1" x14ac:dyDescent="0.3">
      <c r="A3769" s="1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</row>
    <row r="3770" spans="1:20" ht="45.75" customHeight="1" x14ac:dyDescent="0.3">
      <c r="A3770" s="1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</row>
    <row r="3771" spans="1:20" ht="45.75" customHeight="1" x14ac:dyDescent="0.3">
      <c r="A3771" s="1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</row>
    <row r="3772" spans="1:20" ht="45.75" customHeight="1" x14ac:dyDescent="0.3">
      <c r="A3772" s="1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</row>
    <row r="3773" spans="1:20" ht="45.75" customHeight="1" x14ac:dyDescent="0.3">
      <c r="A3773" s="1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</row>
    <row r="3774" spans="1:20" ht="45.75" customHeight="1" x14ac:dyDescent="0.3">
      <c r="A3774" s="1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</row>
    <row r="3775" spans="1:20" ht="45.75" customHeight="1" x14ac:dyDescent="0.3">
      <c r="A3775" s="1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</row>
    <row r="3776" spans="1:20" ht="45.75" customHeight="1" x14ac:dyDescent="0.3">
      <c r="A3776" s="1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</row>
    <row r="3777" spans="1:20" ht="45.75" customHeight="1" x14ac:dyDescent="0.3">
      <c r="A3777" s="1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</row>
    <row r="3778" spans="1:20" ht="45.75" customHeight="1" x14ac:dyDescent="0.3">
      <c r="A3778" s="1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</row>
    <row r="3779" spans="1:20" ht="45.75" customHeight="1" x14ac:dyDescent="0.3">
      <c r="A3779" s="1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</row>
    <row r="3780" spans="1:20" ht="45.75" customHeight="1" x14ac:dyDescent="0.3">
      <c r="A3780" s="1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</row>
    <row r="3781" spans="1:20" ht="45.75" customHeight="1" x14ac:dyDescent="0.3">
      <c r="A3781" s="1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</row>
    <row r="3782" spans="1:20" ht="45.75" customHeight="1" x14ac:dyDescent="0.3">
      <c r="A3782" s="1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</row>
    <row r="3783" spans="1:20" ht="45.75" customHeight="1" x14ac:dyDescent="0.3">
      <c r="A3783" s="1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</row>
    <row r="3784" spans="1:20" ht="45.75" customHeight="1" x14ac:dyDescent="0.3">
      <c r="A3784" s="1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</row>
    <row r="3785" spans="1:20" ht="45.75" customHeight="1" x14ac:dyDescent="0.3">
      <c r="A3785" s="1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</row>
    <row r="3786" spans="1:20" ht="45.75" customHeight="1" x14ac:dyDescent="0.3">
      <c r="A3786" s="1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</row>
    <row r="3787" spans="1:20" ht="45.75" customHeight="1" x14ac:dyDescent="0.3">
      <c r="A3787" s="1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</row>
    <row r="3788" spans="1:20" ht="45.75" customHeight="1" x14ac:dyDescent="0.3">
      <c r="A3788" s="1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</row>
    <row r="3789" spans="1:20" ht="45.75" customHeight="1" x14ac:dyDescent="0.3">
      <c r="A3789" s="1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</row>
    <row r="3790" spans="1:20" ht="45.75" customHeight="1" x14ac:dyDescent="0.3">
      <c r="A3790" s="1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</row>
    <row r="3791" spans="1:20" ht="45.75" customHeight="1" x14ac:dyDescent="0.3">
      <c r="A3791" s="1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</row>
    <row r="3792" spans="1:20" ht="45.75" customHeight="1" x14ac:dyDescent="0.3">
      <c r="A3792" s="1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</row>
    <row r="3793" spans="1:20" ht="45.75" customHeight="1" x14ac:dyDescent="0.3">
      <c r="A3793" s="1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</row>
    <row r="3794" spans="1:20" ht="45.75" customHeight="1" x14ac:dyDescent="0.3">
      <c r="A3794" s="1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</row>
    <row r="3795" spans="1:20" ht="45.75" customHeight="1" x14ac:dyDescent="0.3">
      <c r="A3795" s="1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</row>
    <row r="3796" spans="1:20" ht="45.75" customHeight="1" x14ac:dyDescent="0.3">
      <c r="A3796" s="1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</row>
    <row r="3797" spans="1:20" ht="45.75" customHeight="1" x14ac:dyDescent="0.3">
      <c r="A3797" s="1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</row>
    <row r="3798" spans="1:20" ht="45.75" customHeight="1" x14ac:dyDescent="0.3">
      <c r="A3798" s="1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</row>
    <row r="3799" spans="1:20" ht="45.75" customHeight="1" x14ac:dyDescent="0.3">
      <c r="A3799" s="1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</row>
    <row r="3800" spans="1:20" ht="45.75" customHeight="1" x14ac:dyDescent="0.3">
      <c r="A3800" s="1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</row>
    <row r="3801" spans="1:20" ht="45.75" customHeight="1" x14ac:dyDescent="0.3">
      <c r="A3801" s="1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</row>
    <row r="3802" spans="1:20" ht="45.75" customHeight="1" x14ac:dyDescent="0.3">
      <c r="A3802" s="1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</row>
    <row r="3803" spans="1:20" ht="45.75" customHeight="1" x14ac:dyDescent="0.3">
      <c r="A3803" s="1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</row>
    <row r="3804" spans="1:20" ht="45.75" customHeight="1" x14ac:dyDescent="0.3">
      <c r="A3804" s="1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</row>
    <row r="3805" spans="1:20" ht="45.75" customHeight="1" x14ac:dyDescent="0.3">
      <c r="A3805" s="1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</row>
    <row r="3806" spans="1:20" ht="45.75" customHeight="1" x14ac:dyDescent="0.3">
      <c r="A3806" s="1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</row>
    <row r="3807" spans="1:20" ht="45.75" customHeight="1" x14ac:dyDescent="0.3">
      <c r="A3807" s="1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</row>
    <row r="3808" spans="1:20" ht="45.75" customHeight="1" x14ac:dyDescent="0.3">
      <c r="A3808" s="1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</row>
    <row r="3809" spans="1:20" ht="45.75" customHeight="1" x14ac:dyDescent="0.3">
      <c r="A3809" s="1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</row>
    <row r="3810" spans="1:20" ht="45.75" customHeight="1" x14ac:dyDescent="0.3">
      <c r="A3810" s="1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</row>
    <row r="3811" spans="1:20" ht="45.75" customHeight="1" x14ac:dyDescent="0.3">
      <c r="A3811" s="1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</row>
    <row r="3812" spans="1:20" ht="45.75" customHeight="1" x14ac:dyDescent="0.3">
      <c r="A3812" s="1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</row>
    <row r="3813" spans="1:20" ht="45.75" customHeight="1" x14ac:dyDescent="0.3">
      <c r="A3813" s="1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</row>
    <row r="3814" spans="1:20" ht="45.75" customHeight="1" x14ac:dyDescent="0.3">
      <c r="A3814" s="1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</row>
    <row r="3815" spans="1:20" ht="45.75" customHeight="1" x14ac:dyDescent="0.3">
      <c r="A3815" s="1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</row>
    <row r="3816" spans="1:20" ht="45.75" customHeight="1" x14ac:dyDescent="0.3">
      <c r="A3816" s="1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</row>
    <row r="3817" spans="1:20" ht="45.75" customHeight="1" x14ac:dyDescent="0.3">
      <c r="A3817" s="1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</row>
    <row r="3818" spans="1:20" ht="45.75" customHeight="1" x14ac:dyDescent="0.3">
      <c r="A3818" s="1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</row>
    <row r="3819" spans="1:20" ht="45.75" customHeight="1" x14ac:dyDescent="0.3">
      <c r="A3819" s="1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</row>
    <row r="3820" spans="1:20" ht="45.75" customHeight="1" x14ac:dyDescent="0.3">
      <c r="A3820" s="1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</row>
    <row r="3821" spans="1:20" ht="45.75" customHeight="1" x14ac:dyDescent="0.3">
      <c r="A3821" s="1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</row>
    <row r="3822" spans="1:20" ht="45.75" customHeight="1" x14ac:dyDescent="0.3">
      <c r="A3822" s="1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</row>
    <row r="3823" spans="1:20" ht="45.75" customHeight="1" x14ac:dyDescent="0.3">
      <c r="A3823" s="1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</row>
    <row r="3824" spans="1:20" ht="45.75" customHeight="1" x14ac:dyDescent="0.3">
      <c r="A3824" s="1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</row>
    <row r="3825" spans="1:20" ht="45.75" customHeight="1" x14ac:dyDescent="0.3">
      <c r="A3825" s="1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</row>
    <row r="3826" spans="1:20" ht="45.75" customHeight="1" x14ac:dyDescent="0.3">
      <c r="A3826" s="1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</row>
    <row r="3827" spans="1:20" ht="45.75" customHeight="1" x14ac:dyDescent="0.3">
      <c r="A3827" s="1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</row>
    <row r="3828" spans="1:20" ht="45.75" customHeight="1" x14ac:dyDescent="0.3">
      <c r="A3828" s="1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</row>
    <row r="3829" spans="1:20" ht="45.75" customHeight="1" x14ac:dyDescent="0.3">
      <c r="A3829" s="1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</row>
    <row r="3830" spans="1:20" ht="45.75" customHeight="1" x14ac:dyDescent="0.3">
      <c r="A3830" s="1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</row>
    <row r="3831" spans="1:20" ht="45.75" customHeight="1" x14ac:dyDescent="0.3">
      <c r="A3831" s="1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</row>
    <row r="3832" spans="1:20" ht="45.75" customHeight="1" x14ac:dyDescent="0.3">
      <c r="A3832" s="1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</row>
    <row r="3833" spans="1:20" ht="45.75" customHeight="1" x14ac:dyDescent="0.3">
      <c r="A3833" s="1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</row>
    <row r="3834" spans="1:20" ht="45.75" customHeight="1" x14ac:dyDescent="0.3">
      <c r="A3834" s="1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</row>
    <row r="3835" spans="1:20" ht="45.75" customHeight="1" x14ac:dyDescent="0.3">
      <c r="A3835" s="1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</row>
    <row r="3836" spans="1:20" ht="45.75" customHeight="1" x14ac:dyDescent="0.3">
      <c r="A3836" s="1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</row>
    <row r="3837" spans="1:20" ht="45.75" customHeight="1" x14ac:dyDescent="0.3">
      <c r="A3837" s="1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</row>
    <row r="3838" spans="1:20" ht="45.75" customHeight="1" x14ac:dyDescent="0.3">
      <c r="A3838" s="1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</row>
    <row r="3839" spans="1:20" ht="45.75" customHeight="1" x14ac:dyDescent="0.3">
      <c r="A3839" s="1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</row>
    <row r="3840" spans="1:20" ht="45.75" customHeight="1" x14ac:dyDescent="0.3">
      <c r="A3840" s="1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</row>
    <row r="3841" spans="1:20" ht="45.75" customHeight="1" x14ac:dyDescent="0.3">
      <c r="A3841" s="1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</row>
    <row r="3842" spans="1:20" ht="45.75" customHeight="1" x14ac:dyDescent="0.3">
      <c r="A3842" s="1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</row>
    <row r="3843" spans="1:20" ht="45.75" customHeight="1" x14ac:dyDescent="0.3">
      <c r="A3843" s="1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</row>
    <row r="3844" spans="1:20" ht="45.75" customHeight="1" x14ac:dyDescent="0.3">
      <c r="A3844" s="1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</row>
    <row r="3845" spans="1:20" ht="45.75" customHeight="1" x14ac:dyDescent="0.3">
      <c r="A3845" s="1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</row>
    <row r="3846" spans="1:20" ht="45.75" customHeight="1" x14ac:dyDescent="0.3">
      <c r="A3846" s="1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</row>
    <row r="3847" spans="1:20" ht="45.75" customHeight="1" x14ac:dyDescent="0.3">
      <c r="A3847" s="1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</row>
    <row r="3848" spans="1:20" ht="45.75" customHeight="1" x14ac:dyDescent="0.3">
      <c r="A3848" s="1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</row>
    <row r="3849" spans="1:20" ht="45.75" customHeight="1" x14ac:dyDescent="0.3">
      <c r="A3849" s="1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</row>
    <row r="3850" spans="1:20" ht="45.75" customHeight="1" x14ac:dyDescent="0.3">
      <c r="A3850" s="1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</row>
    <row r="3851" spans="1:20" ht="45.75" customHeight="1" x14ac:dyDescent="0.3">
      <c r="A3851" s="1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</row>
    <row r="3852" spans="1:20" ht="45.75" customHeight="1" x14ac:dyDescent="0.3">
      <c r="A3852" s="1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</row>
    <row r="3853" spans="1:20" ht="45.75" customHeight="1" x14ac:dyDescent="0.3">
      <c r="A3853" s="1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</row>
    <row r="3854" spans="1:20" ht="45.75" customHeight="1" x14ac:dyDescent="0.3">
      <c r="A3854" s="1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</row>
    <row r="3855" spans="1:20" ht="45.75" customHeight="1" x14ac:dyDescent="0.3">
      <c r="A3855" s="1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</row>
    <row r="3856" spans="1:20" ht="45.75" customHeight="1" x14ac:dyDescent="0.3">
      <c r="A3856" s="1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</row>
    <row r="3857" spans="1:20" ht="45.75" customHeight="1" x14ac:dyDescent="0.3">
      <c r="A3857" s="1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</row>
    <row r="3858" spans="1:20" ht="45.75" customHeight="1" x14ac:dyDescent="0.3">
      <c r="A3858" s="1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</row>
    <row r="3859" spans="1:20" ht="45.75" customHeight="1" x14ac:dyDescent="0.3">
      <c r="A3859" s="1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</row>
    <row r="3860" spans="1:20" ht="45.75" customHeight="1" x14ac:dyDescent="0.3">
      <c r="A3860" s="1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</row>
    <row r="3861" spans="1:20" ht="45.75" customHeight="1" x14ac:dyDescent="0.3">
      <c r="A3861" s="1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</row>
    <row r="3862" spans="1:20" ht="45.75" customHeight="1" x14ac:dyDescent="0.3">
      <c r="A3862" s="1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</row>
    <row r="3863" spans="1:20" ht="45.75" customHeight="1" x14ac:dyDescent="0.3">
      <c r="A3863" s="1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</row>
    <row r="3864" spans="1:20" ht="45.75" customHeight="1" x14ac:dyDescent="0.3">
      <c r="A3864" s="1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</row>
    <row r="3865" spans="1:20" ht="45.75" customHeight="1" x14ac:dyDescent="0.3">
      <c r="A3865" s="1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</row>
    <row r="3866" spans="1:20" ht="45.75" customHeight="1" x14ac:dyDescent="0.3">
      <c r="A3866" s="1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</row>
    <row r="3867" spans="1:20" ht="45.75" customHeight="1" x14ac:dyDescent="0.3">
      <c r="A3867" s="1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</row>
    <row r="3868" spans="1:20" ht="45.75" customHeight="1" x14ac:dyDescent="0.3">
      <c r="A3868" s="1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</row>
    <row r="3869" spans="1:20" ht="45.75" customHeight="1" x14ac:dyDescent="0.3">
      <c r="A3869" s="1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</row>
    <row r="3870" spans="1:20" ht="45.75" customHeight="1" x14ac:dyDescent="0.3">
      <c r="A3870" s="1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</row>
    <row r="3871" spans="1:20" ht="45.75" customHeight="1" x14ac:dyDescent="0.3">
      <c r="A3871" s="1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</row>
    <row r="3872" spans="1:20" ht="45.75" customHeight="1" x14ac:dyDescent="0.3">
      <c r="A3872" s="1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</row>
    <row r="3873" spans="1:20" ht="45.75" customHeight="1" x14ac:dyDescent="0.3">
      <c r="A3873" s="1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</row>
    <row r="3874" spans="1:20" ht="45.75" customHeight="1" x14ac:dyDescent="0.3">
      <c r="A3874" s="1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</row>
    <row r="3875" spans="1:20" ht="45.75" customHeight="1" x14ac:dyDescent="0.3">
      <c r="A3875" s="1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</row>
    <row r="3876" spans="1:20" ht="45.75" customHeight="1" x14ac:dyDescent="0.3">
      <c r="A3876" s="1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</row>
    <row r="3877" spans="1:20" ht="45.75" customHeight="1" x14ac:dyDescent="0.3">
      <c r="A3877" s="1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</row>
    <row r="3878" spans="1:20" ht="45.75" customHeight="1" x14ac:dyDescent="0.3">
      <c r="A3878" s="1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</row>
    <row r="3879" spans="1:20" ht="45.75" customHeight="1" x14ac:dyDescent="0.3">
      <c r="A3879" s="1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</row>
    <row r="3880" spans="1:20" ht="45.75" customHeight="1" x14ac:dyDescent="0.3">
      <c r="A3880" s="1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</row>
    <row r="3881" spans="1:20" ht="45.75" customHeight="1" x14ac:dyDescent="0.3">
      <c r="A3881" s="1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</row>
    <row r="3882" spans="1:20" ht="45.75" customHeight="1" x14ac:dyDescent="0.3">
      <c r="A3882" s="1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</row>
    <row r="3883" spans="1:20" ht="45.75" customHeight="1" x14ac:dyDescent="0.3">
      <c r="A3883" s="1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</row>
    <row r="3884" spans="1:20" ht="45.75" customHeight="1" x14ac:dyDescent="0.3">
      <c r="A3884" s="1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</row>
    <row r="3885" spans="1:20" ht="45.75" customHeight="1" x14ac:dyDescent="0.3">
      <c r="A3885" s="1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</row>
    <row r="3886" spans="1:20" ht="45.75" customHeight="1" x14ac:dyDescent="0.3">
      <c r="A3886" s="1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</row>
    <row r="3887" spans="1:20" ht="45.75" customHeight="1" x14ac:dyDescent="0.3">
      <c r="A3887" s="1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</row>
    <row r="3888" spans="1:20" ht="45.75" customHeight="1" x14ac:dyDescent="0.3">
      <c r="A3888" s="1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</row>
    <row r="3889" spans="1:20" ht="45.75" customHeight="1" x14ac:dyDescent="0.3">
      <c r="A3889" s="1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</row>
    <row r="3890" spans="1:20" ht="45.75" customHeight="1" x14ac:dyDescent="0.3">
      <c r="A3890" s="1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</row>
    <row r="3891" spans="1:20" ht="45.75" customHeight="1" x14ac:dyDescent="0.3">
      <c r="A3891" s="1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</row>
    <row r="3892" spans="1:20" ht="45.75" customHeight="1" x14ac:dyDescent="0.3">
      <c r="A3892" s="1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</row>
    <row r="3893" spans="1:20" ht="45.75" customHeight="1" x14ac:dyDescent="0.3">
      <c r="A3893" s="1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</row>
    <row r="3894" spans="1:20" ht="45.75" customHeight="1" x14ac:dyDescent="0.3">
      <c r="A3894" s="1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</row>
    <row r="3895" spans="1:20" ht="45.75" customHeight="1" x14ac:dyDescent="0.3">
      <c r="A3895" s="1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</row>
    <row r="3896" spans="1:20" ht="45.75" customHeight="1" x14ac:dyDescent="0.3">
      <c r="A3896" s="1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</row>
    <row r="3897" spans="1:20" ht="45.75" customHeight="1" x14ac:dyDescent="0.3">
      <c r="A3897" s="1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</row>
    <row r="3898" spans="1:20" ht="45.75" customHeight="1" x14ac:dyDescent="0.3">
      <c r="A3898" s="1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</row>
    <row r="3899" spans="1:20" ht="45.75" customHeight="1" x14ac:dyDescent="0.3">
      <c r="A3899" s="1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</row>
    <row r="3900" spans="1:20" ht="45.75" customHeight="1" x14ac:dyDescent="0.3">
      <c r="A3900" s="1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</row>
    <row r="3901" spans="1:20" ht="45.75" customHeight="1" x14ac:dyDescent="0.3">
      <c r="A3901" s="1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</row>
    <row r="3902" spans="1:20" ht="45.75" customHeight="1" x14ac:dyDescent="0.3">
      <c r="A3902" s="1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</row>
    <row r="3903" spans="1:20" ht="45.75" customHeight="1" x14ac:dyDescent="0.3">
      <c r="A3903" s="1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</row>
    <row r="3904" spans="1:20" ht="45.75" customHeight="1" x14ac:dyDescent="0.3">
      <c r="A3904" s="1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</row>
    <row r="3905" spans="1:20" ht="45.75" customHeight="1" x14ac:dyDescent="0.3">
      <c r="A3905" s="1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</row>
    <row r="3906" spans="1:20" ht="45.75" customHeight="1" x14ac:dyDescent="0.3">
      <c r="A3906" s="1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</row>
    <row r="3907" spans="1:20" ht="45.75" customHeight="1" x14ac:dyDescent="0.3">
      <c r="A3907" s="1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</row>
    <row r="3908" spans="1:20" ht="45.75" customHeight="1" x14ac:dyDescent="0.3">
      <c r="A3908" s="1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</row>
    <row r="3909" spans="1:20" ht="45.75" customHeight="1" x14ac:dyDescent="0.3">
      <c r="A3909" s="1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</row>
    <row r="3910" spans="1:20" ht="45.75" customHeight="1" x14ac:dyDescent="0.3">
      <c r="A3910" s="1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</row>
    <row r="3911" spans="1:20" ht="45.75" customHeight="1" x14ac:dyDescent="0.3">
      <c r="A3911" s="1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</row>
    <row r="3912" spans="1:20" ht="45.75" customHeight="1" x14ac:dyDescent="0.3">
      <c r="A3912" s="1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</row>
    <row r="3913" spans="1:20" ht="45.75" customHeight="1" x14ac:dyDescent="0.3">
      <c r="A3913" s="1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</row>
    <row r="3914" spans="1:20" ht="45.75" customHeight="1" x14ac:dyDescent="0.3">
      <c r="A3914" s="1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</row>
    <row r="3915" spans="1:20" ht="45.75" customHeight="1" x14ac:dyDescent="0.3">
      <c r="A3915" s="1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</row>
    <row r="3916" spans="1:20" ht="45.75" customHeight="1" x14ac:dyDescent="0.3">
      <c r="A3916" s="1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</row>
    <row r="3917" spans="1:20" ht="45.75" customHeight="1" x14ac:dyDescent="0.3">
      <c r="A3917" s="1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</row>
    <row r="3918" spans="1:20" ht="45.75" customHeight="1" x14ac:dyDescent="0.3">
      <c r="A3918" s="1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</row>
    <row r="3919" spans="1:20" ht="45.75" customHeight="1" x14ac:dyDescent="0.3">
      <c r="A3919" s="1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</row>
    <row r="3920" spans="1:20" ht="45.75" customHeight="1" x14ac:dyDescent="0.3">
      <c r="A3920" s="1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</row>
    <row r="3921" spans="1:20" ht="45.75" customHeight="1" x14ac:dyDescent="0.3">
      <c r="A3921" s="1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</row>
    <row r="3922" spans="1:20" ht="45.75" customHeight="1" x14ac:dyDescent="0.3">
      <c r="A3922" s="1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</row>
    <row r="3923" spans="1:20" ht="45.75" customHeight="1" x14ac:dyDescent="0.3">
      <c r="A3923" s="1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</row>
    <row r="3924" spans="1:20" ht="45.75" customHeight="1" x14ac:dyDescent="0.3">
      <c r="A3924" s="1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</row>
    <row r="3925" spans="1:20" ht="45.75" customHeight="1" x14ac:dyDescent="0.3">
      <c r="A3925" s="1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</row>
    <row r="3926" spans="1:20" ht="45.75" customHeight="1" x14ac:dyDescent="0.3">
      <c r="A3926" s="1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</row>
    <row r="3927" spans="1:20" ht="45.75" customHeight="1" x14ac:dyDescent="0.3">
      <c r="A3927" s="1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</row>
    <row r="3928" spans="1:20" ht="45.75" customHeight="1" x14ac:dyDescent="0.3">
      <c r="A3928" s="1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</row>
    <row r="3929" spans="1:20" ht="45.75" customHeight="1" x14ac:dyDescent="0.3">
      <c r="A3929" s="1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</row>
    <row r="3930" spans="1:20" ht="45.75" customHeight="1" x14ac:dyDescent="0.3">
      <c r="A3930" s="1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</row>
    <row r="3931" spans="1:20" ht="45.75" customHeight="1" x14ac:dyDescent="0.3">
      <c r="A3931" s="1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</row>
    <row r="3932" spans="1:20" ht="45.75" customHeight="1" x14ac:dyDescent="0.3">
      <c r="A3932" s="1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</row>
    <row r="3933" spans="1:20" ht="45.75" customHeight="1" x14ac:dyDescent="0.3">
      <c r="A3933" s="1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</row>
    <row r="3934" spans="1:20" ht="45.75" customHeight="1" x14ac:dyDescent="0.3">
      <c r="A3934" s="1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</row>
    <row r="3935" spans="1:20" ht="45.75" customHeight="1" x14ac:dyDescent="0.3">
      <c r="A3935" s="1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</row>
    <row r="3936" spans="1:20" ht="45.75" customHeight="1" x14ac:dyDescent="0.3">
      <c r="A3936" s="1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</row>
    <row r="3937" spans="1:20" ht="45.75" customHeight="1" x14ac:dyDescent="0.3">
      <c r="A3937" s="1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</row>
    <row r="3938" spans="1:20" ht="45.75" customHeight="1" x14ac:dyDescent="0.3">
      <c r="A3938" s="1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</row>
    <row r="3939" spans="1:20" ht="45.75" customHeight="1" x14ac:dyDescent="0.3">
      <c r="A3939" s="1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</row>
    <row r="3940" spans="1:20" ht="45.75" customHeight="1" x14ac:dyDescent="0.3">
      <c r="A3940" s="1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</row>
    <row r="3941" spans="1:20" ht="45.75" customHeight="1" x14ac:dyDescent="0.3">
      <c r="A3941" s="1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</row>
    <row r="3942" spans="1:20" ht="45.75" customHeight="1" x14ac:dyDescent="0.3">
      <c r="A3942" s="1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</row>
    <row r="3943" spans="1:20" ht="45.75" customHeight="1" x14ac:dyDescent="0.3">
      <c r="A3943" s="1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</row>
    <row r="3944" spans="1:20" ht="45.75" customHeight="1" x14ac:dyDescent="0.3">
      <c r="A3944" s="1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</row>
    <row r="3945" spans="1:20" ht="45.75" customHeight="1" x14ac:dyDescent="0.3">
      <c r="A3945" s="1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</row>
    <row r="3946" spans="1:20" ht="45.75" customHeight="1" x14ac:dyDescent="0.3">
      <c r="A3946" s="1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</row>
    <row r="3947" spans="1:20" ht="45.75" customHeight="1" x14ac:dyDescent="0.3">
      <c r="A3947" s="1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</row>
    <row r="3948" spans="1:20" ht="45.75" customHeight="1" x14ac:dyDescent="0.3">
      <c r="A3948" s="1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</row>
    <row r="3949" spans="1:20" ht="45.75" customHeight="1" x14ac:dyDescent="0.3">
      <c r="A3949" s="1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</row>
    <row r="3950" spans="1:20" ht="45.75" customHeight="1" x14ac:dyDescent="0.3">
      <c r="A3950" s="1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</row>
    <row r="3951" spans="1:20" ht="45.75" customHeight="1" x14ac:dyDescent="0.3">
      <c r="A3951" s="1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</row>
    <row r="3952" spans="1:20" ht="45.75" customHeight="1" x14ac:dyDescent="0.3">
      <c r="A3952" s="1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</row>
    <row r="3953" spans="1:20" ht="45.75" customHeight="1" x14ac:dyDescent="0.3">
      <c r="A3953" s="1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</row>
    <row r="3954" spans="1:20" ht="45.75" customHeight="1" x14ac:dyDescent="0.3">
      <c r="A3954" s="1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</row>
    <row r="3955" spans="1:20" ht="45.75" customHeight="1" x14ac:dyDescent="0.3">
      <c r="A3955" s="1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</row>
    <row r="3956" spans="1:20" ht="45.75" customHeight="1" x14ac:dyDescent="0.3">
      <c r="A3956" s="1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</row>
    <row r="3957" spans="1:20" ht="45.75" customHeight="1" x14ac:dyDescent="0.3">
      <c r="A3957" s="1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</row>
    <row r="3958" spans="1:20" ht="45.75" customHeight="1" x14ac:dyDescent="0.3">
      <c r="A3958" s="1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</row>
    <row r="3959" spans="1:20" ht="45.75" customHeight="1" x14ac:dyDescent="0.3">
      <c r="A3959" s="1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</row>
    <row r="3960" spans="1:20" ht="45.75" customHeight="1" x14ac:dyDescent="0.3">
      <c r="A3960" s="1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</row>
    <row r="3961" spans="1:20" ht="45.75" customHeight="1" x14ac:dyDescent="0.3">
      <c r="A3961" s="1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</row>
    <row r="3962" spans="1:20" ht="45.75" customHeight="1" x14ac:dyDescent="0.3">
      <c r="A3962" s="1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</row>
    <row r="3963" spans="1:20" ht="45.75" customHeight="1" x14ac:dyDescent="0.3">
      <c r="A3963" s="1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</row>
    <row r="3964" spans="1:20" ht="45.75" customHeight="1" x14ac:dyDescent="0.3">
      <c r="A3964" s="1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</row>
    <row r="3965" spans="1:20" ht="45.75" customHeight="1" x14ac:dyDescent="0.3">
      <c r="A3965" s="1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</row>
    <row r="3966" spans="1:20" ht="45.75" customHeight="1" x14ac:dyDescent="0.3">
      <c r="A3966" s="1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</row>
    <row r="3967" spans="1:20" ht="45.75" customHeight="1" x14ac:dyDescent="0.3">
      <c r="A3967" s="1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</row>
    <row r="3968" spans="1:20" ht="45.75" customHeight="1" x14ac:dyDescent="0.3">
      <c r="A3968" s="1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</row>
    <row r="3969" spans="1:20" ht="45.75" customHeight="1" x14ac:dyDescent="0.3">
      <c r="A3969" s="1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</row>
    <row r="3970" spans="1:20" ht="45.75" customHeight="1" x14ac:dyDescent="0.3">
      <c r="A3970" s="1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</row>
    <row r="3971" spans="1:20" ht="45.75" customHeight="1" x14ac:dyDescent="0.3">
      <c r="A3971" s="1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</row>
    <row r="3972" spans="1:20" ht="45.75" customHeight="1" x14ac:dyDescent="0.3">
      <c r="A3972" s="1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</row>
    <row r="3973" spans="1:20" ht="45.75" customHeight="1" x14ac:dyDescent="0.3">
      <c r="A3973" s="1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</row>
    <row r="3974" spans="1:20" ht="45.75" customHeight="1" x14ac:dyDescent="0.3">
      <c r="A3974" s="1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</row>
    <row r="3975" spans="1:20" ht="45.75" customHeight="1" x14ac:dyDescent="0.3">
      <c r="A3975" s="1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</row>
    <row r="3976" spans="1:20" ht="45.75" customHeight="1" x14ac:dyDescent="0.3">
      <c r="A3976" s="1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</row>
    <row r="3977" spans="1:20" ht="45.75" customHeight="1" x14ac:dyDescent="0.3">
      <c r="A3977" s="1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</row>
    <row r="3978" spans="1:20" ht="45.75" customHeight="1" x14ac:dyDescent="0.3">
      <c r="A3978" s="1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</row>
    <row r="3979" spans="1:20" ht="45.75" customHeight="1" x14ac:dyDescent="0.3">
      <c r="A3979" s="1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</row>
    <row r="3980" spans="1:20" ht="45.75" customHeight="1" x14ac:dyDescent="0.3">
      <c r="A3980" s="1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</row>
    <row r="3981" spans="1:20" ht="45.75" customHeight="1" x14ac:dyDescent="0.3">
      <c r="A3981" s="1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</row>
    <row r="3982" spans="1:20" ht="45.75" customHeight="1" x14ac:dyDescent="0.3">
      <c r="A3982" s="1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</row>
    <row r="3983" spans="1:20" ht="45.75" customHeight="1" x14ac:dyDescent="0.3">
      <c r="A3983" s="1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</row>
    <row r="3984" spans="1:20" ht="45.75" customHeight="1" x14ac:dyDescent="0.3">
      <c r="A3984" s="1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</row>
    <row r="3985" spans="1:20" ht="45.75" customHeight="1" x14ac:dyDescent="0.3">
      <c r="A3985" s="1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</row>
    <row r="3986" spans="1:20" ht="45.75" customHeight="1" x14ac:dyDescent="0.3">
      <c r="A3986" s="1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</row>
    <row r="3987" spans="1:20" ht="45.75" customHeight="1" x14ac:dyDescent="0.3">
      <c r="A3987" s="1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</row>
    <row r="3988" spans="1:20" ht="45.75" customHeight="1" x14ac:dyDescent="0.3">
      <c r="A3988" s="1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</row>
    <row r="3989" spans="1:20" ht="45.75" customHeight="1" x14ac:dyDescent="0.3">
      <c r="A3989" s="1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</row>
    <row r="3990" spans="1:20" ht="45.75" customHeight="1" x14ac:dyDescent="0.3">
      <c r="A3990" s="1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</row>
    <row r="3991" spans="1:20" ht="45.75" customHeight="1" x14ac:dyDescent="0.3">
      <c r="A3991" s="1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</row>
    <row r="3992" spans="1:20" ht="45.75" customHeight="1" x14ac:dyDescent="0.3">
      <c r="A3992" s="1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</row>
    <row r="3993" spans="1:20" ht="45.75" customHeight="1" x14ac:dyDescent="0.3">
      <c r="A3993" s="1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</row>
    <row r="3994" spans="1:20" ht="45.75" customHeight="1" x14ac:dyDescent="0.3">
      <c r="A3994" s="1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</row>
    <row r="3995" spans="1:20" ht="45.75" customHeight="1" x14ac:dyDescent="0.3">
      <c r="A3995" s="1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</row>
    <row r="3996" spans="1:20" ht="45.75" customHeight="1" x14ac:dyDescent="0.3">
      <c r="A3996" s="1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</row>
    <row r="3997" spans="1:20" ht="45.75" customHeight="1" x14ac:dyDescent="0.3">
      <c r="A3997" s="1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</row>
    <row r="3998" spans="1:20" ht="45.75" customHeight="1" x14ac:dyDescent="0.3">
      <c r="A3998" s="1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</row>
    <row r="3999" spans="1:20" ht="45.75" customHeight="1" x14ac:dyDescent="0.3">
      <c r="A3999" s="1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</row>
    <row r="4000" spans="1:20" ht="45.75" customHeight="1" x14ac:dyDescent="0.3">
      <c r="A4000" s="1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</row>
    <row r="4001" spans="1:20" ht="45.75" customHeight="1" x14ac:dyDescent="0.3">
      <c r="A4001" s="1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</row>
    <row r="4002" spans="1:20" ht="45.75" customHeight="1" x14ac:dyDescent="0.3">
      <c r="A4002" s="1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</row>
    <row r="4003" spans="1:20" ht="45.75" customHeight="1" x14ac:dyDescent="0.3">
      <c r="A4003" s="1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</row>
    <row r="4004" spans="1:20" ht="45.75" customHeight="1" x14ac:dyDescent="0.3">
      <c r="A4004" s="1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</row>
    <row r="4005" spans="1:20" ht="45.75" customHeight="1" x14ac:dyDescent="0.3">
      <c r="A4005" s="1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</row>
    <row r="4006" spans="1:20" ht="45.75" customHeight="1" x14ac:dyDescent="0.3">
      <c r="A4006" s="1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</row>
    <row r="4007" spans="1:20" ht="45.75" customHeight="1" x14ac:dyDescent="0.3">
      <c r="A4007" s="1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</row>
    <row r="4008" spans="1:20" ht="45.75" customHeight="1" x14ac:dyDescent="0.3">
      <c r="A4008" s="1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</row>
    <row r="4009" spans="1:20" ht="45.75" customHeight="1" x14ac:dyDescent="0.3">
      <c r="A4009" s="1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</row>
    <row r="4010" spans="1:20" ht="45.75" customHeight="1" x14ac:dyDescent="0.3">
      <c r="A4010" s="1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</row>
    <row r="4011" spans="1:20" ht="45.75" customHeight="1" x14ac:dyDescent="0.3">
      <c r="A4011" s="1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</row>
    <row r="4012" spans="1:20" ht="45.75" customHeight="1" x14ac:dyDescent="0.3">
      <c r="A4012" s="1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</row>
    <row r="4013" spans="1:20" ht="45.75" customHeight="1" x14ac:dyDescent="0.3">
      <c r="A4013" s="1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</row>
    <row r="4014" spans="1:20" ht="45.75" customHeight="1" x14ac:dyDescent="0.3">
      <c r="A4014" s="1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</row>
    <row r="4015" spans="1:20" ht="45.75" customHeight="1" x14ac:dyDescent="0.3">
      <c r="A4015" s="1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</row>
    <row r="4016" spans="1:20" ht="45.75" customHeight="1" x14ac:dyDescent="0.3">
      <c r="A4016" s="1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</row>
    <row r="4017" spans="1:20" ht="45.75" customHeight="1" x14ac:dyDescent="0.3">
      <c r="A4017" s="1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</row>
    <row r="4018" spans="1:20" ht="45.75" customHeight="1" x14ac:dyDescent="0.3">
      <c r="A4018" s="1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</row>
    <row r="4019" spans="1:20" ht="45.75" customHeight="1" x14ac:dyDescent="0.3">
      <c r="A4019" s="1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</row>
    <row r="4020" spans="1:20" ht="45.75" customHeight="1" x14ac:dyDescent="0.3">
      <c r="A4020" s="1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</row>
    <row r="4021" spans="1:20" ht="45.75" customHeight="1" x14ac:dyDescent="0.3">
      <c r="A4021" s="1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</row>
    <row r="4022" spans="1:20" ht="45.75" customHeight="1" x14ac:dyDescent="0.3">
      <c r="A4022" s="1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</row>
    <row r="4023" spans="1:20" ht="45.75" customHeight="1" x14ac:dyDescent="0.3">
      <c r="A4023" s="1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</row>
    <row r="4024" spans="1:20" ht="45.75" customHeight="1" x14ac:dyDescent="0.3">
      <c r="A4024" s="1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</row>
    <row r="4025" spans="1:20" ht="45.75" customHeight="1" x14ac:dyDescent="0.3">
      <c r="A4025" s="1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</row>
    <row r="4026" spans="1:20" ht="45.75" customHeight="1" x14ac:dyDescent="0.3">
      <c r="A4026" s="1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</row>
    <row r="4027" spans="1:20" ht="45.75" customHeight="1" x14ac:dyDescent="0.3">
      <c r="A4027" s="1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</row>
    <row r="4028" spans="1:20" ht="45.75" customHeight="1" x14ac:dyDescent="0.3">
      <c r="A4028" s="1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</row>
    <row r="4029" spans="1:20" ht="45.75" customHeight="1" x14ac:dyDescent="0.3">
      <c r="A4029" s="1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</row>
    <row r="4030" spans="1:20" ht="45.75" customHeight="1" x14ac:dyDescent="0.3">
      <c r="A4030" s="1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</row>
    <row r="4031" spans="1:20" ht="45.75" customHeight="1" x14ac:dyDescent="0.3">
      <c r="A4031" s="1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</row>
    <row r="4032" spans="1:20" ht="45.75" customHeight="1" x14ac:dyDescent="0.3">
      <c r="A4032" s="1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</row>
    <row r="4033" spans="1:20" ht="45.75" customHeight="1" x14ac:dyDescent="0.3">
      <c r="A4033" s="1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</row>
    <row r="4034" spans="1:20" ht="45.75" customHeight="1" x14ac:dyDescent="0.3">
      <c r="A4034" s="1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</row>
    <row r="4035" spans="1:20" ht="45.75" customHeight="1" x14ac:dyDescent="0.3">
      <c r="A4035" s="1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</row>
    <row r="4036" spans="1:20" ht="45.75" customHeight="1" x14ac:dyDescent="0.3">
      <c r="A4036" s="1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</row>
    <row r="4037" spans="1:20" ht="45.75" customHeight="1" x14ac:dyDescent="0.3">
      <c r="A4037" s="1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</row>
    <row r="4038" spans="1:20" ht="45.75" customHeight="1" x14ac:dyDescent="0.3">
      <c r="A4038" s="1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</row>
    <row r="4039" spans="1:20" ht="45.75" customHeight="1" x14ac:dyDescent="0.3">
      <c r="A4039" s="1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</row>
    <row r="4040" spans="1:20" ht="45.75" customHeight="1" x14ac:dyDescent="0.3">
      <c r="A4040" s="1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</row>
    <row r="4041" spans="1:20" ht="45.75" customHeight="1" x14ac:dyDescent="0.3">
      <c r="A4041" s="1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</row>
    <row r="4042" spans="1:20" ht="45.75" customHeight="1" x14ac:dyDescent="0.3">
      <c r="A4042" s="1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</row>
    <row r="4043" spans="1:20" ht="45.75" customHeight="1" x14ac:dyDescent="0.3">
      <c r="A4043" s="1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</row>
    <row r="4044" spans="1:20" ht="45.75" customHeight="1" x14ac:dyDescent="0.3">
      <c r="A4044" s="1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</row>
    <row r="4045" spans="1:20" ht="45.75" customHeight="1" x14ac:dyDescent="0.3">
      <c r="A4045" s="1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</row>
    <row r="4046" spans="1:20" ht="45.75" customHeight="1" x14ac:dyDescent="0.3">
      <c r="A4046" s="1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</row>
    <row r="4047" spans="1:20" ht="45.75" customHeight="1" x14ac:dyDescent="0.3">
      <c r="A4047" s="1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</row>
    <row r="4048" spans="1:20" ht="45.75" customHeight="1" x14ac:dyDescent="0.3">
      <c r="A4048" s="1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</row>
    <row r="4049" spans="1:20" ht="45.75" customHeight="1" x14ac:dyDescent="0.3">
      <c r="A4049" s="1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</row>
    <row r="4050" spans="1:20" ht="45.75" customHeight="1" x14ac:dyDescent="0.3">
      <c r="A4050" s="1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</row>
    <row r="4051" spans="1:20" ht="45.75" customHeight="1" x14ac:dyDescent="0.3">
      <c r="A4051" s="1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</row>
    <row r="4052" spans="1:20" ht="45.75" customHeight="1" x14ac:dyDescent="0.3">
      <c r="A4052" s="1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</row>
    <row r="4053" spans="1:20" ht="45.75" customHeight="1" x14ac:dyDescent="0.3">
      <c r="A4053" s="1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</row>
    <row r="4054" spans="1:20" ht="45.75" customHeight="1" x14ac:dyDescent="0.3">
      <c r="A4054" s="1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</row>
    <row r="4055" spans="1:20" ht="45.75" customHeight="1" x14ac:dyDescent="0.3">
      <c r="A4055" s="1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</row>
    <row r="4056" spans="1:20" ht="45.75" customHeight="1" x14ac:dyDescent="0.3">
      <c r="A4056" s="1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</row>
    <row r="4057" spans="1:20" ht="45.75" customHeight="1" x14ac:dyDescent="0.3">
      <c r="A4057" s="1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</row>
    <row r="4058" spans="1:20" ht="45.75" customHeight="1" x14ac:dyDescent="0.3">
      <c r="A4058" s="1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</row>
    <row r="4059" spans="1:20" ht="45.75" customHeight="1" x14ac:dyDescent="0.3">
      <c r="A4059" s="1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</row>
    <row r="4060" spans="1:20" ht="45.75" customHeight="1" x14ac:dyDescent="0.3">
      <c r="A4060" s="1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</row>
    <row r="4061" spans="1:20" ht="45.75" customHeight="1" x14ac:dyDescent="0.3">
      <c r="A4061" s="1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</row>
    <row r="4062" spans="1:20" ht="45.75" customHeight="1" x14ac:dyDescent="0.3">
      <c r="A4062" s="1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</row>
    <row r="4063" spans="1:20" ht="45.75" customHeight="1" x14ac:dyDescent="0.3">
      <c r="A4063" s="1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</row>
    <row r="4064" spans="1:20" ht="45.75" customHeight="1" x14ac:dyDescent="0.3">
      <c r="A4064" s="1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</row>
    <row r="4065" spans="1:20" ht="45.75" customHeight="1" x14ac:dyDescent="0.3">
      <c r="A4065" s="1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</row>
    <row r="4066" spans="1:20" ht="45.75" customHeight="1" x14ac:dyDescent="0.3">
      <c r="A4066" s="1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</row>
    <row r="4067" spans="1:20" ht="45.75" customHeight="1" x14ac:dyDescent="0.3">
      <c r="A4067" s="1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</row>
    <row r="4068" spans="1:20" ht="45.75" customHeight="1" x14ac:dyDescent="0.3">
      <c r="A4068" s="1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</row>
    <row r="4069" spans="1:20" ht="45.75" customHeight="1" x14ac:dyDescent="0.3">
      <c r="A4069" s="1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</row>
    <row r="4070" spans="1:20" ht="45.75" customHeight="1" x14ac:dyDescent="0.3">
      <c r="A4070" s="1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</row>
    <row r="4071" spans="1:20" ht="45.75" customHeight="1" x14ac:dyDescent="0.3">
      <c r="A4071" s="1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</row>
    <row r="4072" spans="1:20" ht="45.75" customHeight="1" x14ac:dyDescent="0.3">
      <c r="A4072" s="1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</row>
    <row r="4073" spans="1:20" ht="45.75" customHeight="1" x14ac:dyDescent="0.3">
      <c r="A4073" s="1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</row>
    <row r="4074" spans="1:20" ht="45.75" customHeight="1" x14ac:dyDescent="0.3">
      <c r="A4074" s="1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</row>
    <row r="4075" spans="1:20" ht="45.75" customHeight="1" x14ac:dyDescent="0.3">
      <c r="A4075" s="1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</row>
    <row r="4076" spans="1:20" ht="45.75" customHeight="1" x14ac:dyDescent="0.3">
      <c r="A4076" s="1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</row>
    <row r="4077" spans="1:20" ht="45.75" customHeight="1" x14ac:dyDescent="0.3">
      <c r="A4077" s="1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</row>
    <row r="4078" spans="1:20" ht="45.75" customHeight="1" x14ac:dyDescent="0.3">
      <c r="A4078" s="1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</row>
    <row r="4079" spans="1:20" ht="45.75" customHeight="1" x14ac:dyDescent="0.3">
      <c r="A4079" s="1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</row>
    <row r="4080" spans="1:20" ht="45.75" customHeight="1" x14ac:dyDescent="0.3">
      <c r="A4080" s="1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</row>
    <row r="4081" spans="1:20" ht="45.75" customHeight="1" x14ac:dyDescent="0.3">
      <c r="A4081" s="1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</row>
    <row r="4082" spans="1:20" ht="45.75" customHeight="1" x14ac:dyDescent="0.3">
      <c r="A4082" s="1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</row>
    <row r="4083" spans="1:20" ht="45.75" customHeight="1" x14ac:dyDescent="0.3">
      <c r="A4083" s="1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</row>
    <row r="4084" spans="1:20" ht="45.75" customHeight="1" x14ac:dyDescent="0.3">
      <c r="A4084" s="1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</row>
    <row r="4085" spans="1:20" ht="45.75" customHeight="1" x14ac:dyDescent="0.3">
      <c r="A4085" s="1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</row>
    <row r="4086" spans="1:20" ht="45.75" customHeight="1" x14ac:dyDescent="0.3">
      <c r="A4086" s="1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</row>
    <row r="4087" spans="1:20" ht="45.75" customHeight="1" x14ac:dyDescent="0.3">
      <c r="A4087" s="1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</row>
    <row r="4088" spans="1:20" ht="45.75" customHeight="1" x14ac:dyDescent="0.3">
      <c r="A4088" s="1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</row>
    <row r="4089" spans="1:20" ht="45.75" customHeight="1" x14ac:dyDescent="0.3">
      <c r="A4089" s="1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</row>
    <row r="4090" spans="1:20" ht="45.75" customHeight="1" x14ac:dyDescent="0.3">
      <c r="A4090" s="1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</row>
    <row r="4091" spans="1:20" ht="45.75" customHeight="1" x14ac:dyDescent="0.3">
      <c r="A4091" s="1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</row>
    <row r="4092" spans="1:20" ht="45.75" customHeight="1" x14ac:dyDescent="0.3">
      <c r="A4092" s="1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</row>
    <row r="4093" spans="1:20" ht="45.75" customHeight="1" x14ac:dyDescent="0.3">
      <c r="A4093" s="1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</row>
    <row r="4094" spans="1:20" ht="45.75" customHeight="1" x14ac:dyDescent="0.3">
      <c r="A4094" s="1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</row>
    <row r="4095" spans="1:20" ht="45.75" customHeight="1" x14ac:dyDescent="0.3">
      <c r="A4095" s="1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</row>
    <row r="4096" spans="1:20" ht="45.75" customHeight="1" x14ac:dyDescent="0.3">
      <c r="A4096" s="1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</row>
    <row r="4097" spans="1:20" ht="45.75" customHeight="1" x14ac:dyDescent="0.3">
      <c r="A4097" s="1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</row>
    <row r="4098" spans="1:20" ht="45.75" customHeight="1" x14ac:dyDescent="0.3">
      <c r="A4098" s="1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</row>
    <row r="4099" spans="1:20" ht="45.75" customHeight="1" x14ac:dyDescent="0.3">
      <c r="A4099" s="1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</row>
    <row r="4100" spans="1:20" ht="45.75" customHeight="1" x14ac:dyDescent="0.3">
      <c r="A4100" s="1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</row>
    <row r="4101" spans="1:20" ht="45.75" customHeight="1" x14ac:dyDescent="0.3">
      <c r="A4101" s="1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</row>
    <row r="4102" spans="1:20" ht="45.75" customHeight="1" x14ac:dyDescent="0.3">
      <c r="A4102" s="1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</row>
    <row r="4103" spans="1:20" ht="45.75" customHeight="1" x14ac:dyDescent="0.3">
      <c r="A4103" s="1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</row>
    <row r="4104" spans="1:20" ht="45.75" customHeight="1" x14ac:dyDescent="0.3">
      <c r="A4104" s="1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</row>
    <row r="4105" spans="1:20" ht="45.75" customHeight="1" x14ac:dyDescent="0.3">
      <c r="A4105" s="1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</row>
    <row r="4106" spans="1:20" ht="45.75" customHeight="1" x14ac:dyDescent="0.3">
      <c r="A4106" s="1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</row>
    <row r="4107" spans="1:20" ht="45.75" customHeight="1" x14ac:dyDescent="0.3">
      <c r="A4107" s="1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</row>
    <row r="4108" spans="1:20" ht="45.75" customHeight="1" x14ac:dyDescent="0.3">
      <c r="A4108" s="1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</row>
    <row r="4109" spans="1:20" ht="45.75" customHeight="1" x14ac:dyDescent="0.3">
      <c r="A4109" s="1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</row>
    <row r="4110" spans="1:20" ht="45.75" customHeight="1" x14ac:dyDescent="0.3">
      <c r="A4110" s="1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</row>
    <row r="4111" spans="1:20" ht="45.75" customHeight="1" x14ac:dyDescent="0.3">
      <c r="A4111" s="1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</row>
    <row r="4112" spans="1:20" ht="45.75" customHeight="1" x14ac:dyDescent="0.3">
      <c r="A4112" s="1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</row>
    <row r="4113" spans="1:20" ht="45.75" customHeight="1" x14ac:dyDescent="0.3">
      <c r="A4113" s="1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</row>
    <row r="4114" spans="1:20" ht="45.75" customHeight="1" x14ac:dyDescent="0.3">
      <c r="A4114" s="1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</row>
    <row r="4115" spans="1:20" ht="45.75" customHeight="1" x14ac:dyDescent="0.3">
      <c r="A4115" s="1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</row>
    <row r="4116" spans="1:20" ht="45.75" customHeight="1" x14ac:dyDescent="0.3">
      <c r="A4116" s="1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</row>
    <row r="4117" spans="1:20" ht="45.75" customHeight="1" x14ac:dyDescent="0.3">
      <c r="A4117" s="1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</row>
    <row r="4118" spans="1:20" ht="45.75" customHeight="1" x14ac:dyDescent="0.3">
      <c r="A4118" s="1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</row>
    <row r="4119" spans="1:20" ht="45.75" customHeight="1" x14ac:dyDescent="0.3">
      <c r="A4119" s="1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</row>
    <row r="4120" spans="1:20" ht="45.75" customHeight="1" x14ac:dyDescent="0.3">
      <c r="A4120" s="1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</row>
    <row r="4121" spans="1:20" ht="45.75" customHeight="1" x14ac:dyDescent="0.3">
      <c r="A4121" s="1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</row>
    <row r="4122" spans="1:20" ht="45.75" customHeight="1" x14ac:dyDescent="0.3">
      <c r="A4122" s="1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</row>
    <row r="4123" spans="1:20" ht="45.75" customHeight="1" x14ac:dyDescent="0.3">
      <c r="A4123" s="1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</row>
    <row r="4124" spans="1:20" ht="45.75" customHeight="1" x14ac:dyDescent="0.3">
      <c r="A4124" s="1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</row>
    <row r="4125" spans="1:20" ht="45.75" customHeight="1" x14ac:dyDescent="0.3">
      <c r="A4125" s="1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</row>
    <row r="4126" spans="1:20" ht="45.75" customHeight="1" x14ac:dyDescent="0.3">
      <c r="A4126" s="1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</row>
    <row r="4127" spans="1:20" ht="45.75" customHeight="1" x14ac:dyDescent="0.3">
      <c r="A4127" s="1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</row>
    <row r="4128" spans="1:20" ht="45.75" customHeight="1" x14ac:dyDescent="0.3">
      <c r="A4128" s="1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</row>
    <row r="4129" spans="1:20" ht="45.75" customHeight="1" x14ac:dyDescent="0.3">
      <c r="A4129" s="1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</row>
    <row r="4130" spans="1:20" ht="45.75" customHeight="1" x14ac:dyDescent="0.3">
      <c r="A4130" s="1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</row>
    <row r="4131" spans="1:20" ht="45.75" customHeight="1" x14ac:dyDescent="0.3">
      <c r="A4131" s="1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</row>
    <row r="4132" spans="1:20" ht="45.75" customHeight="1" x14ac:dyDescent="0.3">
      <c r="A4132" s="1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</row>
    <row r="4133" spans="1:20" ht="45.75" customHeight="1" x14ac:dyDescent="0.3">
      <c r="A4133" s="1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</row>
    <row r="4134" spans="1:20" ht="45.75" customHeight="1" x14ac:dyDescent="0.3">
      <c r="A4134" s="1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</row>
    <row r="4135" spans="1:20" ht="45.75" customHeight="1" x14ac:dyDescent="0.3">
      <c r="A4135" s="1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</row>
    <row r="4136" spans="1:20" ht="45.75" customHeight="1" x14ac:dyDescent="0.3">
      <c r="A4136" s="1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</row>
    <row r="4137" spans="1:20" ht="45.75" customHeight="1" x14ac:dyDescent="0.3">
      <c r="A4137" s="1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</row>
    <row r="4138" spans="1:20" ht="45.75" customHeight="1" x14ac:dyDescent="0.3">
      <c r="A4138" s="1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</row>
    <row r="4139" spans="1:20" ht="45.75" customHeight="1" x14ac:dyDescent="0.3">
      <c r="A4139" s="1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</row>
    <row r="4140" spans="1:20" ht="45.75" customHeight="1" x14ac:dyDescent="0.3">
      <c r="A4140" s="1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</row>
    <row r="4141" spans="1:20" ht="45.75" customHeight="1" x14ac:dyDescent="0.3">
      <c r="A4141" s="1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</row>
    <row r="4142" spans="1:20" ht="45.75" customHeight="1" x14ac:dyDescent="0.3">
      <c r="A4142" s="1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</row>
    <row r="4143" spans="1:20" ht="45.75" customHeight="1" x14ac:dyDescent="0.3">
      <c r="A4143" s="1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</row>
    <row r="4144" spans="1:20" ht="45.75" customHeight="1" x14ac:dyDescent="0.3">
      <c r="A4144" s="1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</row>
    <row r="4145" spans="1:20" ht="45.75" customHeight="1" x14ac:dyDescent="0.3">
      <c r="A4145" s="1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</row>
    <row r="4146" spans="1:20" ht="45.75" customHeight="1" x14ac:dyDescent="0.3">
      <c r="A4146" s="1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</row>
    <row r="4147" spans="1:20" ht="45.75" customHeight="1" x14ac:dyDescent="0.3">
      <c r="A4147" s="1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</row>
    <row r="4148" spans="1:20" ht="45.75" customHeight="1" x14ac:dyDescent="0.3">
      <c r="A4148" s="1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</row>
    <row r="4149" spans="1:20" ht="45.75" customHeight="1" x14ac:dyDescent="0.3">
      <c r="A4149" s="1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</row>
    <row r="4150" spans="1:20" ht="45.75" customHeight="1" x14ac:dyDescent="0.3">
      <c r="A4150" s="1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</row>
    <row r="4151" spans="1:20" ht="45.75" customHeight="1" x14ac:dyDescent="0.3">
      <c r="A4151" s="1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</row>
    <row r="4152" spans="1:20" ht="45.75" customHeight="1" x14ac:dyDescent="0.3">
      <c r="A4152" s="1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</row>
    <row r="4153" spans="1:20" ht="45.75" customHeight="1" x14ac:dyDescent="0.3">
      <c r="A4153" s="1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</row>
    <row r="4154" spans="1:20" ht="45.75" customHeight="1" x14ac:dyDescent="0.3">
      <c r="A4154" s="1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</row>
    <row r="4155" spans="1:20" ht="45.75" customHeight="1" x14ac:dyDescent="0.3">
      <c r="A4155" s="1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</row>
    <row r="4156" spans="1:20" ht="45.75" customHeight="1" x14ac:dyDescent="0.3">
      <c r="A4156" s="1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</row>
    <row r="4157" spans="1:20" ht="45.75" customHeight="1" x14ac:dyDescent="0.3">
      <c r="A4157" s="1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</row>
    <row r="4158" spans="1:20" ht="45.75" customHeight="1" x14ac:dyDescent="0.3">
      <c r="A4158" s="1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</row>
    <row r="4159" spans="1:20" ht="45.75" customHeight="1" x14ac:dyDescent="0.3">
      <c r="A4159" s="1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</row>
    <row r="4160" spans="1:20" ht="45.75" customHeight="1" x14ac:dyDescent="0.3">
      <c r="A4160" s="1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</row>
    <row r="4161" spans="1:20" ht="45.75" customHeight="1" x14ac:dyDescent="0.3">
      <c r="A4161" s="1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</row>
    <row r="4162" spans="1:20" ht="45.75" customHeight="1" x14ac:dyDescent="0.3">
      <c r="A4162" s="1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</row>
    <row r="4163" spans="1:20" ht="45.75" customHeight="1" x14ac:dyDescent="0.3">
      <c r="A4163" s="1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</row>
    <row r="4164" spans="1:20" ht="45.75" customHeight="1" x14ac:dyDescent="0.3">
      <c r="A4164" s="1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</row>
    <row r="4165" spans="1:20" ht="45.75" customHeight="1" x14ac:dyDescent="0.3">
      <c r="A4165" s="1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</row>
    <row r="4166" spans="1:20" ht="45.75" customHeight="1" x14ac:dyDescent="0.3">
      <c r="A4166" s="1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</row>
    <row r="4167" spans="1:20" ht="45.75" customHeight="1" x14ac:dyDescent="0.3">
      <c r="A4167" s="1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</row>
    <row r="4168" spans="1:20" ht="45.75" customHeight="1" x14ac:dyDescent="0.3">
      <c r="A4168" s="1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</row>
    <row r="4169" spans="1:20" ht="45.75" customHeight="1" x14ac:dyDescent="0.3">
      <c r="A4169" s="1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</row>
    <row r="4170" spans="1:20" ht="45.75" customHeight="1" x14ac:dyDescent="0.3">
      <c r="A4170" s="1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</row>
    <row r="4171" spans="1:20" ht="45.75" customHeight="1" x14ac:dyDescent="0.3">
      <c r="A4171" s="1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</row>
    <row r="4172" spans="1:20" ht="45.75" customHeight="1" x14ac:dyDescent="0.3">
      <c r="A4172" s="1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</row>
    <row r="4173" spans="1:20" ht="45.75" customHeight="1" x14ac:dyDescent="0.3">
      <c r="A4173" s="1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</row>
    <row r="4174" spans="1:20" ht="45.75" customHeight="1" x14ac:dyDescent="0.3">
      <c r="A4174" s="1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</row>
    <row r="4175" spans="1:20" ht="45.75" customHeight="1" x14ac:dyDescent="0.3">
      <c r="A4175" s="1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</row>
    <row r="4176" spans="1:20" ht="45.75" customHeight="1" x14ac:dyDescent="0.3">
      <c r="A4176" s="1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</row>
    <row r="4177" spans="1:20" ht="45.75" customHeight="1" x14ac:dyDescent="0.3">
      <c r="A4177" s="1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</row>
    <row r="4178" spans="1:20" ht="45.75" customHeight="1" x14ac:dyDescent="0.3">
      <c r="A4178" s="1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</row>
    <row r="4179" spans="1:20" ht="45.75" customHeight="1" x14ac:dyDescent="0.3">
      <c r="A4179" s="1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</row>
    <row r="4180" spans="1:20" ht="45.75" customHeight="1" x14ac:dyDescent="0.3">
      <c r="A4180" s="1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</row>
    <row r="4181" spans="1:20" ht="45.75" customHeight="1" x14ac:dyDescent="0.3">
      <c r="A4181" s="1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</row>
    <row r="4182" spans="1:20" ht="45.75" customHeight="1" x14ac:dyDescent="0.3">
      <c r="A4182" s="1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</row>
    <row r="4183" spans="1:20" ht="45.75" customHeight="1" x14ac:dyDescent="0.3">
      <c r="A4183" s="1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</row>
    <row r="4184" spans="1:20" ht="45.75" customHeight="1" x14ac:dyDescent="0.3">
      <c r="A4184" s="1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</row>
    <row r="4185" spans="1:20" ht="45.75" customHeight="1" x14ac:dyDescent="0.3">
      <c r="A4185" s="1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</row>
    <row r="4186" spans="1:20" ht="45.75" customHeight="1" x14ac:dyDescent="0.3">
      <c r="A4186" s="1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</row>
    <row r="4187" spans="1:20" ht="45.75" customHeight="1" x14ac:dyDescent="0.3">
      <c r="A4187" s="1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</row>
    <row r="4188" spans="1:20" ht="45.75" customHeight="1" x14ac:dyDescent="0.3">
      <c r="A4188" s="1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</row>
    <row r="4189" spans="1:20" ht="45.75" customHeight="1" x14ac:dyDescent="0.3">
      <c r="A4189" s="1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</row>
    <row r="4190" spans="1:20" ht="45.75" customHeight="1" x14ac:dyDescent="0.3">
      <c r="A4190" s="1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</row>
    <row r="4191" spans="1:20" ht="45.75" customHeight="1" x14ac:dyDescent="0.3">
      <c r="A4191" s="1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</row>
    <row r="4192" spans="1:20" ht="45.75" customHeight="1" x14ac:dyDescent="0.3">
      <c r="A4192" s="1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</row>
    <row r="4193" spans="1:20" ht="45.75" customHeight="1" x14ac:dyDescent="0.3">
      <c r="A4193" s="1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</row>
    <row r="4194" spans="1:20" ht="45.75" customHeight="1" x14ac:dyDescent="0.3">
      <c r="A4194" s="1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</row>
    <row r="4195" spans="1:20" ht="45.75" customHeight="1" x14ac:dyDescent="0.3">
      <c r="A4195" s="1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</row>
    <row r="4196" spans="1:20" ht="45.75" customHeight="1" x14ac:dyDescent="0.3">
      <c r="A4196" s="1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</row>
    <row r="4197" spans="1:20" ht="45.75" customHeight="1" x14ac:dyDescent="0.3">
      <c r="A4197" s="1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</row>
    <row r="4198" spans="1:20" ht="45.75" customHeight="1" x14ac:dyDescent="0.3">
      <c r="A4198" s="1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</row>
    <row r="4199" spans="1:20" ht="45.75" customHeight="1" x14ac:dyDescent="0.3">
      <c r="A4199" s="1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</row>
    <row r="4200" spans="1:20" ht="45.75" customHeight="1" x14ac:dyDescent="0.3">
      <c r="A4200" s="1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</row>
    <row r="4201" spans="1:20" ht="45.75" customHeight="1" x14ac:dyDescent="0.3">
      <c r="A4201" s="1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</row>
    <row r="4202" spans="1:20" ht="45.75" customHeight="1" x14ac:dyDescent="0.3">
      <c r="A4202" s="1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</row>
    <row r="4203" spans="1:20" ht="45.75" customHeight="1" x14ac:dyDescent="0.3">
      <c r="A4203" s="1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</row>
    <row r="4204" spans="1:20" ht="45.75" customHeight="1" x14ac:dyDescent="0.3">
      <c r="A4204" s="1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</row>
    <row r="4205" spans="1:20" ht="45.75" customHeight="1" x14ac:dyDescent="0.3">
      <c r="A4205" s="1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</row>
    <row r="4206" spans="1:20" ht="45.75" customHeight="1" x14ac:dyDescent="0.3">
      <c r="A4206" s="1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</row>
    <row r="4207" spans="1:20" ht="45.75" customHeight="1" x14ac:dyDescent="0.3">
      <c r="A4207" s="1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</row>
    <row r="4208" spans="1:20" ht="45.75" customHeight="1" x14ac:dyDescent="0.3">
      <c r="A4208" s="1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</row>
    <row r="4209" spans="1:20" ht="45.75" customHeight="1" x14ac:dyDescent="0.3">
      <c r="A4209" s="1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</row>
    <row r="4210" spans="1:20" ht="45.75" customHeight="1" x14ac:dyDescent="0.3">
      <c r="A4210" s="1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</row>
    <row r="4211" spans="1:20" ht="45.75" customHeight="1" x14ac:dyDescent="0.3">
      <c r="A4211" s="1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</row>
    <row r="4212" spans="1:20" ht="45.75" customHeight="1" x14ac:dyDescent="0.3">
      <c r="A4212" s="1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</row>
    <row r="4213" spans="1:20" ht="45.75" customHeight="1" x14ac:dyDescent="0.3">
      <c r="A4213" s="1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</row>
    <row r="4214" spans="1:20" ht="45.75" customHeight="1" x14ac:dyDescent="0.3">
      <c r="A4214" s="1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</row>
    <row r="4215" spans="1:20" ht="45.75" customHeight="1" x14ac:dyDescent="0.3">
      <c r="A4215" s="1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</row>
    <row r="4216" spans="1:20" ht="45.75" customHeight="1" x14ac:dyDescent="0.3">
      <c r="A4216" s="1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</row>
    <row r="4217" spans="1:20" ht="45.75" customHeight="1" x14ac:dyDescent="0.3">
      <c r="A4217" s="1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</row>
    <row r="4218" spans="1:20" ht="45.75" customHeight="1" x14ac:dyDescent="0.3">
      <c r="A4218" s="1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</row>
    <row r="4219" spans="1:20" ht="45.75" customHeight="1" x14ac:dyDescent="0.3">
      <c r="A4219" s="1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</row>
    <row r="4220" spans="1:20" ht="45.75" customHeight="1" x14ac:dyDescent="0.3">
      <c r="A4220" s="1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</row>
    <row r="4221" spans="1:20" ht="45.75" customHeight="1" x14ac:dyDescent="0.3">
      <c r="A4221" s="1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</row>
    <row r="4222" spans="1:20" ht="45.75" customHeight="1" x14ac:dyDescent="0.3">
      <c r="A4222" s="1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</row>
    <row r="4223" spans="1:20" ht="45.75" customHeight="1" x14ac:dyDescent="0.3">
      <c r="A4223" s="1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</row>
    <row r="4224" spans="1:20" ht="45.75" customHeight="1" x14ac:dyDescent="0.3">
      <c r="A4224" s="1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</row>
    <row r="4225" spans="1:20" ht="45.75" customHeight="1" x14ac:dyDescent="0.3">
      <c r="A4225" s="1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</row>
    <row r="4226" spans="1:20" ht="45.75" customHeight="1" x14ac:dyDescent="0.3">
      <c r="A4226" s="1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</row>
    <row r="4227" spans="1:20" ht="45.75" customHeight="1" x14ac:dyDescent="0.3">
      <c r="A4227" s="1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</row>
    <row r="4228" spans="1:20" ht="45.75" customHeight="1" x14ac:dyDescent="0.3">
      <c r="A4228" s="1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</row>
    <row r="4229" spans="1:20" ht="45.75" customHeight="1" x14ac:dyDescent="0.3">
      <c r="A4229" s="1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</row>
    <row r="4230" spans="1:20" ht="45.75" customHeight="1" x14ac:dyDescent="0.3">
      <c r="A4230" s="1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</row>
    <row r="4231" spans="1:20" ht="45.75" customHeight="1" x14ac:dyDescent="0.3">
      <c r="A4231" s="1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</row>
    <row r="4232" spans="1:20" ht="45.75" customHeight="1" x14ac:dyDescent="0.3">
      <c r="A4232" s="1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</row>
    <row r="4233" spans="1:20" ht="45.75" customHeight="1" x14ac:dyDescent="0.3">
      <c r="A4233" s="1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</row>
    <row r="4234" spans="1:20" ht="45.75" customHeight="1" x14ac:dyDescent="0.3">
      <c r="A4234" s="1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</row>
    <row r="4235" spans="1:20" ht="45.75" customHeight="1" x14ac:dyDescent="0.3">
      <c r="A4235" s="1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</row>
    <row r="4236" spans="1:20" ht="45.75" customHeight="1" x14ac:dyDescent="0.3">
      <c r="A4236" s="1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</row>
    <row r="4237" spans="1:20" ht="45.75" customHeight="1" x14ac:dyDescent="0.3">
      <c r="A4237" s="1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</row>
    <row r="4238" spans="1:20" ht="45.75" customHeight="1" x14ac:dyDescent="0.3">
      <c r="A4238" s="1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</row>
    <row r="4239" spans="1:20" ht="45.75" customHeight="1" x14ac:dyDescent="0.3">
      <c r="A4239" s="1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</row>
    <row r="4240" spans="1:20" ht="45.75" customHeight="1" x14ac:dyDescent="0.3">
      <c r="A4240" s="1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</row>
    <row r="4241" spans="1:20" ht="45.75" customHeight="1" x14ac:dyDescent="0.3">
      <c r="A4241" s="1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</row>
    <row r="4242" spans="1:20" ht="45.75" customHeight="1" x14ac:dyDescent="0.3">
      <c r="A4242" s="1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</row>
    <row r="4243" spans="1:20" ht="45.75" customHeight="1" x14ac:dyDescent="0.3">
      <c r="A4243" s="1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</row>
    <row r="4244" spans="1:20" ht="45.75" customHeight="1" x14ac:dyDescent="0.3">
      <c r="A4244" s="1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</row>
    <row r="4245" spans="1:20" ht="45.75" customHeight="1" x14ac:dyDescent="0.3">
      <c r="A4245" s="1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</row>
    <row r="4246" spans="1:20" ht="45.75" customHeight="1" x14ac:dyDescent="0.3">
      <c r="A4246" s="1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</row>
    <row r="4247" spans="1:20" ht="45.75" customHeight="1" x14ac:dyDescent="0.3">
      <c r="A4247" s="1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</row>
    <row r="4248" spans="1:20" ht="45.75" customHeight="1" x14ac:dyDescent="0.3">
      <c r="A4248" s="1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</row>
    <row r="4249" spans="1:20" ht="45.75" customHeight="1" x14ac:dyDescent="0.3">
      <c r="A4249" s="1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</row>
    <row r="4250" spans="1:20" ht="45.75" customHeight="1" x14ac:dyDescent="0.3">
      <c r="A4250" s="1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</row>
    <row r="4251" spans="1:20" ht="45.75" customHeight="1" x14ac:dyDescent="0.3">
      <c r="A4251" s="1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</row>
    <row r="4252" spans="1:20" ht="45.75" customHeight="1" x14ac:dyDescent="0.3">
      <c r="A4252" s="1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</row>
    <row r="4253" spans="1:20" ht="45.75" customHeight="1" x14ac:dyDescent="0.3">
      <c r="A4253" s="1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</row>
    <row r="4254" spans="1:20" ht="45.75" customHeight="1" x14ac:dyDescent="0.3">
      <c r="A4254" s="1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</row>
    <row r="4255" spans="1:20" ht="45.75" customHeight="1" x14ac:dyDescent="0.3">
      <c r="A4255" s="1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</row>
    <row r="4256" spans="1:20" ht="45.75" customHeight="1" x14ac:dyDescent="0.3">
      <c r="A4256" s="1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</row>
    <row r="4257" spans="1:20" ht="45.75" customHeight="1" x14ac:dyDescent="0.3">
      <c r="A4257" s="1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</row>
    <row r="4258" spans="1:20" ht="45.75" customHeight="1" x14ac:dyDescent="0.3">
      <c r="A4258" s="1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</row>
    <row r="4259" spans="1:20" ht="45.75" customHeight="1" x14ac:dyDescent="0.3">
      <c r="A4259" s="1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</row>
    <row r="4260" spans="1:20" ht="45.75" customHeight="1" x14ac:dyDescent="0.3">
      <c r="A4260" s="1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</row>
    <row r="4261" spans="1:20" ht="45.75" customHeight="1" x14ac:dyDescent="0.3">
      <c r="A4261" s="1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</row>
    <row r="4262" spans="1:20" ht="45.75" customHeight="1" x14ac:dyDescent="0.3">
      <c r="A4262" s="1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</row>
    <row r="4263" spans="1:20" ht="45.75" customHeight="1" x14ac:dyDescent="0.3">
      <c r="A4263" s="1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</row>
    <row r="4264" spans="1:20" ht="45.75" customHeight="1" x14ac:dyDescent="0.3">
      <c r="A4264" s="1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</row>
    <row r="4265" spans="1:20" ht="45.75" customHeight="1" x14ac:dyDescent="0.3">
      <c r="A4265" s="1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</row>
    <row r="4266" spans="1:20" ht="45.75" customHeight="1" x14ac:dyDescent="0.3">
      <c r="A4266" s="1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</row>
    <row r="4267" spans="1:20" ht="45.75" customHeight="1" x14ac:dyDescent="0.3">
      <c r="A4267" s="1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</row>
    <row r="4268" spans="1:20" ht="45.75" customHeight="1" x14ac:dyDescent="0.3">
      <c r="A4268" s="1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</row>
    <row r="4269" spans="1:20" ht="45.75" customHeight="1" x14ac:dyDescent="0.3">
      <c r="A4269" s="1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</row>
    <row r="4270" spans="1:20" ht="45.75" customHeight="1" x14ac:dyDescent="0.3">
      <c r="A4270" s="1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</row>
    <row r="4271" spans="1:20" ht="45.75" customHeight="1" x14ac:dyDescent="0.3">
      <c r="A4271" s="1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</row>
    <row r="4272" spans="1:20" ht="45.75" customHeight="1" x14ac:dyDescent="0.3">
      <c r="A4272" s="1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</row>
    <row r="4273" spans="1:20" ht="45.75" customHeight="1" x14ac:dyDescent="0.3">
      <c r="A4273" s="1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</row>
    <row r="4274" spans="1:20" ht="45.75" customHeight="1" x14ac:dyDescent="0.3">
      <c r="A4274" s="1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</row>
    <row r="4275" spans="1:20" ht="45.75" customHeight="1" x14ac:dyDescent="0.3">
      <c r="A4275" s="1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</row>
    <row r="4276" spans="1:20" ht="45.75" customHeight="1" x14ac:dyDescent="0.3">
      <c r="A4276" s="1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</row>
    <row r="4277" spans="1:20" ht="45.75" customHeight="1" x14ac:dyDescent="0.3">
      <c r="A4277" s="1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</row>
    <row r="4278" spans="1:20" ht="45.75" customHeight="1" x14ac:dyDescent="0.3">
      <c r="A4278" s="1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</row>
    <row r="4279" spans="1:20" ht="45.75" customHeight="1" x14ac:dyDescent="0.3">
      <c r="A4279" s="1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</row>
    <row r="4280" spans="1:20" ht="45.75" customHeight="1" x14ac:dyDescent="0.3">
      <c r="A4280" s="1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</row>
    <row r="4281" spans="1:20" ht="45.75" customHeight="1" x14ac:dyDescent="0.3">
      <c r="A4281" s="1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</row>
    <row r="4282" spans="1:20" ht="45.75" customHeight="1" x14ac:dyDescent="0.3">
      <c r="A4282" s="1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</row>
    <row r="4283" spans="1:20" ht="45.75" customHeight="1" x14ac:dyDescent="0.3">
      <c r="A4283" s="1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</row>
    <row r="4284" spans="1:20" ht="45.75" customHeight="1" x14ac:dyDescent="0.3">
      <c r="A4284" s="1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</row>
    <row r="4285" spans="1:20" ht="45.75" customHeight="1" x14ac:dyDescent="0.3">
      <c r="A4285" s="1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</row>
    <row r="4286" spans="1:20" ht="45.75" customHeight="1" x14ac:dyDescent="0.3">
      <c r="A4286" s="1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</row>
    <row r="4287" spans="1:20" ht="45.75" customHeight="1" x14ac:dyDescent="0.3">
      <c r="A4287" s="1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</row>
    <row r="4288" spans="1:20" ht="45.75" customHeight="1" x14ac:dyDescent="0.3">
      <c r="A4288" s="1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</row>
    <row r="4289" spans="1:20" ht="45.75" customHeight="1" x14ac:dyDescent="0.3">
      <c r="A4289" s="1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</row>
    <row r="4290" spans="1:20" ht="45.75" customHeight="1" x14ac:dyDescent="0.3">
      <c r="A4290" s="1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</row>
    <row r="4291" spans="1:20" ht="45.75" customHeight="1" x14ac:dyDescent="0.3">
      <c r="A4291" s="1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</row>
    <row r="4292" spans="1:20" ht="45.75" customHeight="1" x14ac:dyDescent="0.3">
      <c r="A4292" s="1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</row>
    <row r="4293" spans="1:20" ht="45.75" customHeight="1" x14ac:dyDescent="0.3">
      <c r="A4293" s="1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</row>
    <row r="4294" spans="1:20" ht="45.75" customHeight="1" x14ac:dyDescent="0.3">
      <c r="A4294" s="1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</row>
    <row r="4295" spans="1:20" ht="45.75" customHeight="1" x14ac:dyDescent="0.3">
      <c r="A4295" s="1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</row>
    <row r="4296" spans="1:20" ht="45.75" customHeight="1" x14ac:dyDescent="0.3">
      <c r="A4296" s="1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</row>
    <row r="4297" spans="1:20" ht="45.75" customHeight="1" x14ac:dyDescent="0.3">
      <c r="A4297" s="1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</row>
    <row r="4298" spans="1:20" ht="45.75" customHeight="1" x14ac:dyDescent="0.3">
      <c r="A4298" s="1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</row>
    <row r="4299" spans="1:20" ht="45.75" customHeight="1" x14ac:dyDescent="0.3">
      <c r="A4299" s="1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</row>
    <row r="4300" spans="1:20" ht="45.75" customHeight="1" x14ac:dyDescent="0.3">
      <c r="A4300" s="1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</row>
    <row r="4301" spans="1:20" ht="45.75" customHeight="1" x14ac:dyDescent="0.3">
      <c r="A4301" s="1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</row>
    <row r="4302" spans="1:20" ht="45.75" customHeight="1" x14ac:dyDescent="0.3">
      <c r="A4302" s="1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</row>
    <row r="4303" spans="1:20" ht="45.75" customHeight="1" x14ac:dyDescent="0.3">
      <c r="A4303" s="1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</row>
    <row r="4304" spans="1:20" ht="45.75" customHeight="1" x14ac:dyDescent="0.3">
      <c r="A4304" s="1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</row>
    <row r="4305" spans="1:20" ht="45.75" customHeight="1" x14ac:dyDescent="0.3">
      <c r="A4305" s="1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</row>
    <row r="4306" spans="1:20" ht="45.75" customHeight="1" x14ac:dyDescent="0.3">
      <c r="A4306" s="1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</row>
    <row r="4307" spans="1:20" ht="45.75" customHeight="1" x14ac:dyDescent="0.3">
      <c r="A4307" s="1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</row>
    <row r="4308" spans="1:20" ht="45.75" customHeight="1" x14ac:dyDescent="0.3">
      <c r="A4308" s="1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</row>
    <row r="4309" spans="1:20" ht="45.75" customHeight="1" x14ac:dyDescent="0.3">
      <c r="A4309" s="1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</row>
    <row r="4310" spans="1:20" ht="45.75" customHeight="1" x14ac:dyDescent="0.3">
      <c r="A4310" s="1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</row>
    <row r="4311" spans="1:20" ht="45.75" customHeight="1" x14ac:dyDescent="0.3">
      <c r="A4311" s="1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</row>
    <row r="4312" spans="1:20" ht="45.75" customHeight="1" x14ac:dyDescent="0.3">
      <c r="A4312" s="1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</row>
    <row r="4313" spans="1:20" ht="45.75" customHeight="1" x14ac:dyDescent="0.3">
      <c r="A4313" s="1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</row>
    <row r="4314" spans="1:20" ht="45.75" customHeight="1" x14ac:dyDescent="0.3">
      <c r="A4314" s="1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</row>
    <row r="4315" spans="1:20" ht="45.75" customHeight="1" x14ac:dyDescent="0.3">
      <c r="A4315" s="1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</row>
    <row r="4316" spans="1:20" ht="45.75" customHeight="1" x14ac:dyDescent="0.3">
      <c r="A4316" s="1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</row>
    <row r="4317" spans="1:20" ht="45.75" customHeight="1" x14ac:dyDescent="0.3">
      <c r="A4317" s="1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</row>
    <row r="4318" spans="1:20" ht="45.75" customHeight="1" x14ac:dyDescent="0.3">
      <c r="A4318" s="1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</row>
    <row r="4319" spans="1:20" ht="45.75" customHeight="1" x14ac:dyDescent="0.3">
      <c r="A4319" s="1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</row>
    <row r="4320" spans="1:20" ht="45.75" customHeight="1" x14ac:dyDescent="0.3">
      <c r="A4320" s="1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</row>
    <row r="4321" spans="1:20" ht="45.75" customHeight="1" x14ac:dyDescent="0.3">
      <c r="A4321" s="1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</row>
    <row r="4322" spans="1:20" ht="45.75" customHeight="1" x14ac:dyDescent="0.3">
      <c r="A4322" s="1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</row>
    <row r="4323" spans="1:20" ht="45.75" customHeight="1" x14ac:dyDescent="0.3">
      <c r="A4323" s="1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</row>
    <row r="4324" spans="1:20" ht="45.75" customHeight="1" x14ac:dyDescent="0.3">
      <c r="A4324" s="1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</row>
    <row r="4325" spans="1:20" ht="45.75" customHeight="1" x14ac:dyDescent="0.3">
      <c r="A4325" s="1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</row>
    <row r="4326" spans="1:20" ht="45.75" customHeight="1" x14ac:dyDescent="0.3">
      <c r="A4326" s="1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</row>
    <row r="4327" spans="1:20" ht="45.75" customHeight="1" x14ac:dyDescent="0.3">
      <c r="A4327" s="1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</row>
    <row r="4328" spans="1:20" ht="45.75" customHeight="1" x14ac:dyDescent="0.3">
      <c r="A4328" s="1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</row>
    <row r="4329" spans="1:20" ht="45.75" customHeight="1" x14ac:dyDescent="0.3">
      <c r="A4329" s="1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</row>
    <row r="4330" spans="1:20" ht="45.75" customHeight="1" x14ac:dyDescent="0.3">
      <c r="A4330" s="1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</row>
    <row r="4331" spans="1:20" ht="45.75" customHeight="1" x14ac:dyDescent="0.3">
      <c r="A4331" s="1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</row>
    <row r="4332" spans="1:20" ht="45.75" customHeight="1" x14ac:dyDescent="0.3">
      <c r="A4332" s="1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</row>
    <row r="4333" spans="1:20" ht="45.75" customHeight="1" x14ac:dyDescent="0.3">
      <c r="A4333" s="1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</row>
    <row r="4334" spans="1:20" ht="45.75" customHeight="1" x14ac:dyDescent="0.3">
      <c r="A4334" s="1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</row>
    <row r="4335" spans="1:20" ht="45.75" customHeight="1" x14ac:dyDescent="0.3">
      <c r="A4335" s="1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</row>
    <row r="4336" spans="1:20" ht="45.75" customHeight="1" x14ac:dyDescent="0.3">
      <c r="A4336" s="1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</row>
    <row r="4337" spans="1:20" ht="45.75" customHeight="1" x14ac:dyDescent="0.3">
      <c r="A4337" s="1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</row>
    <row r="4338" spans="1:20" ht="45.75" customHeight="1" x14ac:dyDescent="0.3">
      <c r="A4338" s="1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</row>
    <row r="4339" spans="1:20" ht="45.75" customHeight="1" x14ac:dyDescent="0.3">
      <c r="A4339" s="1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</row>
    <row r="4340" spans="1:20" ht="45.75" customHeight="1" x14ac:dyDescent="0.3">
      <c r="A4340" s="1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</row>
    <row r="4341" spans="1:20" ht="45.75" customHeight="1" x14ac:dyDescent="0.3">
      <c r="A4341" s="1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</row>
    <row r="4342" spans="1:20" ht="45.75" customHeight="1" x14ac:dyDescent="0.3">
      <c r="A4342" s="1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</row>
    <row r="4343" spans="1:20" ht="45.75" customHeight="1" x14ac:dyDescent="0.3">
      <c r="A4343" s="1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</row>
    <row r="4344" spans="1:20" ht="45.75" customHeight="1" x14ac:dyDescent="0.3">
      <c r="A4344" s="1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</row>
    <row r="4345" spans="1:20" ht="45.75" customHeight="1" x14ac:dyDescent="0.3">
      <c r="A4345" s="1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</row>
    <row r="4346" spans="1:20" ht="45.75" customHeight="1" x14ac:dyDescent="0.3">
      <c r="A4346" s="1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</row>
    <row r="4347" spans="1:20" ht="45.75" customHeight="1" x14ac:dyDescent="0.3">
      <c r="A4347" s="1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</row>
    <row r="4348" spans="1:20" ht="45.75" customHeight="1" x14ac:dyDescent="0.3">
      <c r="A4348" s="1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</row>
    <row r="4349" spans="1:20" ht="45.75" customHeight="1" x14ac:dyDescent="0.3">
      <c r="A4349" s="1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</row>
    <row r="4350" spans="1:20" ht="45.75" customHeight="1" x14ac:dyDescent="0.3">
      <c r="A4350" s="1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</row>
    <row r="4351" spans="1:20" ht="45.75" customHeight="1" x14ac:dyDescent="0.3">
      <c r="A4351" s="1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</row>
    <row r="4352" spans="1:20" ht="45.75" customHeight="1" x14ac:dyDescent="0.3">
      <c r="A4352" s="1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</row>
    <row r="4353" spans="1:20" ht="45.75" customHeight="1" x14ac:dyDescent="0.3">
      <c r="A4353" s="1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</row>
    <row r="4354" spans="1:20" ht="45.75" customHeight="1" x14ac:dyDescent="0.3">
      <c r="A4354" s="1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</row>
    <row r="4355" spans="1:20" ht="45.75" customHeight="1" x14ac:dyDescent="0.3">
      <c r="A4355" s="1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</row>
    <row r="4356" spans="1:20" ht="45.75" customHeight="1" x14ac:dyDescent="0.3">
      <c r="A4356" s="1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</row>
    <row r="4357" spans="1:20" ht="45.75" customHeight="1" x14ac:dyDescent="0.3">
      <c r="A4357" s="1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</row>
    <row r="4358" spans="1:20" ht="45.75" customHeight="1" x14ac:dyDescent="0.3">
      <c r="A4358" s="1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</row>
    <row r="4359" spans="1:20" ht="45.75" customHeight="1" x14ac:dyDescent="0.3">
      <c r="A4359" s="1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</row>
    <row r="4360" spans="1:20" ht="45.75" customHeight="1" x14ac:dyDescent="0.3">
      <c r="A4360" s="1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</row>
    <row r="4361" spans="1:20" ht="45.75" customHeight="1" x14ac:dyDescent="0.3">
      <c r="A4361" s="1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</row>
    <row r="4362" spans="1:20" ht="45.75" customHeight="1" x14ac:dyDescent="0.3">
      <c r="A4362" s="1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</row>
    <row r="4363" spans="1:20" ht="45.75" customHeight="1" x14ac:dyDescent="0.3">
      <c r="A4363" s="1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</row>
    <row r="4364" spans="1:20" ht="45.75" customHeight="1" x14ac:dyDescent="0.3">
      <c r="A4364" s="1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</row>
    <row r="4365" spans="1:20" ht="45.75" customHeight="1" x14ac:dyDescent="0.3">
      <c r="A4365" s="1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</row>
    <row r="4366" spans="1:20" ht="45.75" customHeight="1" x14ac:dyDescent="0.3">
      <c r="A4366" s="1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</row>
    <row r="4367" spans="1:20" ht="45.75" customHeight="1" x14ac:dyDescent="0.3">
      <c r="A4367" s="1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</row>
    <row r="4368" spans="1:20" ht="45.75" customHeight="1" x14ac:dyDescent="0.3">
      <c r="A4368" s="1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</row>
    <row r="4369" spans="1:20" ht="45.75" customHeight="1" x14ac:dyDescent="0.3">
      <c r="A4369" s="1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</row>
    <row r="4370" spans="1:20" ht="45.75" customHeight="1" x14ac:dyDescent="0.3">
      <c r="A4370" s="1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</row>
    <row r="4371" spans="1:20" ht="45.75" customHeight="1" x14ac:dyDescent="0.3">
      <c r="A4371" s="1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</row>
    <row r="4372" spans="1:20" ht="45.75" customHeight="1" x14ac:dyDescent="0.3">
      <c r="A4372" s="1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</row>
    <row r="4373" spans="1:20" ht="45.75" customHeight="1" x14ac:dyDescent="0.3">
      <c r="A4373" s="1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</row>
    <row r="4374" spans="1:20" ht="45.75" customHeight="1" x14ac:dyDescent="0.3">
      <c r="A4374" s="1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</row>
    <row r="4375" spans="1:20" ht="45.75" customHeight="1" x14ac:dyDescent="0.3">
      <c r="A4375" s="1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</row>
    <row r="4376" spans="1:20" ht="45.75" customHeight="1" x14ac:dyDescent="0.3">
      <c r="A4376" s="1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</row>
    <row r="4377" spans="1:20" ht="45.75" customHeight="1" x14ac:dyDescent="0.3">
      <c r="A4377" s="1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</row>
    <row r="4378" spans="1:20" ht="45.75" customHeight="1" x14ac:dyDescent="0.3">
      <c r="A4378" s="1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</row>
    <row r="4379" spans="1:20" ht="45.75" customHeight="1" x14ac:dyDescent="0.3">
      <c r="A4379" s="1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</row>
    <row r="4380" spans="1:20" ht="45.75" customHeight="1" x14ac:dyDescent="0.3">
      <c r="A4380" s="1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</row>
    <row r="4381" spans="1:20" ht="45.75" customHeight="1" x14ac:dyDescent="0.3">
      <c r="A4381" s="1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</row>
    <row r="4382" spans="1:20" ht="45.75" customHeight="1" x14ac:dyDescent="0.3">
      <c r="A4382" s="1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</row>
    <row r="4383" spans="1:20" ht="45.75" customHeight="1" x14ac:dyDescent="0.3">
      <c r="A4383" s="1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</row>
    <row r="4384" spans="1:20" ht="45.75" customHeight="1" x14ac:dyDescent="0.3">
      <c r="A4384" s="1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</row>
    <row r="4385" spans="1:20" ht="45.75" customHeight="1" x14ac:dyDescent="0.3">
      <c r="A4385" s="1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</row>
    <row r="4386" spans="1:20" ht="45.75" customHeight="1" x14ac:dyDescent="0.3">
      <c r="A4386" s="1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</row>
    <row r="4387" spans="1:20" ht="45.75" customHeight="1" x14ac:dyDescent="0.3">
      <c r="A4387" s="1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</row>
    <row r="4388" spans="1:20" ht="45.75" customHeight="1" x14ac:dyDescent="0.3">
      <c r="A4388" s="1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</row>
    <row r="4389" spans="1:20" ht="45.75" customHeight="1" x14ac:dyDescent="0.3">
      <c r="A4389" s="1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</row>
    <row r="4390" spans="1:20" ht="45.75" customHeight="1" x14ac:dyDescent="0.3">
      <c r="A4390" s="1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</row>
    <row r="4391" spans="1:20" ht="45.75" customHeight="1" x14ac:dyDescent="0.3">
      <c r="A4391" s="1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</row>
    <row r="4392" spans="1:20" ht="45.75" customHeight="1" x14ac:dyDescent="0.3">
      <c r="A4392" s="1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</row>
    <row r="4393" spans="1:20" ht="45.75" customHeight="1" x14ac:dyDescent="0.3">
      <c r="A4393" s="1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</row>
    <row r="4394" spans="1:20" ht="45.75" customHeight="1" x14ac:dyDescent="0.3">
      <c r="A4394" s="1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</row>
    <row r="4395" spans="1:20" ht="45.75" customHeight="1" x14ac:dyDescent="0.3">
      <c r="A4395" s="1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</row>
    <row r="4396" spans="1:20" ht="45.75" customHeight="1" x14ac:dyDescent="0.3">
      <c r="A4396" s="1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</row>
    <row r="4397" spans="1:20" ht="45.75" customHeight="1" x14ac:dyDescent="0.3">
      <c r="A4397" s="1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</row>
    <row r="4398" spans="1:20" ht="45.75" customHeight="1" x14ac:dyDescent="0.3">
      <c r="A4398" s="1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</row>
    <row r="4399" spans="1:20" ht="45.75" customHeight="1" x14ac:dyDescent="0.3">
      <c r="A4399" s="1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</row>
    <row r="4400" spans="1:20" ht="45.75" customHeight="1" x14ac:dyDescent="0.3">
      <c r="A4400" s="1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</row>
    <row r="4401" spans="1:20" ht="45.75" customHeight="1" x14ac:dyDescent="0.3">
      <c r="A4401" s="1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</row>
    <row r="4402" spans="1:20" ht="45.75" customHeight="1" x14ac:dyDescent="0.3">
      <c r="A4402" s="1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</row>
    <row r="4403" spans="1:20" ht="45.75" customHeight="1" x14ac:dyDescent="0.3">
      <c r="A4403" s="1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</row>
    <row r="4404" spans="1:20" ht="45.75" customHeight="1" x14ac:dyDescent="0.3">
      <c r="A4404" s="1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</row>
    <row r="4405" spans="1:20" ht="45.75" customHeight="1" x14ac:dyDescent="0.3">
      <c r="A4405" s="1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</row>
    <row r="4406" spans="1:20" ht="45.75" customHeight="1" x14ac:dyDescent="0.3">
      <c r="A4406" s="1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</row>
    <row r="4407" spans="1:20" ht="45.75" customHeight="1" x14ac:dyDescent="0.3">
      <c r="A4407" s="1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</row>
    <row r="4408" spans="1:20" ht="45.75" customHeight="1" x14ac:dyDescent="0.3">
      <c r="A4408" s="1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</row>
    <row r="4409" spans="1:20" ht="45.75" customHeight="1" x14ac:dyDescent="0.3">
      <c r="A4409" s="1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</row>
    <row r="4410" spans="1:20" ht="45.75" customHeight="1" x14ac:dyDescent="0.3">
      <c r="A4410" s="1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</row>
    <row r="4411" spans="1:20" ht="45.75" customHeight="1" x14ac:dyDescent="0.3">
      <c r="A4411" s="1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</row>
    <row r="4412" spans="1:20" ht="45.75" customHeight="1" x14ac:dyDescent="0.3">
      <c r="A4412" s="1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</row>
    <row r="4413" spans="1:20" ht="45.75" customHeight="1" x14ac:dyDescent="0.3">
      <c r="A4413" s="1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</row>
    <row r="4414" spans="1:20" ht="45.75" customHeight="1" x14ac:dyDescent="0.3">
      <c r="A4414" s="1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</row>
    <row r="4415" spans="1:20" ht="45.75" customHeight="1" x14ac:dyDescent="0.3">
      <c r="A4415" s="1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</row>
    <row r="4416" spans="1:20" ht="45.75" customHeight="1" x14ac:dyDescent="0.3">
      <c r="A4416" s="1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</row>
    <row r="4417" spans="1:20" ht="45.75" customHeight="1" x14ac:dyDescent="0.3">
      <c r="A4417" s="1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</row>
    <row r="4418" spans="1:20" ht="45.75" customHeight="1" x14ac:dyDescent="0.3">
      <c r="A4418" s="1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</row>
    <row r="4419" spans="1:20" ht="45.75" customHeight="1" x14ac:dyDescent="0.3">
      <c r="A4419" s="1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</row>
    <row r="4420" spans="1:20" ht="45.75" customHeight="1" x14ac:dyDescent="0.3">
      <c r="A4420" s="1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</row>
    <row r="4421" spans="1:20" ht="45.75" customHeight="1" x14ac:dyDescent="0.3">
      <c r="A4421" s="1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</row>
    <row r="4422" spans="1:20" ht="45.75" customHeight="1" x14ac:dyDescent="0.3">
      <c r="A4422" s="1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</row>
    <row r="4423" spans="1:20" ht="45.75" customHeight="1" x14ac:dyDescent="0.3">
      <c r="A4423" s="1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</row>
    <row r="4424" spans="1:20" ht="45.75" customHeight="1" x14ac:dyDescent="0.3">
      <c r="A4424" s="1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</row>
    <row r="4425" spans="1:20" ht="45.75" customHeight="1" x14ac:dyDescent="0.3">
      <c r="A4425" s="1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</row>
    <row r="4426" spans="1:20" ht="45.75" customHeight="1" x14ac:dyDescent="0.3">
      <c r="A4426" s="1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</row>
    <row r="4427" spans="1:20" ht="45.75" customHeight="1" x14ac:dyDescent="0.3">
      <c r="A4427" s="1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</row>
    <row r="4428" spans="1:20" ht="45.75" customHeight="1" x14ac:dyDescent="0.3">
      <c r="A4428" s="1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</row>
    <row r="4429" spans="1:20" ht="45.75" customHeight="1" x14ac:dyDescent="0.3">
      <c r="A4429" s="1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</row>
    <row r="4430" spans="1:20" ht="45.75" customHeight="1" x14ac:dyDescent="0.3">
      <c r="A4430" s="1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</row>
    <row r="4431" spans="1:20" ht="45.75" customHeight="1" x14ac:dyDescent="0.3">
      <c r="A4431" s="1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</row>
    <row r="4432" spans="1:20" ht="45.75" customHeight="1" x14ac:dyDescent="0.3">
      <c r="A4432" s="1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</row>
    <row r="4433" spans="1:20" ht="45.75" customHeight="1" x14ac:dyDescent="0.3">
      <c r="A4433" s="1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</row>
    <row r="4434" spans="1:20" ht="45.75" customHeight="1" x14ac:dyDescent="0.3">
      <c r="A4434" s="1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</row>
    <row r="4435" spans="1:20" ht="45.75" customHeight="1" x14ac:dyDescent="0.3">
      <c r="A4435" s="1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</row>
    <row r="4436" spans="1:20" ht="45.75" customHeight="1" x14ac:dyDescent="0.3">
      <c r="A4436" s="1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</row>
    <row r="4437" spans="1:20" ht="45.75" customHeight="1" x14ac:dyDescent="0.3">
      <c r="A4437" s="1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</row>
    <row r="4438" spans="1:20" ht="45.75" customHeight="1" x14ac:dyDescent="0.3">
      <c r="A4438" s="1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</row>
    <row r="4439" spans="1:20" ht="45.75" customHeight="1" x14ac:dyDescent="0.3">
      <c r="A4439" s="1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</row>
    <row r="4440" spans="1:20" ht="45.75" customHeight="1" x14ac:dyDescent="0.3">
      <c r="A4440" s="1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</row>
    <row r="4441" spans="1:20" ht="45.75" customHeight="1" x14ac:dyDescent="0.3">
      <c r="A4441" s="1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</row>
    <row r="4442" spans="1:20" ht="45.75" customHeight="1" x14ac:dyDescent="0.3">
      <c r="A4442" s="1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</row>
    <row r="4443" spans="1:20" ht="45.75" customHeight="1" x14ac:dyDescent="0.3">
      <c r="A4443" s="1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</row>
    <row r="4444" spans="1:20" ht="45.75" customHeight="1" x14ac:dyDescent="0.3">
      <c r="A4444" s="1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</row>
    <row r="4445" spans="1:20" ht="45.75" customHeight="1" x14ac:dyDescent="0.3">
      <c r="A4445" s="1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</row>
    <row r="4446" spans="1:20" ht="45.75" customHeight="1" x14ac:dyDescent="0.3">
      <c r="A4446" s="1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</row>
    <row r="4447" spans="1:20" ht="45.75" customHeight="1" x14ac:dyDescent="0.3">
      <c r="A4447" s="1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</row>
    <row r="4448" spans="1:20" ht="45.75" customHeight="1" x14ac:dyDescent="0.3">
      <c r="A4448" s="1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</row>
    <row r="4449" spans="1:20" ht="45.75" customHeight="1" x14ac:dyDescent="0.3">
      <c r="A4449" s="1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</row>
    <row r="4450" spans="1:20" ht="45.75" customHeight="1" x14ac:dyDescent="0.3">
      <c r="A4450" s="1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</row>
    <row r="4451" spans="1:20" ht="45.75" customHeight="1" x14ac:dyDescent="0.3">
      <c r="A4451" s="1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</row>
    <row r="4452" spans="1:20" ht="45.75" customHeight="1" x14ac:dyDescent="0.3">
      <c r="A4452" s="1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</row>
    <row r="4453" spans="1:20" ht="45.75" customHeight="1" x14ac:dyDescent="0.3">
      <c r="A4453" s="1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</row>
    <row r="4454" spans="1:20" ht="45.75" customHeight="1" x14ac:dyDescent="0.3">
      <c r="A4454" s="1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</row>
    <row r="4455" spans="1:20" ht="45.75" customHeight="1" x14ac:dyDescent="0.3">
      <c r="A4455" s="1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</row>
    <row r="4456" spans="1:20" ht="45.75" customHeight="1" x14ac:dyDescent="0.3">
      <c r="A4456" s="1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</row>
    <row r="4457" spans="1:20" ht="45.75" customHeight="1" x14ac:dyDescent="0.3">
      <c r="A4457" s="1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</row>
    <row r="4458" spans="1:20" ht="45.75" customHeight="1" x14ac:dyDescent="0.3">
      <c r="A4458" s="1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</row>
    <row r="4459" spans="1:20" ht="45.75" customHeight="1" x14ac:dyDescent="0.3">
      <c r="A4459" s="1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</row>
    <row r="4460" spans="1:20" ht="45.75" customHeight="1" x14ac:dyDescent="0.3">
      <c r="A4460" s="1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</row>
    <row r="4461" spans="1:20" ht="45.75" customHeight="1" x14ac:dyDescent="0.3">
      <c r="A4461" s="1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</row>
    <row r="4462" spans="1:20" ht="45.75" customHeight="1" x14ac:dyDescent="0.3">
      <c r="A4462" s="1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</row>
    <row r="4463" spans="1:20" ht="45.75" customHeight="1" x14ac:dyDescent="0.3">
      <c r="A4463" s="1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</row>
    <row r="4464" spans="1:20" ht="45.75" customHeight="1" x14ac:dyDescent="0.3">
      <c r="A4464" s="1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</row>
    <row r="4465" spans="1:20" ht="45.75" customHeight="1" x14ac:dyDescent="0.3">
      <c r="A4465" s="1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</row>
    <row r="4466" spans="1:20" ht="45.75" customHeight="1" x14ac:dyDescent="0.3">
      <c r="A4466" s="1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</row>
    <row r="4467" spans="1:20" ht="45.75" customHeight="1" x14ac:dyDescent="0.3">
      <c r="A4467" s="1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</row>
    <row r="4468" spans="1:20" ht="45.75" customHeight="1" x14ac:dyDescent="0.3">
      <c r="A4468" s="1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</row>
    <row r="4469" spans="1:20" ht="45.75" customHeight="1" x14ac:dyDescent="0.3">
      <c r="A4469" s="1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</row>
    <row r="4470" spans="1:20" ht="45.75" customHeight="1" x14ac:dyDescent="0.3">
      <c r="A4470" s="1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</row>
    <row r="4471" spans="1:20" ht="45.75" customHeight="1" x14ac:dyDescent="0.3">
      <c r="A4471" s="1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</row>
    <row r="4472" spans="1:20" ht="45.75" customHeight="1" x14ac:dyDescent="0.3">
      <c r="A4472" s="1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</row>
    <row r="4473" spans="1:20" ht="45.75" customHeight="1" x14ac:dyDescent="0.3">
      <c r="A4473" s="1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</row>
    <row r="4474" spans="1:20" ht="45.75" customHeight="1" x14ac:dyDescent="0.3">
      <c r="A4474" s="1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</row>
    <row r="4475" spans="1:20" ht="45.75" customHeight="1" x14ac:dyDescent="0.3">
      <c r="A4475" s="1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</row>
    <row r="4476" spans="1:20" ht="45.75" customHeight="1" x14ac:dyDescent="0.3">
      <c r="A4476" s="1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</row>
    <row r="4477" spans="1:20" ht="45.75" customHeight="1" x14ac:dyDescent="0.3">
      <c r="A4477" s="1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</row>
    <row r="4478" spans="1:20" ht="45.75" customHeight="1" x14ac:dyDescent="0.3">
      <c r="A4478" s="1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</row>
    <row r="4479" spans="1:20" ht="45.75" customHeight="1" x14ac:dyDescent="0.3">
      <c r="A4479" s="1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</row>
    <row r="4480" spans="1:20" ht="45.75" customHeight="1" x14ac:dyDescent="0.3">
      <c r="A4480" s="1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</row>
    <row r="4481" spans="1:20" ht="45.75" customHeight="1" x14ac:dyDescent="0.3">
      <c r="A4481" s="1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</row>
    <row r="4482" spans="1:20" ht="45.75" customHeight="1" x14ac:dyDescent="0.3">
      <c r="A4482" s="1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</row>
    <row r="4483" spans="1:20" ht="45.75" customHeight="1" x14ac:dyDescent="0.3">
      <c r="A4483" s="1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</row>
    <row r="4484" spans="1:20" ht="45.75" customHeight="1" x14ac:dyDescent="0.3">
      <c r="A4484" s="1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</row>
    <row r="4485" spans="1:20" ht="45.75" customHeight="1" x14ac:dyDescent="0.3">
      <c r="A4485" s="1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</row>
    <row r="4486" spans="1:20" ht="45.75" customHeight="1" x14ac:dyDescent="0.3">
      <c r="A4486" s="1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</row>
    <row r="4487" spans="1:20" ht="45.75" customHeight="1" x14ac:dyDescent="0.3">
      <c r="A4487" s="1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</row>
    <row r="4488" spans="1:20" ht="45.75" customHeight="1" x14ac:dyDescent="0.3">
      <c r="A4488" s="1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</row>
    <row r="4489" spans="1:20" ht="45.75" customHeight="1" x14ac:dyDescent="0.3">
      <c r="A4489" s="1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</row>
    <row r="4490" spans="1:20" ht="45.75" customHeight="1" x14ac:dyDescent="0.3">
      <c r="A4490" s="1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</row>
    <row r="4491" spans="1:20" ht="45.75" customHeight="1" x14ac:dyDescent="0.3">
      <c r="A4491" s="1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</row>
    <row r="4492" spans="1:20" ht="45.75" customHeight="1" x14ac:dyDescent="0.3">
      <c r="A4492" s="1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</row>
    <row r="4493" spans="1:20" ht="45.75" customHeight="1" x14ac:dyDescent="0.3">
      <c r="A4493" s="1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</row>
    <row r="4494" spans="1:20" ht="45.75" customHeight="1" x14ac:dyDescent="0.3">
      <c r="A4494" s="1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</row>
    <row r="4495" spans="1:20" ht="45.75" customHeight="1" x14ac:dyDescent="0.3">
      <c r="A4495" s="1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</row>
    <row r="4496" spans="1:20" ht="45.75" customHeight="1" x14ac:dyDescent="0.3">
      <c r="A4496" s="1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</row>
    <row r="4497" spans="1:20" ht="45.75" customHeight="1" x14ac:dyDescent="0.3">
      <c r="A4497" s="1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</row>
    <row r="4498" spans="1:20" ht="45.75" customHeight="1" x14ac:dyDescent="0.3">
      <c r="A4498" s="1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</row>
    <row r="4499" spans="1:20" ht="45.75" customHeight="1" x14ac:dyDescent="0.3">
      <c r="A4499" s="1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</row>
    <row r="4500" spans="1:20" ht="45.75" customHeight="1" x14ac:dyDescent="0.3">
      <c r="A4500" s="1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</row>
    <row r="4501" spans="1:20" ht="45.75" customHeight="1" x14ac:dyDescent="0.3">
      <c r="A4501" s="1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</row>
    <row r="4502" spans="1:20" ht="45.75" customHeight="1" x14ac:dyDescent="0.3">
      <c r="A4502" s="1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</row>
    <row r="4503" spans="1:20" ht="45.75" customHeight="1" x14ac:dyDescent="0.3">
      <c r="A4503" s="1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</row>
    <row r="4504" spans="1:20" ht="45.75" customHeight="1" x14ac:dyDescent="0.3">
      <c r="A4504" s="1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</row>
    <row r="4505" spans="1:20" ht="45.75" customHeight="1" x14ac:dyDescent="0.3">
      <c r="A4505" s="1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</row>
    <row r="4506" spans="1:20" ht="45.75" customHeight="1" x14ac:dyDescent="0.3">
      <c r="A4506" s="1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</row>
    <row r="4507" spans="1:20" ht="45.75" customHeight="1" x14ac:dyDescent="0.3">
      <c r="A4507" s="1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</row>
    <row r="4508" spans="1:20" ht="45.75" customHeight="1" x14ac:dyDescent="0.3">
      <c r="A4508" s="1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</row>
    <row r="4509" spans="1:20" ht="45.75" customHeight="1" x14ac:dyDescent="0.3">
      <c r="A4509" s="1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</row>
    <row r="4510" spans="1:20" ht="45.75" customHeight="1" x14ac:dyDescent="0.3">
      <c r="A4510" s="1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</row>
    <row r="4511" spans="1:20" ht="45.75" customHeight="1" x14ac:dyDescent="0.3">
      <c r="A4511" s="1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</row>
    <row r="4512" spans="1:20" ht="45.75" customHeight="1" x14ac:dyDescent="0.3">
      <c r="A4512" s="1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</row>
    <row r="4513" spans="1:20" ht="45.75" customHeight="1" x14ac:dyDescent="0.3">
      <c r="A4513" s="1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</row>
    <row r="4514" spans="1:20" ht="45.75" customHeight="1" x14ac:dyDescent="0.3">
      <c r="A4514" s="1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</row>
    <row r="4515" spans="1:20" ht="45.75" customHeight="1" x14ac:dyDescent="0.3">
      <c r="A4515" s="1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</row>
    <row r="4516" spans="1:20" ht="45.75" customHeight="1" x14ac:dyDescent="0.3">
      <c r="A4516" s="1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</row>
    <row r="4517" spans="1:20" ht="45.75" customHeight="1" x14ac:dyDescent="0.3">
      <c r="A4517" s="1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</row>
    <row r="4518" spans="1:20" ht="45.75" customHeight="1" x14ac:dyDescent="0.3">
      <c r="A4518" s="1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</row>
    <row r="4519" spans="1:20" ht="45.75" customHeight="1" x14ac:dyDescent="0.3">
      <c r="A4519" s="1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</row>
    <row r="4520" spans="1:20" ht="45.75" customHeight="1" x14ac:dyDescent="0.3">
      <c r="A4520" s="1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</row>
    <row r="4521" spans="1:20" ht="45.75" customHeight="1" x14ac:dyDescent="0.3">
      <c r="A4521" s="1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</row>
    <row r="4522" spans="1:20" ht="45.75" customHeight="1" x14ac:dyDescent="0.3">
      <c r="A4522" s="1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</row>
    <row r="4523" spans="1:20" ht="45.75" customHeight="1" x14ac:dyDescent="0.3">
      <c r="A4523" s="1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</row>
    <row r="4524" spans="1:20" ht="45.75" customHeight="1" x14ac:dyDescent="0.3">
      <c r="A4524" s="1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</row>
    <row r="4525" spans="1:20" ht="45.75" customHeight="1" x14ac:dyDescent="0.3">
      <c r="A4525" s="1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</row>
    <row r="4526" spans="1:20" ht="45.75" customHeight="1" x14ac:dyDescent="0.3">
      <c r="A4526" s="1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</row>
    <row r="4527" spans="1:20" ht="45.75" customHeight="1" x14ac:dyDescent="0.3">
      <c r="A4527" s="1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</row>
    <row r="4528" spans="1:20" ht="45.75" customHeight="1" x14ac:dyDescent="0.3">
      <c r="A4528" s="1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</row>
    <row r="4529" spans="1:20" ht="45.75" customHeight="1" x14ac:dyDescent="0.3">
      <c r="A4529" s="1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</row>
    <row r="4530" spans="1:20" ht="45.75" customHeight="1" x14ac:dyDescent="0.3">
      <c r="A4530" s="1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</row>
    <row r="4531" spans="1:20" ht="45.75" customHeight="1" x14ac:dyDescent="0.3">
      <c r="A4531" s="1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</row>
    <row r="4532" spans="1:20" ht="45.75" customHeight="1" x14ac:dyDescent="0.3">
      <c r="A4532" s="1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</row>
    <row r="4533" spans="1:20" ht="45.75" customHeight="1" x14ac:dyDescent="0.3">
      <c r="A4533" s="1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</row>
    <row r="4534" spans="1:20" ht="45.75" customHeight="1" x14ac:dyDescent="0.3">
      <c r="A4534" s="1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</row>
    <row r="4535" spans="1:20" ht="45.75" customHeight="1" x14ac:dyDescent="0.3">
      <c r="A4535" s="1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</row>
    <row r="4536" spans="1:20" ht="45.75" customHeight="1" x14ac:dyDescent="0.3">
      <c r="A4536" s="1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</row>
    <row r="4537" spans="1:20" ht="45.75" customHeight="1" x14ac:dyDescent="0.3">
      <c r="A4537" s="1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</row>
    <row r="4538" spans="1:20" ht="45.75" customHeight="1" x14ac:dyDescent="0.3">
      <c r="A4538" s="1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</row>
    <row r="4539" spans="1:20" ht="45.75" customHeight="1" x14ac:dyDescent="0.3">
      <c r="A4539" s="1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</row>
    <row r="4540" spans="1:20" ht="45.75" customHeight="1" x14ac:dyDescent="0.3">
      <c r="A4540" s="1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</row>
    <row r="4541" spans="1:20" ht="45.75" customHeight="1" x14ac:dyDescent="0.3">
      <c r="A4541" s="1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</row>
    <row r="4542" spans="1:20" ht="45.75" customHeight="1" x14ac:dyDescent="0.3">
      <c r="A4542" s="1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</row>
    <row r="4543" spans="1:20" ht="45.75" customHeight="1" x14ac:dyDescent="0.3">
      <c r="A4543" s="1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</row>
    <row r="4544" spans="1:20" ht="45.75" customHeight="1" x14ac:dyDescent="0.3">
      <c r="A4544" s="1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</row>
    <row r="4545" spans="1:20" ht="45.75" customHeight="1" x14ac:dyDescent="0.3">
      <c r="A4545" s="1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</row>
    <row r="4546" spans="1:20" ht="45.75" customHeight="1" x14ac:dyDescent="0.3">
      <c r="A4546" s="1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</row>
    <row r="4547" spans="1:20" ht="45.75" customHeight="1" x14ac:dyDescent="0.3">
      <c r="A4547" s="1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</row>
    <row r="4548" spans="1:20" ht="45.75" customHeight="1" x14ac:dyDescent="0.3">
      <c r="A4548" s="1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</row>
    <row r="4549" spans="1:20" ht="45.75" customHeight="1" x14ac:dyDescent="0.3">
      <c r="A4549" s="1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</row>
    <row r="4550" spans="1:20" ht="45.75" customHeight="1" x14ac:dyDescent="0.3">
      <c r="A4550" s="1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</row>
    <row r="4551" spans="1:20" ht="45.75" customHeight="1" x14ac:dyDescent="0.3">
      <c r="A4551" s="1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</row>
    <row r="4552" spans="1:20" ht="45.75" customHeight="1" x14ac:dyDescent="0.3">
      <c r="A4552" s="1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</row>
    <row r="4553" spans="1:20" ht="45.75" customHeight="1" x14ac:dyDescent="0.3">
      <c r="A4553" s="1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</row>
    <row r="4554" spans="1:20" ht="45.75" customHeight="1" x14ac:dyDescent="0.3">
      <c r="A4554" s="1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</row>
    <row r="4555" spans="1:20" ht="45.75" customHeight="1" x14ac:dyDescent="0.3">
      <c r="A4555" s="1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</row>
    <row r="4556" spans="1:20" ht="45.75" customHeight="1" x14ac:dyDescent="0.3">
      <c r="A4556" s="1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</row>
    <row r="4557" spans="1:20" ht="45.75" customHeight="1" x14ac:dyDescent="0.3">
      <c r="A4557" s="1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</row>
    <row r="4558" spans="1:20" ht="45.75" customHeight="1" x14ac:dyDescent="0.3">
      <c r="A4558" s="1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</row>
    <row r="4559" spans="1:20" ht="45.75" customHeight="1" x14ac:dyDescent="0.3">
      <c r="A4559" s="1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</row>
    <row r="4560" spans="1:20" ht="45.75" customHeight="1" x14ac:dyDescent="0.3">
      <c r="A4560" s="1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</row>
    <row r="4561" spans="1:20" ht="45.75" customHeight="1" x14ac:dyDescent="0.3">
      <c r="A4561" s="1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</row>
    <row r="4562" spans="1:20" ht="45.75" customHeight="1" x14ac:dyDescent="0.3">
      <c r="A4562" s="1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</row>
    <row r="4563" spans="1:20" ht="45.75" customHeight="1" x14ac:dyDescent="0.3">
      <c r="A4563" s="1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</row>
    <row r="4564" spans="1:20" ht="45.75" customHeight="1" x14ac:dyDescent="0.3">
      <c r="A4564" s="1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</row>
    <row r="4565" spans="1:20" ht="45.75" customHeight="1" x14ac:dyDescent="0.3">
      <c r="A4565" s="1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</row>
    <row r="4566" spans="1:20" ht="45.75" customHeight="1" x14ac:dyDescent="0.3">
      <c r="A4566" s="1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</row>
    <row r="4567" spans="1:20" ht="45.75" customHeight="1" x14ac:dyDescent="0.3">
      <c r="A4567" s="1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</row>
    <row r="4568" spans="1:20" ht="45.75" customHeight="1" x14ac:dyDescent="0.3">
      <c r="A4568" s="1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</row>
    <row r="4569" spans="1:20" ht="45.75" customHeight="1" x14ac:dyDescent="0.3">
      <c r="A4569" s="1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</row>
    <row r="4570" spans="1:20" ht="45.75" customHeight="1" x14ac:dyDescent="0.3">
      <c r="A4570" s="1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</row>
    <row r="4571" spans="1:20" ht="45.75" customHeight="1" x14ac:dyDescent="0.3">
      <c r="A4571" s="1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</row>
    <row r="4572" spans="1:20" ht="45.75" customHeight="1" x14ac:dyDescent="0.3">
      <c r="A4572" s="1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</row>
    <row r="4573" spans="1:20" ht="45.75" customHeight="1" x14ac:dyDescent="0.3">
      <c r="A4573" s="1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</row>
    <row r="4574" spans="1:20" ht="45.75" customHeight="1" x14ac:dyDescent="0.3">
      <c r="A4574" s="1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</row>
    <row r="4575" spans="1:20" ht="45.75" customHeight="1" x14ac:dyDescent="0.3">
      <c r="A4575" s="1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</row>
    <row r="4576" spans="1:20" ht="45.75" customHeight="1" x14ac:dyDescent="0.3">
      <c r="A4576" s="1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</row>
    <row r="4577" spans="1:20" ht="45.75" customHeight="1" x14ac:dyDescent="0.3">
      <c r="A4577" s="1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</row>
    <row r="4578" spans="1:20" ht="45.75" customHeight="1" x14ac:dyDescent="0.3">
      <c r="A4578" s="1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</row>
    <row r="4579" spans="1:20" ht="45.75" customHeight="1" x14ac:dyDescent="0.3">
      <c r="A4579" s="1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</row>
    <row r="4580" spans="1:20" ht="45.75" customHeight="1" x14ac:dyDescent="0.3">
      <c r="A4580" s="1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</row>
    <row r="4581" spans="1:20" ht="45.75" customHeight="1" x14ac:dyDescent="0.3">
      <c r="A4581" s="1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</row>
    <row r="4582" spans="1:20" ht="45.75" customHeight="1" x14ac:dyDescent="0.3">
      <c r="A4582" s="1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</row>
    <row r="4583" spans="1:20" ht="45.75" customHeight="1" x14ac:dyDescent="0.3">
      <c r="A4583" s="1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</row>
    <row r="4584" spans="1:20" ht="45.75" customHeight="1" x14ac:dyDescent="0.3">
      <c r="A4584" s="1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</row>
    <row r="4585" spans="1:20" ht="45.75" customHeight="1" x14ac:dyDescent="0.3">
      <c r="A4585" s="1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</row>
    <row r="4586" spans="1:20" ht="45.75" customHeight="1" x14ac:dyDescent="0.3">
      <c r="A4586" s="1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</row>
    <row r="4587" spans="1:20" ht="45.75" customHeight="1" x14ac:dyDescent="0.3">
      <c r="A4587" s="1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</row>
    <row r="4588" spans="1:20" ht="45.75" customHeight="1" x14ac:dyDescent="0.3">
      <c r="A4588" s="1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</row>
    <row r="4589" spans="1:20" ht="45.75" customHeight="1" x14ac:dyDescent="0.3">
      <c r="A4589" s="1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</row>
    <row r="4590" spans="1:20" ht="45.75" customHeight="1" x14ac:dyDescent="0.3">
      <c r="A4590" s="1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</row>
    <row r="4591" spans="1:20" ht="45.75" customHeight="1" x14ac:dyDescent="0.3">
      <c r="A4591" s="1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</row>
    <row r="4592" spans="1:20" ht="45.75" customHeight="1" x14ac:dyDescent="0.3">
      <c r="A4592" s="1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</row>
    <row r="4593" spans="1:20" ht="45.75" customHeight="1" x14ac:dyDescent="0.3">
      <c r="A4593" s="1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</row>
    <row r="4594" spans="1:20" ht="45.75" customHeight="1" x14ac:dyDescent="0.3">
      <c r="A4594" s="1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</row>
    <row r="4595" spans="1:20" ht="45.75" customHeight="1" x14ac:dyDescent="0.3">
      <c r="A4595" s="1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</row>
    <row r="4596" spans="1:20" ht="45.75" customHeight="1" x14ac:dyDescent="0.3">
      <c r="A4596" s="1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</row>
    <row r="4597" spans="1:20" ht="45.75" customHeight="1" x14ac:dyDescent="0.3">
      <c r="A4597" s="1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</row>
    <row r="4598" spans="1:20" ht="45.75" customHeight="1" x14ac:dyDescent="0.3">
      <c r="A4598" s="1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</row>
    <row r="4599" spans="1:20" ht="45.75" customHeight="1" x14ac:dyDescent="0.3">
      <c r="A4599" s="1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</row>
    <row r="4600" spans="1:20" ht="45.75" customHeight="1" x14ac:dyDescent="0.3">
      <c r="A4600" s="1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</row>
    <row r="4601" spans="1:20" ht="45.75" customHeight="1" x14ac:dyDescent="0.3">
      <c r="A4601" s="1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</row>
    <row r="4602" spans="1:20" ht="45.75" customHeight="1" x14ac:dyDescent="0.3">
      <c r="A4602" s="1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</row>
    <row r="4603" spans="1:20" ht="45.75" customHeight="1" x14ac:dyDescent="0.3">
      <c r="A4603" s="1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</row>
    <row r="4604" spans="1:20" ht="45.75" customHeight="1" x14ac:dyDescent="0.3">
      <c r="A4604" s="1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</row>
    <row r="4605" spans="1:20" ht="45.75" customHeight="1" x14ac:dyDescent="0.3">
      <c r="A4605" s="1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</row>
    <row r="4606" spans="1:20" ht="45.75" customHeight="1" x14ac:dyDescent="0.3">
      <c r="A4606" s="1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</row>
    <row r="4607" spans="1:20" ht="45.75" customHeight="1" x14ac:dyDescent="0.3">
      <c r="A4607" s="1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</row>
    <row r="4608" spans="1:20" ht="45.75" customHeight="1" x14ac:dyDescent="0.3">
      <c r="A4608" s="1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</row>
    <row r="4609" spans="1:20" ht="45.75" customHeight="1" x14ac:dyDescent="0.3">
      <c r="A4609" s="1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</row>
    <row r="4610" spans="1:20" ht="45.75" customHeight="1" x14ac:dyDescent="0.3">
      <c r="A4610" s="1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</row>
    <row r="4611" spans="1:20" ht="45.75" customHeight="1" x14ac:dyDescent="0.3">
      <c r="A4611" s="1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</row>
    <row r="4612" spans="1:20" ht="45.75" customHeight="1" x14ac:dyDescent="0.3">
      <c r="A4612" s="1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</row>
    <row r="4613" spans="1:20" ht="45.75" customHeight="1" x14ac:dyDescent="0.3">
      <c r="A4613" s="1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</row>
    <row r="4614" spans="1:20" ht="45.75" customHeight="1" x14ac:dyDescent="0.3">
      <c r="A4614" s="1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</row>
    <row r="4615" spans="1:20" ht="45.75" customHeight="1" x14ac:dyDescent="0.3">
      <c r="A4615" s="1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</row>
    <row r="4616" spans="1:20" ht="45.75" customHeight="1" x14ac:dyDescent="0.3">
      <c r="A4616" s="1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</row>
    <row r="4617" spans="1:20" ht="45.75" customHeight="1" x14ac:dyDescent="0.3">
      <c r="A4617" s="1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</row>
    <row r="4618" spans="1:20" ht="45.75" customHeight="1" x14ac:dyDescent="0.3">
      <c r="A4618" s="1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</row>
    <row r="4619" spans="1:20" ht="45.75" customHeight="1" x14ac:dyDescent="0.3">
      <c r="A4619" s="1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</row>
    <row r="4620" spans="1:20" ht="45.75" customHeight="1" x14ac:dyDescent="0.3">
      <c r="A4620" s="1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</row>
    <row r="4621" spans="1:20" ht="45.75" customHeight="1" x14ac:dyDescent="0.3">
      <c r="A4621" s="1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</row>
    <row r="4622" spans="1:20" ht="45.75" customHeight="1" x14ac:dyDescent="0.3">
      <c r="A4622" s="1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</row>
    <row r="4623" spans="1:20" ht="45.75" customHeight="1" x14ac:dyDescent="0.3">
      <c r="A4623" s="1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</row>
    <row r="4624" spans="1:20" ht="45.75" customHeight="1" x14ac:dyDescent="0.3">
      <c r="A4624" s="1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</row>
    <row r="4625" spans="1:20" ht="45.75" customHeight="1" x14ac:dyDescent="0.3">
      <c r="A4625" s="1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</row>
    <row r="4626" spans="1:20" ht="45.75" customHeight="1" x14ac:dyDescent="0.3">
      <c r="A4626" s="1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</row>
    <row r="4627" spans="1:20" ht="45.75" customHeight="1" x14ac:dyDescent="0.3">
      <c r="A4627" s="1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</row>
    <row r="4628" spans="1:20" ht="45.75" customHeight="1" x14ac:dyDescent="0.3">
      <c r="A4628" s="1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</row>
    <row r="4629" spans="1:20" ht="45.75" customHeight="1" x14ac:dyDescent="0.3">
      <c r="A4629" s="1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</row>
    <row r="4630" spans="1:20" ht="45.75" customHeight="1" x14ac:dyDescent="0.3">
      <c r="A4630" s="1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</row>
    <row r="4631" spans="1:20" ht="45.75" customHeight="1" x14ac:dyDescent="0.3">
      <c r="A4631" s="1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</row>
    <row r="4632" spans="1:20" ht="45.75" customHeight="1" x14ac:dyDescent="0.3">
      <c r="A4632" s="1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</row>
    <row r="4633" spans="1:20" ht="45.75" customHeight="1" x14ac:dyDescent="0.3">
      <c r="A4633" s="1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</row>
    <row r="4634" spans="1:20" ht="45.75" customHeight="1" x14ac:dyDescent="0.3">
      <c r="A4634" s="1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</row>
    <row r="4635" spans="1:20" ht="45.75" customHeight="1" x14ac:dyDescent="0.3">
      <c r="A4635" s="1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</row>
    <row r="4636" spans="1:20" ht="45.75" customHeight="1" x14ac:dyDescent="0.3">
      <c r="A4636" s="1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</row>
    <row r="4637" spans="1:20" ht="45.75" customHeight="1" x14ac:dyDescent="0.3">
      <c r="A4637" s="1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</row>
    <row r="4638" spans="1:20" ht="45.75" customHeight="1" x14ac:dyDescent="0.3">
      <c r="A4638" s="1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</row>
    <row r="4639" spans="1:20" ht="45.75" customHeight="1" x14ac:dyDescent="0.3">
      <c r="A4639" s="1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</row>
    <row r="4640" spans="1:20" ht="45.75" customHeight="1" x14ac:dyDescent="0.3">
      <c r="A4640" s="1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</row>
    <row r="4641" spans="1:20" ht="45.75" customHeight="1" x14ac:dyDescent="0.3">
      <c r="A4641" s="1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</row>
    <row r="4642" spans="1:20" ht="45.75" customHeight="1" x14ac:dyDescent="0.3">
      <c r="A4642" s="1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</row>
    <row r="4643" spans="1:20" ht="45.75" customHeight="1" x14ac:dyDescent="0.3">
      <c r="A4643" s="1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</row>
    <row r="4644" spans="1:20" ht="45.75" customHeight="1" x14ac:dyDescent="0.3">
      <c r="A4644" s="1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</row>
    <row r="4645" spans="1:20" ht="45.75" customHeight="1" x14ac:dyDescent="0.3">
      <c r="A4645" s="1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</row>
    <row r="4646" spans="1:20" ht="45.75" customHeight="1" x14ac:dyDescent="0.3">
      <c r="A4646" s="1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</row>
    <row r="4647" spans="1:20" ht="45.75" customHeight="1" x14ac:dyDescent="0.3">
      <c r="A4647" s="1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</row>
    <row r="4648" spans="1:20" ht="45.75" customHeight="1" x14ac:dyDescent="0.3">
      <c r="A4648" s="1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</row>
    <row r="4649" spans="1:20" ht="45.75" customHeight="1" x14ac:dyDescent="0.3">
      <c r="A4649" s="1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</row>
    <row r="4650" spans="1:20" ht="45.75" customHeight="1" x14ac:dyDescent="0.3">
      <c r="A4650" s="1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</row>
    <row r="4651" spans="1:20" ht="45.75" customHeight="1" x14ac:dyDescent="0.3">
      <c r="A4651" s="1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</row>
    <row r="4652" spans="1:20" ht="45.75" customHeight="1" x14ac:dyDescent="0.3">
      <c r="A4652" s="1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</row>
    <row r="4653" spans="1:20" ht="45.75" customHeight="1" x14ac:dyDescent="0.3">
      <c r="A4653" s="1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</row>
    <row r="4654" spans="1:20" ht="45.75" customHeight="1" x14ac:dyDescent="0.3">
      <c r="A4654" s="1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</row>
    <row r="4655" spans="1:20" ht="45.75" customHeight="1" x14ac:dyDescent="0.3">
      <c r="A4655" s="1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</row>
    <row r="4656" spans="1:20" ht="45.75" customHeight="1" x14ac:dyDescent="0.3">
      <c r="A4656" s="1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</row>
    <row r="4657" spans="1:20" ht="45.75" customHeight="1" x14ac:dyDescent="0.3">
      <c r="A4657" s="1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</row>
    <row r="4658" spans="1:20" ht="45.75" customHeight="1" x14ac:dyDescent="0.3">
      <c r="A4658" s="1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</row>
    <row r="4659" spans="1:20" ht="45.75" customHeight="1" x14ac:dyDescent="0.3">
      <c r="A4659" s="1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</row>
    <row r="4660" spans="1:20" ht="45.75" customHeight="1" x14ac:dyDescent="0.3">
      <c r="A4660" s="1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</row>
    <row r="4661" spans="1:20" ht="45.75" customHeight="1" x14ac:dyDescent="0.3">
      <c r="A4661" s="1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</row>
    <row r="4662" spans="1:20" ht="45.75" customHeight="1" x14ac:dyDescent="0.3">
      <c r="A4662" s="1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</row>
    <row r="4663" spans="1:20" ht="45.75" customHeight="1" x14ac:dyDescent="0.3">
      <c r="A4663" s="1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</row>
    <row r="4664" spans="1:20" ht="45.75" customHeight="1" x14ac:dyDescent="0.3">
      <c r="A4664" s="1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</row>
    <row r="4665" spans="1:20" ht="45.75" customHeight="1" x14ac:dyDescent="0.3">
      <c r="A4665" s="1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</row>
    <row r="4666" spans="1:20" ht="45.75" customHeight="1" x14ac:dyDescent="0.3">
      <c r="A4666" s="1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</row>
    <row r="4667" spans="1:20" ht="45.75" customHeight="1" x14ac:dyDescent="0.3">
      <c r="A4667" s="1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</row>
    <row r="4668" spans="1:20" ht="45.75" customHeight="1" x14ac:dyDescent="0.3">
      <c r="A4668" s="1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</row>
    <row r="4669" spans="1:20" ht="45.75" customHeight="1" x14ac:dyDescent="0.3">
      <c r="A4669" s="1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</row>
    <row r="4670" spans="1:20" ht="45.75" customHeight="1" x14ac:dyDescent="0.3">
      <c r="A4670" s="1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</row>
    <row r="4671" spans="1:20" ht="45.75" customHeight="1" x14ac:dyDescent="0.3">
      <c r="A4671" s="1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</row>
    <row r="4672" spans="1:20" ht="45.75" customHeight="1" x14ac:dyDescent="0.3">
      <c r="A4672" s="1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</row>
    <row r="4673" spans="1:20" ht="45.75" customHeight="1" x14ac:dyDescent="0.3">
      <c r="A4673" s="1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</row>
    <row r="4674" spans="1:20" ht="45.75" customHeight="1" x14ac:dyDescent="0.3">
      <c r="A4674" s="1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</row>
    <row r="4675" spans="1:20" ht="45.75" customHeight="1" x14ac:dyDescent="0.3">
      <c r="A4675" s="1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</row>
    <row r="4676" spans="1:20" ht="45.75" customHeight="1" x14ac:dyDescent="0.3">
      <c r="A4676" s="1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</row>
    <row r="4677" spans="1:20" ht="45.75" customHeight="1" x14ac:dyDescent="0.3">
      <c r="A4677" s="1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</row>
    <row r="4678" spans="1:20" ht="45.75" customHeight="1" x14ac:dyDescent="0.3">
      <c r="A4678" s="1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</row>
    <row r="4679" spans="1:20" ht="45.75" customHeight="1" x14ac:dyDescent="0.3">
      <c r="A4679" s="1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</row>
    <row r="4680" spans="1:20" ht="45.75" customHeight="1" x14ac:dyDescent="0.3">
      <c r="A4680" s="1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</row>
    <row r="4681" spans="1:20" ht="45.75" customHeight="1" x14ac:dyDescent="0.3">
      <c r="A4681" s="1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</row>
    <row r="4682" spans="1:20" ht="45.75" customHeight="1" x14ac:dyDescent="0.3">
      <c r="A4682" s="1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</row>
    <row r="4683" spans="1:20" ht="45.75" customHeight="1" x14ac:dyDescent="0.3">
      <c r="A4683" s="1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</row>
    <row r="4684" spans="1:20" ht="45.75" customHeight="1" x14ac:dyDescent="0.3">
      <c r="A4684" s="1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</row>
    <row r="4685" spans="1:20" ht="45.75" customHeight="1" x14ac:dyDescent="0.3">
      <c r="A4685" s="1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</row>
    <row r="4686" spans="1:20" ht="45.75" customHeight="1" x14ac:dyDescent="0.3">
      <c r="A4686" s="1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</row>
    <row r="4687" spans="1:20" ht="45.75" customHeight="1" x14ac:dyDescent="0.3">
      <c r="A4687" s="1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</row>
    <row r="4688" spans="1:20" ht="45.75" customHeight="1" x14ac:dyDescent="0.3">
      <c r="A4688" s="1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</row>
    <row r="4689" spans="1:20" ht="45.75" customHeight="1" x14ac:dyDescent="0.3">
      <c r="A4689" s="1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</row>
    <row r="4690" spans="1:20" ht="45.75" customHeight="1" x14ac:dyDescent="0.3">
      <c r="A4690" s="1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</row>
    <row r="4691" spans="1:20" ht="45.75" customHeight="1" x14ac:dyDescent="0.3">
      <c r="A4691" s="1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</row>
    <row r="4692" spans="1:20" ht="45.75" customHeight="1" x14ac:dyDescent="0.3">
      <c r="A4692" s="1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</row>
    <row r="4693" spans="1:20" ht="45.75" customHeight="1" x14ac:dyDescent="0.3">
      <c r="A4693" s="1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</row>
    <row r="4694" spans="1:20" ht="45.75" customHeight="1" x14ac:dyDescent="0.3">
      <c r="A4694" s="1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</row>
    <row r="4695" spans="1:20" ht="45.75" customHeight="1" x14ac:dyDescent="0.3">
      <c r="A4695" s="1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</row>
    <row r="4696" spans="1:20" ht="45.75" customHeight="1" x14ac:dyDescent="0.3">
      <c r="A4696" s="1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</row>
    <row r="4697" spans="1:20" ht="45.75" customHeight="1" x14ac:dyDescent="0.3">
      <c r="A4697" s="1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</row>
    <row r="4698" spans="1:20" ht="45.75" customHeight="1" x14ac:dyDescent="0.3">
      <c r="A4698" s="1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</row>
    <row r="4699" spans="1:20" ht="45.75" customHeight="1" x14ac:dyDescent="0.3">
      <c r="A4699" s="1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</row>
    <row r="4700" spans="1:20" ht="45.75" customHeight="1" x14ac:dyDescent="0.3">
      <c r="A4700" s="1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</row>
    <row r="4701" spans="1:20" ht="45.75" customHeight="1" x14ac:dyDescent="0.3">
      <c r="A4701" s="1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</row>
    <row r="4702" spans="1:20" ht="45.75" customHeight="1" x14ac:dyDescent="0.3">
      <c r="A4702" s="1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</row>
    <row r="4703" spans="1:20" ht="45.75" customHeight="1" x14ac:dyDescent="0.3">
      <c r="A4703" s="1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</row>
    <row r="4704" spans="1:20" ht="45.75" customHeight="1" x14ac:dyDescent="0.3">
      <c r="A4704" s="1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</row>
    <row r="4705" spans="1:20" ht="45.75" customHeight="1" x14ac:dyDescent="0.3">
      <c r="A4705" s="1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</row>
    <row r="4706" spans="1:20" ht="45.75" customHeight="1" x14ac:dyDescent="0.3">
      <c r="A4706" s="1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</row>
    <row r="4707" spans="1:20" ht="45.75" customHeight="1" x14ac:dyDescent="0.3">
      <c r="A4707" s="1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</row>
    <row r="4708" spans="1:20" ht="45.75" customHeight="1" x14ac:dyDescent="0.3">
      <c r="A4708" s="1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</row>
    <row r="4709" spans="1:20" ht="45.75" customHeight="1" x14ac:dyDescent="0.3">
      <c r="A4709" s="1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</row>
    <row r="4710" spans="1:20" ht="45.75" customHeight="1" x14ac:dyDescent="0.3">
      <c r="A4710" s="1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</row>
    <row r="4711" spans="1:20" ht="45.75" customHeight="1" x14ac:dyDescent="0.3">
      <c r="A4711" s="1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</row>
    <row r="4712" spans="1:20" ht="45.75" customHeight="1" x14ac:dyDescent="0.3">
      <c r="A4712" s="1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</row>
    <row r="4713" spans="1:20" ht="45.75" customHeight="1" x14ac:dyDescent="0.3">
      <c r="A4713" s="1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</row>
    <row r="4714" spans="1:20" ht="45.75" customHeight="1" x14ac:dyDescent="0.3">
      <c r="A4714" s="1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</row>
    <row r="4715" spans="1:20" ht="45.75" customHeight="1" x14ac:dyDescent="0.3">
      <c r="A4715" s="1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</row>
    <row r="4716" spans="1:20" ht="45.75" customHeight="1" x14ac:dyDescent="0.3">
      <c r="A4716" s="1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</row>
    <row r="4717" spans="1:20" ht="45.75" customHeight="1" x14ac:dyDescent="0.3">
      <c r="A4717" s="1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</row>
    <row r="4718" spans="1:20" ht="45.75" customHeight="1" x14ac:dyDescent="0.3">
      <c r="A4718" s="1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</row>
    <row r="4719" spans="1:20" ht="45.75" customHeight="1" x14ac:dyDescent="0.3">
      <c r="A4719" s="1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</row>
    <row r="4720" spans="1:20" ht="45.75" customHeight="1" x14ac:dyDescent="0.3">
      <c r="A4720" s="1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</row>
    <row r="4721" spans="1:20" ht="45.75" customHeight="1" x14ac:dyDescent="0.3">
      <c r="A4721" s="1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</row>
    <row r="4722" spans="1:20" ht="45.75" customHeight="1" x14ac:dyDescent="0.3">
      <c r="A4722" s="1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</row>
    <row r="4723" spans="1:20" ht="45.75" customHeight="1" x14ac:dyDescent="0.3">
      <c r="A4723" s="1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</row>
    <row r="4724" spans="1:20" ht="45.75" customHeight="1" x14ac:dyDescent="0.3">
      <c r="A4724" s="1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</row>
    <row r="4725" spans="1:20" ht="45.75" customHeight="1" x14ac:dyDescent="0.3">
      <c r="A4725" s="1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</row>
    <row r="4726" spans="1:20" ht="45.75" customHeight="1" x14ac:dyDescent="0.3">
      <c r="A4726" s="1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</row>
    <row r="4727" spans="1:20" ht="45.75" customHeight="1" x14ac:dyDescent="0.3">
      <c r="A4727" s="1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</row>
    <row r="4728" spans="1:20" ht="45.75" customHeight="1" x14ac:dyDescent="0.3">
      <c r="A4728" s="1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</row>
    <row r="4729" spans="1:20" ht="45.75" customHeight="1" x14ac:dyDescent="0.3">
      <c r="A4729" s="1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</row>
    <row r="4730" spans="1:20" ht="45.75" customHeight="1" x14ac:dyDescent="0.3">
      <c r="A4730" s="1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</row>
    <row r="4731" spans="1:20" ht="45.75" customHeight="1" x14ac:dyDescent="0.3">
      <c r="A4731" s="1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</row>
    <row r="4732" spans="1:20" ht="45.75" customHeight="1" x14ac:dyDescent="0.3">
      <c r="A4732" s="1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</row>
    <row r="4733" spans="1:20" ht="45.75" customHeight="1" x14ac:dyDescent="0.3">
      <c r="A4733" s="1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</row>
    <row r="4734" spans="1:20" ht="45.75" customHeight="1" x14ac:dyDescent="0.3">
      <c r="A4734" s="1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</row>
    <row r="4735" spans="1:20" ht="45.75" customHeight="1" x14ac:dyDescent="0.3">
      <c r="A4735" s="1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</row>
    <row r="4736" spans="1:20" ht="45.75" customHeight="1" x14ac:dyDescent="0.3">
      <c r="A4736" s="1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</row>
    <row r="4737" spans="1:20" ht="45.75" customHeight="1" x14ac:dyDescent="0.3">
      <c r="A4737" s="1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</row>
    <row r="4738" spans="1:20" ht="45.75" customHeight="1" x14ac:dyDescent="0.3">
      <c r="A4738" s="1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</row>
    <row r="4739" spans="1:20" ht="45.75" customHeight="1" x14ac:dyDescent="0.3">
      <c r="A4739" s="1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</row>
    <row r="4740" spans="1:20" ht="45.75" customHeight="1" x14ac:dyDescent="0.3">
      <c r="A4740" s="1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</row>
    <row r="4741" spans="1:20" ht="45.75" customHeight="1" x14ac:dyDescent="0.3">
      <c r="A4741" s="1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</row>
    <row r="4742" spans="1:20" ht="45.75" customHeight="1" x14ac:dyDescent="0.3">
      <c r="A4742" s="1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</row>
    <row r="4743" spans="1:20" ht="45.75" customHeight="1" x14ac:dyDescent="0.3">
      <c r="A4743" s="1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</row>
    <row r="4744" spans="1:20" ht="45.75" customHeight="1" x14ac:dyDescent="0.3">
      <c r="A4744" s="1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</row>
    <row r="4745" spans="1:20" ht="45.75" customHeight="1" x14ac:dyDescent="0.3">
      <c r="A4745" s="1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</row>
    <row r="4746" spans="1:20" ht="45.75" customHeight="1" x14ac:dyDescent="0.3">
      <c r="A4746" s="1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</row>
    <row r="4747" spans="1:20" ht="45.75" customHeight="1" x14ac:dyDescent="0.3">
      <c r="A4747" s="1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</row>
    <row r="4748" spans="1:20" ht="45.75" customHeight="1" x14ac:dyDescent="0.3">
      <c r="A4748" s="1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</row>
    <row r="4749" spans="1:20" ht="45.75" customHeight="1" x14ac:dyDescent="0.3">
      <c r="A4749" s="1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</row>
    <row r="4750" spans="1:20" ht="45.75" customHeight="1" x14ac:dyDescent="0.3">
      <c r="A4750" s="1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</row>
    <row r="4751" spans="1:20" ht="45.75" customHeight="1" x14ac:dyDescent="0.3">
      <c r="A4751" s="1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</row>
    <row r="4752" spans="1:20" ht="45.75" customHeight="1" x14ac:dyDescent="0.3">
      <c r="A4752" s="1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</row>
    <row r="4753" spans="1:20" ht="45.75" customHeight="1" x14ac:dyDescent="0.3">
      <c r="A4753" s="1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</row>
    <row r="4754" spans="1:20" ht="45.75" customHeight="1" x14ac:dyDescent="0.3">
      <c r="A4754" s="1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</row>
    <row r="4755" spans="1:20" ht="45.75" customHeight="1" x14ac:dyDescent="0.3">
      <c r="A4755" s="1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</row>
    <row r="4756" spans="1:20" ht="45.75" customHeight="1" x14ac:dyDescent="0.3">
      <c r="A4756" s="1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</row>
    <row r="4757" spans="1:20" ht="45.75" customHeight="1" x14ac:dyDescent="0.3">
      <c r="A4757" s="1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</row>
    <row r="4758" spans="1:20" ht="45.75" customHeight="1" x14ac:dyDescent="0.3">
      <c r="A4758" s="1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</row>
    <row r="4759" spans="1:20" ht="45.75" customHeight="1" x14ac:dyDescent="0.3">
      <c r="A4759" s="1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</row>
    <row r="4760" spans="1:20" ht="45.75" customHeight="1" x14ac:dyDescent="0.3">
      <c r="A4760" s="1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</row>
    <row r="4761" spans="1:20" ht="45.75" customHeight="1" x14ac:dyDescent="0.3">
      <c r="A4761" s="1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</row>
    <row r="4762" spans="1:20" ht="45.75" customHeight="1" x14ac:dyDescent="0.3">
      <c r="A4762" s="1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</row>
    <row r="4763" spans="1:20" ht="45.75" customHeight="1" x14ac:dyDescent="0.3">
      <c r="A4763" s="1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</row>
    <row r="4764" spans="1:20" ht="45.75" customHeight="1" x14ac:dyDescent="0.3">
      <c r="A4764" s="1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</row>
    <row r="4765" spans="1:20" ht="45.75" customHeight="1" x14ac:dyDescent="0.3">
      <c r="A4765" s="1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</row>
    <row r="4766" spans="1:20" ht="45.75" customHeight="1" x14ac:dyDescent="0.3">
      <c r="A4766" s="1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</row>
    <row r="4767" spans="1:20" ht="45.75" customHeight="1" x14ac:dyDescent="0.3">
      <c r="A4767" s="1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</row>
    <row r="4768" spans="1:20" ht="45.75" customHeight="1" x14ac:dyDescent="0.3">
      <c r="A4768" s="1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</row>
    <row r="4769" spans="1:20" ht="45.75" customHeight="1" x14ac:dyDescent="0.3">
      <c r="A4769" s="1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</row>
    <row r="4770" spans="1:20" ht="45.75" customHeight="1" x14ac:dyDescent="0.3">
      <c r="A4770" s="1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</row>
    <row r="4771" spans="1:20" ht="45.75" customHeight="1" x14ac:dyDescent="0.3">
      <c r="A4771" s="1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</row>
    <row r="4772" spans="1:20" ht="45.75" customHeight="1" x14ac:dyDescent="0.3">
      <c r="A4772" s="1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</row>
    <row r="4773" spans="1:20" ht="45.75" customHeight="1" x14ac:dyDescent="0.3">
      <c r="A4773" s="1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</row>
    <row r="4774" spans="1:20" ht="45.75" customHeight="1" x14ac:dyDescent="0.3">
      <c r="A4774" s="1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</row>
    <row r="4775" spans="1:20" ht="45.75" customHeight="1" x14ac:dyDescent="0.3">
      <c r="A4775" s="1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</row>
    <row r="4776" spans="1:20" ht="45.75" customHeight="1" x14ac:dyDescent="0.3">
      <c r="A4776" s="1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</row>
    <row r="4777" spans="1:20" ht="45.75" customHeight="1" x14ac:dyDescent="0.3">
      <c r="A4777" s="1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</row>
    <row r="4778" spans="1:20" ht="45.75" customHeight="1" x14ac:dyDescent="0.3">
      <c r="A4778" s="1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</row>
    <row r="4779" spans="1:20" ht="45.75" customHeight="1" x14ac:dyDescent="0.3">
      <c r="A4779" s="1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</row>
    <row r="4780" spans="1:20" ht="45.75" customHeight="1" x14ac:dyDescent="0.3">
      <c r="A4780" s="1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</row>
    <row r="4781" spans="1:20" ht="45.75" customHeight="1" x14ac:dyDescent="0.3">
      <c r="A4781" s="1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</row>
    <row r="4782" spans="1:20" ht="45.75" customHeight="1" x14ac:dyDescent="0.3">
      <c r="A4782" s="1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</row>
    <row r="4783" spans="1:20" ht="45.75" customHeight="1" x14ac:dyDescent="0.3">
      <c r="A4783" s="1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</row>
    <row r="4784" spans="1:20" ht="45.75" customHeight="1" x14ac:dyDescent="0.3">
      <c r="A4784" s="1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</row>
    <row r="4785" spans="1:20" ht="45.75" customHeight="1" x14ac:dyDescent="0.3">
      <c r="A4785" s="1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</row>
    <row r="4786" spans="1:20" ht="45.75" customHeight="1" x14ac:dyDescent="0.3">
      <c r="A4786" s="1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</row>
    <row r="4787" spans="1:20" ht="45.75" customHeight="1" x14ac:dyDescent="0.3">
      <c r="A4787" s="1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</row>
    <row r="4788" spans="1:20" ht="45.75" customHeight="1" x14ac:dyDescent="0.3">
      <c r="A4788" s="1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</row>
    <row r="4789" spans="1:20" ht="45.75" customHeight="1" x14ac:dyDescent="0.3">
      <c r="A4789" s="1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</row>
    <row r="4790" spans="1:20" ht="45.75" customHeight="1" x14ac:dyDescent="0.3">
      <c r="A4790" s="1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</row>
    <row r="4791" spans="1:20" ht="45.75" customHeight="1" x14ac:dyDescent="0.3">
      <c r="A4791" s="1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</row>
    <row r="4792" spans="1:20" ht="45.75" customHeight="1" x14ac:dyDescent="0.3">
      <c r="A4792" s="1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</row>
    <row r="4793" spans="1:20" ht="45.75" customHeight="1" x14ac:dyDescent="0.3">
      <c r="A4793" s="1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</row>
    <row r="4794" spans="1:20" ht="45.75" customHeight="1" x14ac:dyDescent="0.3">
      <c r="A4794" s="1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</row>
    <row r="4795" spans="1:20" ht="45.75" customHeight="1" x14ac:dyDescent="0.3">
      <c r="A4795" s="1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</row>
    <row r="4796" spans="1:20" ht="45.75" customHeight="1" x14ac:dyDescent="0.3">
      <c r="A4796" s="1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</row>
    <row r="4797" spans="1:20" ht="45.75" customHeight="1" x14ac:dyDescent="0.3">
      <c r="A4797" s="1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</row>
    <row r="4798" spans="1:20" ht="45.75" customHeight="1" x14ac:dyDescent="0.3">
      <c r="A4798" s="1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</row>
    <row r="4799" spans="1:20" ht="45.75" customHeight="1" x14ac:dyDescent="0.3">
      <c r="A4799" s="1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</row>
    <row r="4800" spans="1:20" ht="45.75" customHeight="1" x14ac:dyDescent="0.3">
      <c r="A4800" s="1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</row>
    <row r="4801" spans="1:20" ht="45.75" customHeight="1" x14ac:dyDescent="0.3">
      <c r="A4801" s="1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</row>
    <row r="4802" spans="1:20" ht="45.75" customHeight="1" x14ac:dyDescent="0.3">
      <c r="A4802" s="1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</row>
    <row r="4803" spans="1:20" ht="45.75" customHeight="1" x14ac:dyDescent="0.3">
      <c r="A4803" s="1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</row>
    <row r="4804" spans="1:20" ht="45.75" customHeight="1" x14ac:dyDescent="0.3">
      <c r="A4804" s="1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</row>
    <row r="4805" spans="1:20" ht="45.75" customHeight="1" x14ac:dyDescent="0.3">
      <c r="A4805" s="1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</row>
    <row r="4806" spans="1:20" ht="45.75" customHeight="1" x14ac:dyDescent="0.3">
      <c r="A4806" s="1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</row>
    <row r="4807" spans="1:20" ht="45.75" customHeight="1" x14ac:dyDescent="0.3">
      <c r="A4807" s="1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</row>
    <row r="4808" spans="1:20" ht="45.75" customHeight="1" x14ac:dyDescent="0.3">
      <c r="A4808" s="1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</row>
    <row r="4809" spans="1:20" ht="45.75" customHeight="1" x14ac:dyDescent="0.3">
      <c r="A4809" s="1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</row>
    <row r="4810" spans="1:20" ht="45.75" customHeight="1" x14ac:dyDescent="0.3">
      <c r="A4810" s="1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</row>
    <row r="4811" spans="1:20" ht="45.75" customHeight="1" x14ac:dyDescent="0.3">
      <c r="A4811" s="1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</row>
    <row r="4812" spans="1:20" ht="45.75" customHeight="1" x14ac:dyDescent="0.3">
      <c r="A4812" s="1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</row>
    <row r="4813" spans="1:20" ht="45.75" customHeight="1" x14ac:dyDescent="0.3">
      <c r="A4813" s="1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</row>
    <row r="4814" spans="1:20" ht="45.75" customHeight="1" x14ac:dyDescent="0.3">
      <c r="A4814" s="1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</row>
    <row r="4815" spans="1:20" ht="45.75" customHeight="1" x14ac:dyDescent="0.3">
      <c r="A4815" s="1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</row>
    <row r="4816" spans="1:20" ht="45.75" customHeight="1" x14ac:dyDescent="0.3">
      <c r="A4816" s="1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</row>
    <row r="4817" spans="1:20" ht="45.75" customHeight="1" x14ac:dyDescent="0.3">
      <c r="A4817" s="1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</row>
    <row r="4818" spans="1:20" ht="45.75" customHeight="1" x14ac:dyDescent="0.3">
      <c r="A4818" s="1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</row>
    <row r="4819" spans="1:20" ht="45.75" customHeight="1" x14ac:dyDescent="0.3">
      <c r="A4819" s="1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</row>
    <row r="4820" spans="1:20" ht="45.75" customHeight="1" x14ac:dyDescent="0.3">
      <c r="A4820" s="1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</row>
    <row r="4821" spans="1:20" ht="45.75" customHeight="1" x14ac:dyDescent="0.3">
      <c r="A4821" s="1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</row>
    <row r="4822" spans="1:20" ht="45.75" customHeight="1" x14ac:dyDescent="0.3">
      <c r="A4822" s="1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</row>
    <row r="4823" spans="1:20" ht="45.75" customHeight="1" x14ac:dyDescent="0.3">
      <c r="A4823" s="1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</row>
    <row r="4824" spans="1:20" ht="45.75" customHeight="1" x14ac:dyDescent="0.3">
      <c r="A4824" s="1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</row>
    <row r="4825" spans="1:20" ht="45.75" customHeight="1" x14ac:dyDescent="0.3">
      <c r="A4825" s="1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</row>
    <row r="4826" spans="1:20" ht="45.75" customHeight="1" x14ac:dyDescent="0.3">
      <c r="A4826" s="1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</row>
    <row r="4827" spans="1:20" ht="45.75" customHeight="1" x14ac:dyDescent="0.3">
      <c r="A4827" s="1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</row>
    <row r="4828" spans="1:20" ht="45.75" customHeight="1" x14ac:dyDescent="0.3">
      <c r="A4828" s="1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</row>
    <row r="4829" spans="1:20" ht="45.75" customHeight="1" x14ac:dyDescent="0.3">
      <c r="A4829" s="1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</row>
    <row r="4830" spans="1:20" ht="45.75" customHeight="1" x14ac:dyDescent="0.3">
      <c r="A4830" s="1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</row>
    <row r="4831" spans="1:20" ht="45.75" customHeight="1" x14ac:dyDescent="0.3">
      <c r="A4831" s="1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</row>
    <row r="4832" spans="1:20" ht="45.75" customHeight="1" x14ac:dyDescent="0.3">
      <c r="A4832" s="1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</row>
    <row r="4833" spans="1:20" ht="45.75" customHeight="1" x14ac:dyDescent="0.3">
      <c r="A4833" s="1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</row>
    <row r="4834" spans="1:20" ht="45.75" customHeight="1" x14ac:dyDescent="0.3">
      <c r="A4834" s="1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</row>
    <row r="4835" spans="1:20" ht="45.75" customHeight="1" x14ac:dyDescent="0.3">
      <c r="A4835" s="1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</row>
    <row r="4836" spans="1:20" ht="45.75" customHeight="1" x14ac:dyDescent="0.3">
      <c r="A4836" s="1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</row>
    <row r="4837" spans="1:20" ht="45.75" customHeight="1" x14ac:dyDescent="0.3">
      <c r="A4837" s="1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</row>
    <row r="4838" spans="1:20" ht="45.75" customHeight="1" x14ac:dyDescent="0.3">
      <c r="A4838" s="1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</row>
    <row r="4839" spans="1:20" ht="45.75" customHeight="1" x14ac:dyDescent="0.3">
      <c r="A4839" s="1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</row>
    <row r="4840" spans="1:20" ht="45.75" customHeight="1" x14ac:dyDescent="0.3">
      <c r="A4840" s="1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</row>
    <row r="4841" spans="1:20" ht="45.75" customHeight="1" x14ac:dyDescent="0.3">
      <c r="A4841" s="1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</row>
    <row r="4842" spans="1:20" ht="45.75" customHeight="1" x14ac:dyDescent="0.3">
      <c r="A4842" s="1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</row>
    <row r="4843" spans="1:20" ht="45.75" customHeight="1" x14ac:dyDescent="0.3">
      <c r="A4843" s="1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</row>
    <row r="4844" spans="1:20" ht="45.75" customHeight="1" x14ac:dyDescent="0.3">
      <c r="A4844" s="1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</row>
    <row r="4845" spans="1:20" ht="45.75" customHeight="1" x14ac:dyDescent="0.3">
      <c r="A4845" s="1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</row>
    <row r="4846" spans="1:20" ht="45.75" customHeight="1" x14ac:dyDescent="0.3">
      <c r="A4846" s="1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</row>
    <row r="4847" spans="1:20" ht="45.75" customHeight="1" x14ac:dyDescent="0.3">
      <c r="A4847" s="1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</row>
    <row r="4848" spans="1:20" ht="45.75" customHeight="1" x14ac:dyDescent="0.3">
      <c r="A4848" s="1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</row>
    <row r="4849" spans="1:20" ht="45.75" customHeight="1" x14ac:dyDescent="0.3">
      <c r="A4849" s="1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</row>
    <row r="4850" spans="1:20" ht="45.75" customHeight="1" x14ac:dyDescent="0.3">
      <c r="A4850" s="1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</row>
    <row r="4851" spans="1:20" ht="45.75" customHeight="1" x14ac:dyDescent="0.3">
      <c r="A4851" s="1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</row>
    <row r="4852" spans="1:20" ht="45.75" customHeight="1" x14ac:dyDescent="0.3">
      <c r="A4852" s="1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</row>
    <row r="4853" spans="1:20" ht="45.75" customHeight="1" x14ac:dyDescent="0.3">
      <c r="A4853" s="1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</row>
    <row r="4854" spans="1:20" ht="45.75" customHeight="1" x14ac:dyDescent="0.3">
      <c r="A4854" s="1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</row>
    <row r="4855" spans="1:20" ht="45.75" customHeight="1" x14ac:dyDescent="0.3">
      <c r="A4855" s="1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</row>
    <row r="4856" spans="1:20" ht="45.75" customHeight="1" x14ac:dyDescent="0.3">
      <c r="A4856" s="1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</row>
    <row r="4857" spans="1:20" ht="45.75" customHeight="1" x14ac:dyDescent="0.3">
      <c r="A4857" s="1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</row>
    <row r="4858" spans="1:20" ht="45.75" customHeight="1" x14ac:dyDescent="0.3">
      <c r="A4858" s="1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</row>
    <row r="4859" spans="1:20" ht="45.75" customHeight="1" x14ac:dyDescent="0.3">
      <c r="A4859" s="1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</row>
    <row r="4860" spans="1:20" ht="45.75" customHeight="1" x14ac:dyDescent="0.3">
      <c r="A4860" s="1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</row>
    <row r="4861" spans="1:20" ht="45.75" customHeight="1" x14ac:dyDescent="0.3">
      <c r="A4861" s="1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</row>
    <row r="4862" spans="1:20" ht="45.75" customHeight="1" x14ac:dyDescent="0.3">
      <c r="A4862" s="1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</row>
    <row r="4863" spans="1:20" ht="45.75" customHeight="1" x14ac:dyDescent="0.3">
      <c r="A4863" s="1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</row>
    <row r="4864" spans="1:20" ht="45.75" customHeight="1" x14ac:dyDescent="0.3">
      <c r="A4864" s="1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</row>
    <row r="4865" spans="1:20" ht="45.75" customHeight="1" x14ac:dyDescent="0.3">
      <c r="A4865" s="1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</row>
    <row r="4866" spans="1:20" ht="45.75" customHeight="1" x14ac:dyDescent="0.3">
      <c r="A4866" s="1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</row>
    <row r="4867" spans="1:20" ht="45.75" customHeight="1" x14ac:dyDescent="0.3">
      <c r="A4867" s="1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</row>
    <row r="4868" spans="1:20" ht="45.75" customHeight="1" x14ac:dyDescent="0.3">
      <c r="A4868" s="1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</row>
    <row r="4869" spans="1:20" ht="45.75" customHeight="1" x14ac:dyDescent="0.3">
      <c r="A4869" s="1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</row>
    <row r="4870" spans="1:20" ht="45.75" customHeight="1" x14ac:dyDescent="0.3">
      <c r="A4870" s="1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</row>
    <row r="4871" spans="1:20" ht="45.75" customHeight="1" x14ac:dyDescent="0.3">
      <c r="A4871" s="1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</row>
    <row r="4872" spans="1:20" ht="45.75" customHeight="1" x14ac:dyDescent="0.3">
      <c r="A4872" s="1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</row>
    <row r="4873" spans="1:20" ht="45.75" customHeight="1" x14ac:dyDescent="0.3">
      <c r="A4873" s="1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</row>
    <row r="4874" spans="1:20" ht="45.75" customHeight="1" x14ac:dyDescent="0.3">
      <c r="A4874" s="1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</row>
    <row r="4875" spans="1:20" ht="45.75" customHeight="1" x14ac:dyDescent="0.3">
      <c r="A4875" s="1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</row>
    <row r="4876" spans="1:20" ht="45.75" customHeight="1" x14ac:dyDescent="0.3">
      <c r="A4876" s="1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</row>
    <row r="4877" spans="1:20" ht="45.75" customHeight="1" x14ac:dyDescent="0.3">
      <c r="A4877" s="1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</row>
    <row r="4878" spans="1:20" ht="45.75" customHeight="1" x14ac:dyDescent="0.3">
      <c r="A4878" s="1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</row>
    <row r="4879" spans="1:20" ht="45.75" customHeight="1" x14ac:dyDescent="0.3">
      <c r="A4879" s="1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</row>
    <row r="4880" spans="1:20" ht="45.75" customHeight="1" x14ac:dyDescent="0.3">
      <c r="A4880" s="1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</row>
    <row r="4881" spans="1:20" ht="45.75" customHeight="1" x14ac:dyDescent="0.3">
      <c r="A4881" s="1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</row>
    <row r="4882" spans="1:20" ht="45.75" customHeight="1" x14ac:dyDescent="0.3">
      <c r="A4882" s="1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</row>
    <row r="4883" spans="1:20" ht="45.75" customHeight="1" x14ac:dyDescent="0.3">
      <c r="A4883" s="1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</row>
    <row r="4884" spans="1:20" ht="45.75" customHeight="1" x14ac:dyDescent="0.3">
      <c r="A4884" s="1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</row>
    <row r="4885" spans="1:20" ht="45.75" customHeight="1" x14ac:dyDescent="0.3">
      <c r="A4885" s="1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</row>
    <row r="4886" spans="1:20" ht="45.75" customHeight="1" x14ac:dyDescent="0.3">
      <c r="A4886" s="1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</row>
    <row r="4887" spans="1:20" ht="45.75" customHeight="1" x14ac:dyDescent="0.3">
      <c r="A4887" s="1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</row>
    <row r="4888" spans="1:20" ht="45.75" customHeight="1" x14ac:dyDescent="0.3">
      <c r="A4888" s="1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</row>
    <row r="4889" spans="1:20" ht="45.75" customHeight="1" x14ac:dyDescent="0.3">
      <c r="A4889" s="1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</row>
    <row r="4890" spans="1:20" ht="45.75" customHeight="1" x14ac:dyDescent="0.3">
      <c r="A4890" s="1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</row>
    <row r="4891" spans="1:20" ht="45.75" customHeight="1" x14ac:dyDescent="0.3">
      <c r="A4891" s="1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</row>
    <row r="4892" spans="1:20" ht="45.75" customHeight="1" x14ac:dyDescent="0.3">
      <c r="A4892" s="1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</row>
    <row r="4893" spans="1:20" ht="45.75" customHeight="1" x14ac:dyDescent="0.3">
      <c r="A4893" s="1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</row>
    <row r="4894" spans="1:20" ht="45.75" customHeight="1" x14ac:dyDescent="0.3">
      <c r="A4894" s="1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</row>
    <row r="4895" spans="1:20" ht="45.75" customHeight="1" x14ac:dyDescent="0.3">
      <c r="A4895" s="1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</row>
    <row r="4896" spans="1:20" ht="45.75" customHeight="1" x14ac:dyDescent="0.3">
      <c r="A4896" s="1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</row>
    <row r="4897" spans="1:20" ht="45.75" customHeight="1" x14ac:dyDescent="0.3">
      <c r="A4897" s="1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</row>
    <row r="4898" spans="1:20" ht="45.75" customHeight="1" x14ac:dyDescent="0.3">
      <c r="A4898" s="1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</row>
    <row r="4899" spans="1:20" ht="45.75" customHeight="1" x14ac:dyDescent="0.3">
      <c r="A4899" s="1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</row>
    <row r="4900" spans="1:20" ht="45.75" customHeight="1" x14ac:dyDescent="0.3">
      <c r="A4900" s="1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</row>
    <row r="4901" spans="1:20" ht="45.75" customHeight="1" x14ac:dyDescent="0.3">
      <c r="A4901" s="1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</row>
    <row r="4902" spans="1:20" ht="45.75" customHeight="1" x14ac:dyDescent="0.3">
      <c r="A4902" s="1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</row>
    <row r="4903" spans="1:20" ht="45.75" customHeight="1" x14ac:dyDescent="0.3">
      <c r="A4903" s="1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</row>
    <row r="4904" spans="1:20" ht="45.75" customHeight="1" x14ac:dyDescent="0.3">
      <c r="A4904" s="1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</row>
    <row r="4905" spans="1:20" ht="45.75" customHeight="1" x14ac:dyDescent="0.3">
      <c r="A4905" s="1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</row>
    <row r="4906" spans="1:20" ht="45.75" customHeight="1" x14ac:dyDescent="0.3">
      <c r="A4906" s="1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</row>
    <row r="4907" spans="1:20" ht="45.75" customHeight="1" x14ac:dyDescent="0.3">
      <c r="A4907" s="1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</row>
    <row r="4908" spans="1:20" ht="45.75" customHeight="1" x14ac:dyDescent="0.3">
      <c r="A4908" s="1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</row>
    <row r="4909" spans="1:20" ht="45.75" customHeight="1" x14ac:dyDescent="0.3">
      <c r="A4909" s="1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</row>
    <row r="4910" spans="1:20" ht="45.75" customHeight="1" x14ac:dyDescent="0.3">
      <c r="A4910" s="1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</row>
    <row r="4911" spans="1:20" ht="45.75" customHeight="1" x14ac:dyDescent="0.3">
      <c r="A4911" s="1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</row>
    <row r="4912" spans="1:20" ht="45.75" customHeight="1" x14ac:dyDescent="0.3">
      <c r="A4912" s="1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</row>
    <row r="4913" spans="1:20" ht="45.75" customHeight="1" x14ac:dyDescent="0.3">
      <c r="A4913" s="1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</row>
    <row r="4914" spans="1:20" ht="45.75" customHeight="1" x14ac:dyDescent="0.3">
      <c r="A4914" s="1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</row>
    <row r="4915" spans="1:20" ht="45.75" customHeight="1" x14ac:dyDescent="0.3">
      <c r="A4915" s="1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</row>
    <row r="4916" spans="1:20" ht="45.75" customHeight="1" x14ac:dyDescent="0.3">
      <c r="A4916" s="1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</row>
    <row r="4917" spans="1:20" ht="45.75" customHeight="1" x14ac:dyDescent="0.3">
      <c r="A4917" s="1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</row>
    <row r="4918" spans="1:20" ht="45.75" customHeight="1" x14ac:dyDescent="0.3">
      <c r="A4918" s="1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</row>
    <row r="4919" spans="1:20" ht="45.75" customHeight="1" x14ac:dyDescent="0.3">
      <c r="A4919" s="1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</row>
    <row r="4920" spans="1:20" ht="45.75" customHeight="1" x14ac:dyDescent="0.3">
      <c r="A4920" s="1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</row>
    <row r="4921" spans="1:20" ht="45.75" customHeight="1" x14ac:dyDescent="0.3">
      <c r="A4921" s="1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</row>
    <row r="4922" spans="1:20" ht="45.75" customHeight="1" x14ac:dyDescent="0.3">
      <c r="A4922" s="1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</row>
    <row r="4923" spans="1:20" ht="45.75" customHeight="1" x14ac:dyDescent="0.3">
      <c r="A4923" s="1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</row>
    <row r="4924" spans="1:20" ht="45.75" customHeight="1" x14ac:dyDescent="0.3">
      <c r="A4924" s="1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</row>
    <row r="4925" spans="1:20" ht="45.75" customHeight="1" x14ac:dyDescent="0.3">
      <c r="A4925" s="1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</row>
    <row r="4926" spans="1:20" ht="45.75" customHeight="1" x14ac:dyDescent="0.3">
      <c r="A4926" s="1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</row>
    <row r="4927" spans="1:20" ht="45.75" customHeight="1" x14ac:dyDescent="0.3">
      <c r="A4927" s="1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</row>
    <row r="4928" spans="1:20" ht="45.75" customHeight="1" x14ac:dyDescent="0.3">
      <c r="A4928" s="1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</row>
    <row r="4929" spans="1:20" ht="45.75" customHeight="1" x14ac:dyDescent="0.3">
      <c r="A4929" s="1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</row>
    <row r="4930" spans="1:20" ht="45.75" customHeight="1" x14ac:dyDescent="0.3">
      <c r="A4930" s="1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</row>
    <row r="4931" spans="1:20" ht="45.75" customHeight="1" x14ac:dyDescent="0.3">
      <c r="A4931" s="1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</row>
    <row r="4932" spans="1:20" ht="45.75" customHeight="1" x14ac:dyDescent="0.3">
      <c r="A4932" s="1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</row>
    <row r="4933" spans="1:20" ht="45.75" customHeight="1" x14ac:dyDescent="0.3">
      <c r="A4933" s="1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</row>
    <row r="4934" spans="1:20" ht="45.75" customHeight="1" x14ac:dyDescent="0.3">
      <c r="A4934" s="1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</row>
    <row r="4935" spans="1:20" ht="45.75" customHeight="1" x14ac:dyDescent="0.3">
      <c r="A4935" s="1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</row>
    <row r="4936" spans="1:20" ht="45.75" customHeight="1" x14ac:dyDescent="0.3">
      <c r="A4936" s="1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</row>
    <row r="4937" spans="1:20" ht="45.75" customHeight="1" x14ac:dyDescent="0.3">
      <c r="A4937" s="1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</row>
    <row r="4938" spans="1:20" ht="45.75" customHeight="1" x14ac:dyDescent="0.3">
      <c r="A4938" s="1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</row>
    <row r="4939" spans="1:20" ht="45.75" customHeight="1" x14ac:dyDescent="0.3">
      <c r="A4939" s="1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</row>
    <row r="4940" spans="1:20" ht="45.75" customHeight="1" x14ac:dyDescent="0.3">
      <c r="A4940" s="1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</row>
    <row r="4941" spans="1:20" ht="45.75" customHeight="1" x14ac:dyDescent="0.3">
      <c r="A4941" s="1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</row>
    <row r="4942" spans="1:20" ht="45.75" customHeight="1" x14ac:dyDescent="0.3">
      <c r="A4942" s="1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</row>
    <row r="4943" spans="1:20" ht="45.75" customHeight="1" x14ac:dyDescent="0.3">
      <c r="A4943" s="1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</row>
    <row r="4944" spans="1:20" ht="45.75" customHeight="1" x14ac:dyDescent="0.3">
      <c r="A4944" s="1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</row>
    <row r="4945" spans="1:20" ht="45.75" customHeight="1" x14ac:dyDescent="0.3">
      <c r="A4945" s="1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</row>
    <row r="4946" spans="1:20" ht="45.75" customHeight="1" x14ac:dyDescent="0.3">
      <c r="A4946" s="1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</row>
    <row r="4947" spans="1:20" ht="45.75" customHeight="1" x14ac:dyDescent="0.3">
      <c r="A4947" s="1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</row>
    <row r="4948" spans="1:20" ht="45.75" customHeight="1" x14ac:dyDescent="0.3">
      <c r="A4948" s="1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</row>
    <row r="4949" spans="1:20" ht="45.75" customHeight="1" x14ac:dyDescent="0.3">
      <c r="A4949" s="1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</row>
    <row r="4950" spans="1:20" ht="45.75" customHeight="1" x14ac:dyDescent="0.3">
      <c r="A4950" s="1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</row>
    <row r="4951" spans="1:20" ht="45.75" customHeight="1" x14ac:dyDescent="0.3">
      <c r="A4951" s="1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</row>
    <row r="4952" spans="1:20" ht="45.75" customHeight="1" x14ac:dyDescent="0.3">
      <c r="A4952" s="1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</row>
    <row r="4953" spans="1:20" ht="45.75" customHeight="1" x14ac:dyDescent="0.3">
      <c r="A4953" s="1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</row>
    <row r="4954" spans="1:20" ht="45.75" customHeight="1" x14ac:dyDescent="0.3">
      <c r="A4954" s="1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</row>
    <row r="4955" spans="1:20" ht="45.75" customHeight="1" x14ac:dyDescent="0.3">
      <c r="A4955" s="1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</row>
    <row r="4956" spans="1:20" ht="45.75" customHeight="1" x14ac:dyDescent="0.3">
      <c r="A4956" s="1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</row>
    <row r="4957" spans="1:20" ht="45.75" customHeight="1" x14ac:dyDescent="0.3">
      <c r="A4957" s="1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</row>
    <row r="4958" spans="1:20" ht="45.75" customHeight="1" x14ac:dyDescent="0.3">
      <c r="A4958" s="1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</row>
    <row r="4959" spans="1:20" ht="45.75" customHeight="1" x14ac:dyDescent="0.3">
      <c r="A4959" s="1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</row>
    <row r="4960" spans="1:20" ht="45.75" customHeight="1" x14ac:dyDescent="0.3">
      <c r="A4960" s="1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</row>
    <row r="4961" spans="1:20" ht="45.75" customHeight="1" x14ac:dyDescent="0.3">
      <c r="A4961" s="1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</row>
    <row r="4962" spans="1:20" ht="45.75" customHeight="1" x14ac:dyDescent="0.3">
      <c r="A4962" s="1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</row>
    <row r="4963" spans="1:20" ht="45.75" customHeight="1" x14ac:dyDescent="0.3">
      <c r="A4963" s="1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</row>
    <row r="4964" spans="1:20" ht="45.75" customHeight="1" x14ac:dyDescent="0.3">
      <c r="A4964" s="1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</row>
    <row r="4965" spans="1:20" ht="45.75" customHeight="1" x14ac:dyDescent="0.3">
      <c r="A4965" s="1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</row>
    <row r="4966" spans="1:20" ht="45.75" customHeight="1" x14ac:dyDescent="0.3">
      <c r="A4966" s="1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</row>
    <row r="4967" spans="1:20" ht="45.75" customHeight="1" x14ac:dyDescent="0.3">
      <c r="A4967" s="1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</row>
    <row r="4968" spans="1:20" ht="45.75" customHeight="1" x14ac:dyDescent="0.3">
      <c r="A4968" s="1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</row>
    <row r="4969" spans="1:20" ht="45.75" customHeight="1" x14ac:dyDescent="0.3">
      <c r="A4969" s="1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</row>
    <row r="4970" spans="1:20" ht="45.75" customHeight="1" x14ac:dyDescent="0.3">
      <c r="A4970" s="1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</row>
    <row r="4971" spans="1:20" ht="45.75" customHeight="1" x14ac:dyDescent="0.3">
      <c r="A4971" s="1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</row>
    <row r="4972" spans="1:20" ht="45.75" customHeight="1" x14ac:dyDescent="0.3">
      <c r="A4972" s="1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</row>
    <row r="4973" spans="1:20" ht="45.75" customHeight="1" x14ac:dyDescent="0.3">
      <c r="A4973" s="1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</row>
    <row r="4974" spans="1:20" ht="45.75" customHeight="1" x14ac:dyDescent="0.3">
      <c r="A4974" s="1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</row>
    <row r="4975" spans="1:20" ht="45.75" customHeight="1" x14ac:dyDescent="0.3">
      <c r="A4975" s="1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</row>
    <row r="4976" spans="1:20" ht="45.75" customHeight="1" x14ac:dyDescent="0.3">
      <c r="A4976" s="1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</row>
    <row r="4977" spans="1:20" ht="45.75" customHeight="1" x14ac:dyDescent="0.3">
      <c r="A4977" s="1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</row>
    <row r="4978" spans="1:20" ht="45.75" customHeight="1" x14ac:dyDescent="0.3">
      <c r="A4978" s="1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</row>
    <row r="4979" spans="1:20" ht="45.75" customHeight="1" x14ac:dyDescent="0.3">
      <c r="A4979" s="1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</row>
    <row r="4980" spans="1:20" ht="45.75" customHeight="1" x14ac:dyDescent="0.3">
      <c r="A4980" s="1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</row>
    <row r="4981" spans="1:20" ht="45.75" customHeight="1" x14ac:dyDescent="0.3">
      <c r="A4981" s="1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</row>
    <row r="4982" spans="1:20" ht="45.75" customHeight="1" x14ac:dyDescent="0.3">
      <c r="A4982" s="1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</row>
    <row r="4983" spans="1:20" ht="45.75" customHeight="1" x14ac:dyDescent="0.3">
      <c r="A4983" s="1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</row>
    <row r="4984" spans="1:20" ht="45.75" customHeight="1" x14ac:dyDescent="0.3">
      <c r="A4984" s="1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</row>
    <row r="4985" spans="1:20" ht="45.75" customHeight="1" x14ac:dyDescent="0.3">
      <c r="A4985" s="1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</row>
    <row r="4986" spans="1:20" ht="45.75" customHeight="1" x14ac:dyDescent="0.3">
      <c r="A4986" s="1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</row>
    <row r="4987" spans="1:20" ht="45.75" customHeight="1" x14ac:dyDescent="0.3">
      <c r="A4987" s="1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</row>
    <row r="4988" spans="1:20" ht="45.75" customHeight="1" x14ac:dyDescent="0.3">
      <c r="A4988" s="1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</row>
    <row r="4989" spans="1:20" ht="45.75" customHeight="1" x14ac:dyDescent="0.3">
      <c r="A4989" s="1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</row>
    <row r="4990" spans="1:20" ht="45.75" customHeight="1" x14ac:dyDescent="0.3">
      <c r="A4990" s="1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</row>
    <row r="4991" spans="1:20" ht="45.75" customHeight="1" x14ac:dyDescent="0.3">
      <c r="A4991" s="1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</row>
    <row r="4992" spans="1:20" ht="45.75" customHeight="1" x14ac:dyDescent="0.3">
      <c r="A4992" s="1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</row>
    <row r="4993" spans="1:20" ht="45.75" customHeight="1" x14ac:dyDescent="0.3">
      <c r="A4993" s="1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</row>
    <row r="4994" spans="1:20" ht="45.75" customHeight="1" x14ac:dyDescent="0.3">
      <c r="A4994" s="1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</row>
    <row r="4995" spans="1:20" ht="45.75" customHeight="1" x14ac:dyDescent="0.3">
      <c r="A4995" s="1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</row>
    <row r="4996" spans="1:20" ht="45.75" customHeight="1" x14ac:dyDescent="0.3">
      <c r="A4996" s="1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</row>
    <row r="4997" spans="1:20" ht="45.75" customHeight="1" x14ac:dyDescent="0.3">
      <c r="A4997" s="1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</row>
    <row r="4998" spans="1:20" ht="45.75" customHeight="1" x14ac:dyDescent="0.3">
      <c r="A4998" s="1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</row>
    <row r="4999" spans="1:20" ht="45.75" customHeight="1" x14ac:dyDescent="0.3">
      <c r="A4999" s="1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</row>
    <row r="5000" spans="1:20" ht="45.75" customHeight="1" x14ac:dyDescent="0.3">
      <c r="A5000" s="1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</row>
    <row r="5001" spans="1:20" ht="45.75" customHeight="1" x14ac:dyDescent="0.3">
      <c r="A5001" s="1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</row>
    <row r="5002" spans="1:20" ht="45.75" customHeight="1" x14ac:dyDescent="0.3">
      <c r="A5002" s="1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</row>
    <row r="5003" spans="1:20" ht="45.75" customHeight="1" x14ac:dyDescent="0.3">
      <c r="A5003" s="1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</row>
    <row r="5004" spans="1:20" ht="45.75" customHeight="1" x14ac:dyDescent="0.3">
      <c r="A5004" s="1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</row>
    <row r="5005" spans="1:20" ht="45.75" customHeight="1" x14ac:dyDescent="0.3">
      <c r="A5005" s="1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</row>
    <row r="5006" spans="1:20" ht="45.75" customHeight="1" x14ac:dyDescent="0.3">
      <c r="A5006" s="1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</row>
    <row r="5007" spans="1:20" ht="45.75" customHeight="1" x14ac:dyDescent="0.3">
      <c r="A5007" s="1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</row>
    <row r="5008" spans="1:20" ht="45.75" customHeight="1" x14ac:dyDescent="0.3">
      <c r="A5008" s="1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</row>
    <row r="5009" spans="1:20" ht="45.75" customHeight="1" x14ac:dyDescent="0.3">
      <c r="A5009" s="1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</row>
    <row r="5010" spans="1:20" ht="45.75" customHeight="1" x14ac:dyDescent="0.3">
      <c r="A5010" s="1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</row>
    <row r="5011" spans="1:20" ht="45.75" customHeight="1" x14ac:dyDescent="0.3">
      <c r="A5011" s="1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</row>
    <row r="5012" spans="1:20" ht="45.75" customHeight="1" x14ac:dyDescent="0.3">
      <c r="A5012" s="1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</row>
    <row r="5013" spans="1:20" ht="45.75" customHeight="1" x14ac:dyDescent="0.3">
      <c r="A5013" s="1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</row>
    <row r="5014" spans="1:20" ht="45.75" customHeight="1" x14ac:dyDescent="0.3">
      <c r="A5014" s="1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</row>
    <row r="5015" spans="1:20" ht="45.75" customHeight="1" x14ac:dyDescent="0.3">
      <c r="A5015" s="1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</row>
    <row r="5016" spans="1:20" ht="45.75" customHeight="1" x14ac:dyDescent="0.3">
      <c r="A5016" s="1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</row>
    <row r="5017" spans="1:20" ht="45.75" customHeight="1" x14ac:dyDescent="0.3">
      <c r="A5017" s="1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</row>
    <row r="5018" spans="1:20" ht="45.75" customHeight="1" x14ac:dyDescent="0.3">
      <c r="A5018" s="1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</row>
    <row r="5019" spans="1:20" ht="45.75" customHeight="1" x14ac:dyDescent="0.3">
      <c r="A5019" s="1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</row>
    <row r="5020" spans="1:20" ht="45.75" customHeight="1" x14ac:dyDescent="0.3">
      <c r="A5020" s="1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</row>
    <row r="5021" spans="1:20" ht="45.75" customHeight="1" x14ac:dyDescent="0.3">
      <c r="A5021" s="1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</row>
    <row r="5022" spans="1:20" ht="45.75" customHeight="1" x14ac:dyDescent="0.3">
      <c r="A5022" s="1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</row>
    <row r="5023" spans="1:20" ht="45.75" customHeight="1" x14ac:dyDescent="0.3">
      <c r="A5023" s="1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</row>
    <row r="5024" spans="1:20" ht="45.75" customHeight="1" x14ac:dyDescent="0.3">
      <c r="A5024" s="1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</row>
    <row r="5025" spans="1:20" ht="45.75" customHeight="1" x14ac:dyDescent="0.3">
      <c r="A5025" s="1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</row>
    <row r="5026" spans="1:20" ht="45.75" customHeight="1" x14ac:dyDescent="0.3">
      <c r="A5026" s="1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</row>
    <row r="5027" spans="1:20" ht="45.75" customHeight="1" x14ac:dyDescent="0.3">
      <c r="A5027" s="1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</row>
    <row r="5028" spans="1:20" ht="45.75" customHeight="1" x14ac:dyDescent="0.3">
      <c r="A5028" s="1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</row>
    <row r="5029" spans="1:20" ht="45.75" customHeight="1" x14ac:dyDescent="0.3">
      <c r="A5029" s="1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</row>
    <row r="5030" spans="1:20" ht="45.75" customHeight="1" x14ac:dyDescent="0.3">
      <c r="A5030" s="1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</row>
    <row r="5031" spans="1:20" ht="45.75" customHeight="1" x14ac:dyDescent="0.3">
      <c r="A5031" s="1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</row>
    <row r="5032" spans="1:20" ht="45.75" customHeight="1" x14ac:dyDescent="0.3">
      <c r="A5032" s="1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</row>
    <row r="5033" spans="1:20" ht="45.75" customHeight="1" x14ac:dyDescent="0.3">
      <c r="A5033" s="1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</row>
    <row r="5034" spans="1:20" ht="45.75" customHeight="1" x14ac:dyDescent="0.3">
      <c r="A5034" s="1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</row>
    <row r="5035" spans="1:20" ht="45.75" customHeight="1" x14ac:dyDescent="0.3">
      <c r="A5035" s="1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</row>
    <row r="5036" spans="1:20" ht="45.75" customHeight="1" x14ac:dyDescent="0.3">
      <c r="A5036" s="1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</row>
    <row r="5037" spans="1:20" ht="45.75" customHeight="1" x14ac:dyDescent="0.3">
      <c r="A5037" s="1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</row>
    <row r="5038" spans="1:20" ht="45.75" customHeight="1" x14ac:dyDescent="0.3">
      <c r="A5038" s="1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</row>
    <row r="5039" spans="1:20" ht="45.75" customHeight="1" x14ac:dyDescent="0.3">
      <c r="A5039" s="1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</row>
    <row r="5040" spans="1:20" ht="45.75" customHeight="1" x14ac:dyDescent="0.3">
      <c r="A5040" s="1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</row>
    <row r="5041" spans="1:20" ht="45.75" customHeight="1" x14ac:dyDescent="0.3">
      <c r="A5041" s="1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</row>
    <row r="5042" spans="1:20" ht="45.75" customHeight="1" x14ac:dyDescent="0.3">
      <c r="A5042" s="1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</row>
    <row r="5043" spans="1:20" ht="45.75" customHeight="1" x14ac:dyDescent="0.3">
      <c r="A5043" s="1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</row>
    <row r="5044" spans="1:20" ht="45.75" customHeight="1" x14ac:dyDescent="0.3">
      <c r="A5044" s="1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</row>
    <row r="5045" spans="1:20" ht="45.75" customHeight="1" x14ac:dyDescent="0.3">
      <c r="A5045" s="1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</row>
    <row r="5046" spans="1:20" ht="45.75" customHeight="1" x14ac:dyDescent="0.3">
      <c r="A5046" s="1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</row>
    <row r="5047" spans="1:20" ht="45.75" customHeight="1" x14ac:dyDescent="0.3">
      <c r="A5047" s="1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</row>
    <row r="5048" spans="1:20" ht="45.75" customHeight="1" x14ac:dyDescent="0.3">
      <c r="A5048" s="1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</row>
    <row r="5049" spans="1:20" ht="45.75" customHeight="1" x14ac:dyDescent="0.3">
      <c r="A5049" s="1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</row>
    <row r="5050" spans="1:20" ht="45.75" customHeight="1" x14ac:dyDescent="0.3">
      <c r="A5050" s="1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</row>
    <row r="5051" spans="1:20" ht="45.75" customHeight="1" x14ac:dyDescent="0.3">
      <c r="A5051" s="1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</row>
    <row r="5052" spans="1:20" ht="45.75" customHeight="1" x14ac:dyDescent="0.3">
      <c r="A5052" s="1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</row>
    <row r="5053" spans="1:20" ht="45.75" customHeight="1" x14ac:dyDescent="0.3">
      <c r="A5053" s="1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</row>
    <row r="5054" spans="1:20" ht="45.75" customHeight="1" x14ac:dyDescent="0.3">
      <c r="A5054" s="1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</row>
    <row r="5055" spans="1:20" ht="45.75" customHeight="1" x14ac:dyDescent="0.3">
      <c r="A5055" s="1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</row>
    <row r="5056" spans="1:20" ht="45.75" customHeight="1" x14ac:dyDescent="0.3">
      <c r="A5056" s="1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</row>
    <row r="5057" spans="1:20" ht="45.75" customHeight="1" x14ac:dyDescent="0.3">
      <c r="A5057" s="1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</row>
    <row r="5058" spans="1:20" ht="45.75" customHeight="1" x14ac:dyDescent="0.3">
      <c r="A5058" s="1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</row>
    <row r="5059" spans="1:20" ht="45.75" customHeight="1" x14ac:dyDescent="0.3">
      <c r="A5059" s="1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</row>
    <row r="5060" spans="1:20" ht="45.75" customHeight="1" x14ac:dyDescent="0.3">
      <c r="A5060" s="1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</row>
    <row r="5061" spans="1:20" ht="45.75" customHeight="1" x14ac:dyDescent="0.3">
      <c r="A5061" s="1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</row>
    <row r="5062" spans="1:20" ht="45.75" customHeight="1" x14ac:dyDescent="0.3">
      <c r="A5062" s="1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</row>
    <row r="5063" spans="1:20" ht="45.75" customHeight="1" x14ac:dyDescent="0.3">
      <c r="A5063" s="1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</row>
    <row r="5064" spans="1:20" ht="45.75" customHeight="1" x14ac:dyDescent="0.3">
      <c r="A5064" s="1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</row>
    <row r="5065" spans="1:20" ht="45.75" customHeight="1" x14ac:dyDescent="0.3">
      <c r="A5065" s="1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</row>
    <row r="5066" spans="1:20" ht="45.75" customHeight="1" x14ac:dyDescent="0.3">
      <c r="A5066" s="1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</row>
    <row r="5067" spans="1:20" ht="45.75" customHeight="1" x14ac:dyDescent="0.3">
      <c r="A5067" s="1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</row>
    <row r="5068" spans="1:20" ht="45.75" customHeight="1" x14ac:dyDescent="0.3">
      <c r="A5068" s="1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</row>
    <row r="5069" spans="1:20" ht="45.75" customHeight="1" x14ac:dyDescent="0.3">
      <c r="A5069" s="1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</row>
    <row r="5070" spans="1:20" ht="45.75" customHeight="1" x14ac:dyDescent="0.3">
      <c r="A5070" s="1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</row>
    <row r="5071" spans="1:20" ht="45.75" customHeight="1" x14ac:dyDescent="0.3">
      <c r="A5071" s="1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</row>
    <row r="5072" spans="1:20" ht="45.75" customHeight="1" x14ac:dyDescent="0.3">
      <c r="A5072" s="1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</row>
    <row r="5073" spans="1:20" ht="45.75" customHeight="1" x14ac:dyDescent="0.3">
      <c r="A5073" s="1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</row>
    <row r="5074" spans="1:20" ht="45.75" customHeight="1" x14ac:dyDescent="0.3">
      <c r="A5074" s="1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</row>
    <row r="5075" spans="1:20" ht="45.75" customHeight="1" x14ac:dyDescent="0.3">
      <c r="A5075" s="1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</row>
    <row r="5076" spans="1:20" ht="45.75" customHeight="1" x14ac:dyDescent="0.3">
      <c r="A5076" s="1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</row>
    <row r="5077" spans="1:20" ht="45.75" customHeight="1" x14ac:dyDescent="0.3">
      <c r="A5077" s="1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</row>
    <row r="5078" spans="1:20" ht="45.75" customHeight="1" x14ac:dyDescent="0.3">
      <c r="A5078" s="1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</row>
    <row r="5079" spans="1:20" ht="45.75" customHeight="1" x14ac:dyDescent="0.3">
      <c r="A5079" s="1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</row>
    <row r="5080" spans="1:20" ht="45.75" customHeight="1" x14ac:dyDescent="0.3">
      <c r="A5080" s="1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</row>
    <row r="5081" spans="1:20" ht="45.75" customHeight="1" x14ac:dyDescent="0.3">
      <c r="A5081" s="1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</row>
    <row r="5082" spans="1:20" ht="45.75" customHeight="1" x14ac:dyDescent="0.3">
      <c r="A5082" s="1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</row>
    <row r="5083" spans="1:20" ht="45.75" customHeight="1" x14ac:dyDescent="0.3">
      <c r="A5083" s="1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</row>
    <row r="5084" spans="1:20" ht="45.75" customHeight="1" x14ac:dyDescent="0.3">
      <c r="A5084" s="1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</row>
    <row r="5085" spans="1:20" ht="45.75" customHeight="1" x14ac:dyDescent="0.3">
      <c r="A5085" s="1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</row>
    <row r="5086" spans="1:20" ht="45.75" customHeight="1" x14ac:dyDescent="0.3">
      <c r="A5086" s="1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</row>
    <row r="5087" spans="1:20" ht="45.75" customHeight="1" x14ac:dyDescent="0.3">
      <c r="A5087" s="1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</row>
    <row r="5088" spans="1:20" ht="45.75" customHeight="1" x14ac:dyDescent="0.3">
      <c r="A5088" s="1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</row>
    <row r="5089" spans="1:20" ht="45.75" customHeight="1" x14ac:dyDescent="0.3">
      <c r="A5089" s="1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</row>
    <row r="5090" spans="1:20" ht="45.75" customHeight="1" x14ac:dyDescent="0.3">
      <c r="A5090" s="1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</row>
    <row r="5091" spans="1:20" ht="45.75" customHeight="1" x14ac:dyDescent="0.3">
      <c r="A5091" s="1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</row>
    <row r="5092" spans="1:20" ht="45.75" customHeight="1" x14ac:dyDescent="0.3">
      <c r="A5092" s="1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</row>
    <row r="5093" spans="1:20" ht="45.75" customHeight="1" x14ac:dyDescent="0.3">
      <c r="A5093" s="1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</row>
    <row r="5094" spans="1:20" ht="45.75" customHeight="1" x14ac:dyDescent="0.3">
      <c r="A5094" s="1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</row>
    <row r="5095" spans="1:20" ht="45.75" customHeight="1" x14ac:dyDescent="0.3">
      <c r="A5095" s="1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</row>
    <row r="5096" spans="1:20" ht="45.75" customHeight="1" x14ac:dyDescent="0.3">
      <c r="A5096" s="1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</row>
    <row r="5097" spans="1:20" ht="45.75" customHeight="1" x14ac:dyDescent="0.3">
      <c r="A5097" s="1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</row>
    <row r="5098" spans="1:20" ht="45.75" customHeight="1" x14ac:dyDescent="0.3">
      <c r="A5098" s="1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</row>
    <row r="5099" spans="1:20" ht="45.75" customHeight="1" x14ac:dyDescent="0.3">
      <c r="A5099" s="1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</row>
    <row r="5100" spans="1:20" ht="45.75" customHeight="1" x14ac:dyDescent="0.3">
      <c r="A5100" s="1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</row>
    <row r="5101" spans="1:20" ht="45.75" customHeight="1" x14ac:dyDescent="0.3">
      <c r="A5101" s="1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</row>
    <row r="5102" spans="1:20" ht="45.75" customHeight="1" x14ac:dyDescent="0.3">
      <c r="A5102" s="1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</row>
    <row r="5103" spans="1:20" ht="45.75" customHeight="1" x14ac:dyDescent="0.3">
      <c r="A5103" s="1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</row>
    <row r="5104" spans="1:20" ht="45.75" customHeight="1" x14ac:dyDescent="0.3">
      <c r="A5104" s="1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</row>
    <row r="5105" spans="1:20" ht="45.75" customHeight="1" x14ac:dyDescent="0.3">
      <c r="A5105" s="1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</row>
    <row r="5106" spans="1:20" ht="45.75" customHeight="1" x14ac:dyDescent="0.3">
      <c r="A5106" s="1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</row>
    <row r="5107" spans="1:20" ht="45.75" customHeight="1" x14ac:dyDescent="0.3">
      <c r="A5107" s="1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</row>
    <row r="5108" spans="1:20" ht="45.75" customHeight="1" x14ac:dyDescent="0.3">
      <c r="A5108" s="1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</row>
    <row r="5109" spans="1:20" ht="45.75" customHeight="1" x14ac:dyDescent="0.3">
      <c r="A5109" s="1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</row>
    <row r="5110" spans="1:20" ht="45.75" customHeight="1" x14ac:dyDescent="0.3">
      <c r="A5110" s="1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</row>
    <row r="5111" spans="1:20" ht="45.75" customHeight="1" x14ac:dyDescent="0.3">
      <c r="A5111" s="1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</row>
    <row r="5112" spans="1:20" ht="45.75" customHeight="1" x14ac:dyDescent="0.3">
      <c r="A5112" s="1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</row>
    <row r="5113" spans="1:20" ht="45.75" customHeight="1" x14ac:dyDescent="0.3">
      <c r="A5113" s="1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</row>
    <row r="5114" spans="1:20" ht="45.75" customHeight="1" x14ac:dyDescent="0.3">
      <c r="A5114" s="1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</row>
    <row r="5115" spans="1:20" ht="45.75" customHeight="1" x14ac:dyDescent="0.3">
      <c r="A5115" s="1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</row>
    <row r="5116" spans="1:20" ht="45.75" customHeight="1" x14ac:dyDescent="0.3">
      <c r="A5116" s="1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</row>
    <row r="5117" spans="1:20" ht="45.75" customHeight="1" x14ac:dyDescent="0.3">
      <c r="A5117" s="1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</row>
    <row r="5118" spans="1:20" ht="45.75" customHeight="1" x14ac:dyDescent="0.3">
      <c r="A5118" s="1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</row>
    <row r="5119" spans="1:20" ht="45.75" customHeight="1" x14ac:dyDescent="0.3">
      <c r="A5119" s="1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</row>
    <row r="5120" spans="1:20" ht="45.75" customHeight="1" x14ac:dyDescent="0.3">
      <c r="A5120" s="1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</row>
    <row r="5121" spans="1:20" ht="45.75" customHeight="1" x14ac:dyDescent="0.3">
      <c r="A5121" s="1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</row>
    <row r="5122" spans="1:20" ht="45.75" customHeight="1" x14ac:dyDescent="0.3">
      <c r="A5122" s="1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</row>
    <row r="5123" spans="1:20" ht="45.75" customHeight="1" x14ac:dyDescent="0.3">
      <c r="A5123" s="1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</row>
    <row r="5124" spans="1:20" ht="45.75" customHeight="1" x14ac:dyDescent="0.3">
      <c r="A5124" s="1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</row>
    <row r="5125" spans="1:20" ht="45.75" customHeight="1" x14ac:dyDescent="0.3">
      <c r="A5125" s="1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</row>
    <row r="5126" spans="1:20" ht="45.75" customHeight="1" x14ac:dyDescent="0.3">
      <c r="A5126" s="1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</row>
    <row r="5127" spans="1:20" ht="45.75" customHeight="1" x14ac:dyDescent="0.3">
      <c r="A5127" s="1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</row>
    <row r="5128" spans="1:20" ht="45.75" customHeight="1" x14ac:dyDescent="0.3">
      <c r="A5128" s="1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</row>
    <row r="5129" spans="1:20" ht="45.75" customHeight="1" x14ac:dyDescent="0.3">
      <c r="A5129" s="1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</row>
    <row r="5130" spans="1:20" ht="45.75" customHeight="1" x14ac:dyDescent="0.3">
      <c r="A5130" s="1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</row>
    <row r="5131" spans="1:20" ht="45.75" customHeight="1" x14ac:dyDescent="0.3">
      <c r="A5131" s="1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</row>
    <row r="5132" spans="1:20" ht="45.75" customHeight="1" x14ac:dyDescent="0.3">
      <c r="A5132" s="1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</row>
    <row r="5133" spans="1:20" ht="45.75" customHeight="1" x14ac:dyDescent="0.3">
      <c r="A5133" s="1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</row>
    <row r="5134" spans="1:20" ht="45.75" customHeight="1" x14ac:dyDescent="0.3">
      <c r="A5134" s="1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</row>
    <row r="5135" spans="1:20" ht="45.75" customHeight="1" x14ac:dyDescent="0.3">
      <c r="A5135" s="1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</row>
    <row r="5136" spans="1:20" ht="45.75" customHeight="1" x14ac:dyDescent="0.3">
      <c r="A5136" s="1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</row>
    <row r="5137" spans="1:20" ht="45.75" customHeight="1" x14ac:dyDescent="0.3">
      <c r="A5137" s="1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</row>
    <row r="5138" spans="1:20" ht="45.75" customHeight="1" x14ac:dyDescent="0.3">
      <c r="A5138" s="1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</row>
    <row r="5139" spans="1:20" ht="45.75" customHeight="1" x14ac:dyDescent="0.3">
      <c r="A5139" s="1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</row>
    <row r="5140" spans="1:20" ht="45.75" customHeight="1" x14ac:dyDescent="0.3">
      <c r="A5140" s="1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</row>
    <row r="5141" spans="1:20" ht="45.75" customHeight="1" x14ac:dyDescent="0.3">
      <c r="A5141" s="1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</row>
    <row r="5142" spans="1:20" ht="45.75" customHeight="1" x14ac:dyDescent="0.3">
      <c r="A5142" s="1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</row>
    <row r="5143" spans="1:20" ht="45.75" customHeight="1" x14ac:dyDescent="0.3">
      <c r="A5143" s="1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</row>
    <row r="5144" spans="1:20" ht="45.75" customHeight="1" x14ac:dyDescent="0.3">
      <c r="A5144" s="1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</row>
    <row r="5145" spans="1:20" ht="45.75" customHeight="1" x14ac:dyDescent="0.3">
      <c r="A5145" s="1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</row>
    <row r="5146" spans="1:20" ht="45.75" customHeight="1" x14ac:dyDescent="0.3">
      <c r="A5146" s="1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</row>
    <row r="5147" spans="1:20" ht="45.75" customHeight="1" x14ac:dyDescent="0.3">
      <c r="A5147" s="1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</row>
    <row r="5148" spans="1:20" ht="45.75" customHeight="1" x14ac:dyDescent="0.3">
      <c r="A5148" s="1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</row>
    <row r="5149" spans="1:20" ht="45.75" customHeight="1" x14ac:dyDescent="0.3">
      <c r="A5149" s="1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</row>
    <row r="5150" spans="1:20" ht="45.75" customHeight="1" x14ac:dyDescent="0.3">
      <c r="A5150" s="1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</row>
    <row r="5151" spans="1:20" ht="45.75" customHeight="1" x14ac:dyDescent="0.3">
      <c r="A5151" s="1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</row>
    <row r="5152" spans="1:20" ht="45.75" customHeight="1" x14ac:dyDescent="0.3">
      <c r="A5152" s="1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</row>
    <row r="5153" spans="1:20" ht="45.75" customHeight="1" x14ac:dyDescent="0.3">
      <c r="A5153" s="1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</row>
    <row r="5154" spans="1:20" ht="45.75" customHeight="1" x14ac:dyDescent="0.3">
      <c r="A5154" s="1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</row>
    <row r="5155" spans="1:20" ht="45.75" customHeight="1" x14ac:dyDescent="0.3">
      <c r="A5155" s="1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</row>
    <row r="5156" spans="1:20" ht="45.75" customHeight="1" x14ac:dyDescent="0.3">
      <c r="A5156" s="1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</row>
    <row r="5157" spans="1:20" ht="45.75" customHeight="1" x14ac:dyDescent="0.3">
      <c r="A5157" s="1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</row>
    <row r="5158" spans="1:20" ht="45.75" customHeight="1" x14ac:dyDescent="0.3">
      <c r="A5158" s="1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</row>
    <row r="5159" spans="1:20" ht="45.75" customHeight="1" x14ac:dyDescent="0.3">
      <c r="A5159" s="1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</row>
    <row r="5160" spans="1:20" ht="45.75" customHeight="1" x14ac:dyDescent="0.3">
      <c r="A5160" s="1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</row>
    <row r="5161" spans="1:20" ht="45.75" customHeight="1" x14ac:dyDescent="0.3">
      <c r="A5161" s="1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</row>
    <row r="5162" spans="1:20" ht="45.75" customHeight="1" x14ac:dyDescent="0.3">
      <c r="A5162" s="1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</row>
    <row r="5163" spans="1:20" ht="45.75" customHeight="1" x14ac:dyDescent="0.3">
      <c r="A5163" s="1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</row>
    <row r="5164" spans="1:20" ht="45.75" customHeight="1" x14ac:dyDescent="0.3">
      <c r="A5164" s="1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</row>
    <row r="5165" spans="1:20" ht="45.75" customHeight="1" x14ac:dyDescent="0.3">
      <c r="A5165" s="1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</row>
    <row r="5166" spans="1:20" ht="45.75" customHeight="1" x14ac:dyDescent="0.3">
      <c r="A5166" s="1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</row>
    <row r="5167" spans="1:20" ht="45.75" customHeight="1" x14ac:dyDescent="0.3">
      <c r="A5167" s="1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</row>
    <row r="5168" spans="1:20" ht="45.75" customHeight="1" x14ac:dyDescent="0.3">
      <c r="A5168" s="1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</row>
    <row r="5169" spans="1:20" ht="45.75" customHeight="1" x14ac:dyDescent="0.3">
      <c r="A5169" s="1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</row>
    <row r="5170" spans="1:20" ht="45.75" customHeight="1" x14ac:dyDescent="0.3">
      <c r="A5170" s="1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</row>
    <row r="5171" spans="1:20" ht="45.75" customHeight="1" x14ac:dyDescent="0.3">
      <c r="A5171" s="1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</row>
    <row r="5172" spans="1:20" ht="45.75" customHeight="1" x14ac:dyDescent="0.3">
      <c r="A5172" s="1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</row>
    <row r="5173" spans="1:20" ht="45.75" customHeight="1" x14ac:dyDescent="0.3">
      <c r="A5173" s="1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</row>
    <row r="5174" spans="1:20" ht="45.75" customHeight="1" x14ac:dyDescent="0.3">
      <c r="A5174" s="1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</row>
    <row r="5175" spans="1:20" ht="45.75" customHeight="1" x14ac:dyDescent="0.3">
      <c r="A5175" s="1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</row>
    <row r="5176" spans="1:20" ht="45.75" customHeight="1" x14ac:dyDescent="0.3">
      <c r="A5176" s="1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</row>
    <row r="5177" spans="1:20" ht="45.75" customHeight="1" x14ac:dyDescent="0.3">
      <c r="A5177" s="1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</row>
    <row r="5178" spans="1:20" ht="45.75" customHeight="1" x14ac:dyDescent="0.3">
      <c r="A5178" s="1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</row>
    <row r="5179" spans="1:20" ht="45.75" customHeight="1" x14ac:dyDescent="0.3">
      <c r="A5179" s="1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</row>
    <row r="5180" spans="1:20" ht="45.75" customHeight="1" x14ac:dyDescent="0.3">
      <c r="A5180" s="1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</row>
    <row r="5181" spans="1:20" ht="45.75" customHeight="1" x14ac:dyDescent="0.3">
      <c r="A5181" s="1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</row>
    <row r="5182" spans="1:20" ht="45.75" customHeight="1" x14ac:dyDescent="0.3">
      <c r="A5182" s="1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</row>
    <row r="5183" spans="1:20" ht="45.75" customHeight="1" x14ac:dyDescent="0.3">
      <c r="A5183" s="1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</row>
    <row r="5184" spans="1:20" ht="45.75" customHeight="1" x14ac:dyDescent="0.3">
      <c r="A5184" s="1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</row>
    <row r="5185" spans="1:20" ht="45.75" customHeight="1" x14ac:dyDescent="0.3">
      <c r="A5185" s="1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</row>
    <row r="5186" spans="1:20" ht="45.75" customHeight="1" x14ac:dyDescent="0.3">
      <c r="A5186" s="1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</row>
    <row r="5187" spans="1:20" ht="45.75" customHeight="1" x14ac:dyDescent="0.3">
      <c r="A5187" s="1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</row>
    <row r="5188" spans="1:20" ht="45.75" customHeight="1" x14ac:dyDescent="0.3">
      <c r="A5188" s="1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</row>
    <row r="5189" spans="1:20" ht="45.75" customHeight="1" x14ac:dyDescent="0.3">
      <c r="A5189" s="1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</row>
    <row r="5190" spans="1:20" ht="45.75" customHeight="1" x14ac:dyDescent="0.3">
      <c r="A5190" s="1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</row>
    <row r="5191" spans="1:20" ht="45.75" customHeight="1" x14ac:dyDescent="0.3">
      <c r="A5191" s="1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</row>
    <row r="5192" spans="1:20" ht="45.75" customHeight="1" x14ac:dyDescent="0.3">
      <c r="A5192" s="1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</row>
    <row r="5193" spans="1:20" ht="45.75" customHeight="1" x14ac:dyDescent="0.3">
      <c r="A5193" s="1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</row>
    <row r="5194" spans="1:20" ht="45.75" customHeight="1" x14ac:dyDescent="0.3">
      <c r="A5194" s="1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</row>
    <row r="5195" spans="1:20" ht="45.75" customHeight="1" x14ac:dyDescent="0.3">
      <c r="A5195" s="1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</row>
    <row r="5196" spans="1:20" ht="45.75" customHeight="1" x14ac:dyDescent="0.3">
      <c r="A5196" s="1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</row>
    <row r="5197" spans="1:20" ht="45.75" customHeight="1" x14ac:dyDescent="0.3">
      <c r="A5197" s="1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</row>
    <row r="5198" spans="1:20" ht="45.75" customHeight="1" x14ac:dyDescent="0.3">
      <c r="A5198" s="1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</row>
    <row r="5199" spans="1:20" ht="45.75" customHeight="1" x14ac:dyDescent="0.3">
      <c r="A5199" s="1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</row>
    <row r="5200" spans="1:20" ht="45.75" customHeight="1" x14ac:dyDescent="0.3">
      <c r="A5200" s="1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</row>
    <row r="5201" spans="1:20" ht="45.75" customHeight="1" x14ac:dyDescent="0.3">
      <c r="A5201" s="1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</row>
    <row r="5202" spans="1:20" ht="45.75" customHeight="1" x14ac:dyDescent="0.3">
      <c r="A5202" s="1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</row>
    <row r="5203" spans="1:20" ht="45.75" customHeight="1" x14ac:dyDescent="0.3">
      <c r="A5203" s="1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</row>
    <row r="5204" spans="1:20" ht="45.75" customHeight="1" x14ac:dyDescent="0.3">
      <c r="A5204" s="1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</row>
    <row r="5205" spans="1:20" ht="45.75" customHeight="1" x14ac:dyDescent="0.3">
      <c r="A5205" s="1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</row>
    <row r="5206" spans="1:20" ht="45.75" customHeight="1" x14ac:dyDescent="0.3">
      <c r="A5206" s="1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</row>
    <row r="5207" spans="1:20" ht="45.75" customHeight="1" x14ac:dyDescent="0.3">
      <c r="A5207" s="1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</row>
    <row r="5208" spans="1:20" ht="45.75" customHeight="1" x14ac:dyDescent="0.3">
      <c r="A5208" s="1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</row>
    <row r="5209" spans="1:20" ht="45.75" customHeight="1" x14ac:dyDescent="0.3">
      <c r="A5209" s="1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</row>
    <row r="5210" spans="1:20" ht="45.75" customHeight="1" x14ac:dyDescent="0.3">
      <c r="A5210" s="1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</row>
    <row r="5211" spans="1:20" ht="45.75" customHeight="1" x14ac:dyDescent="0.3">
      <c r="A5211" s="1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</row>
    <row r="5212" spans="1:20" ht="45.75" customHeight="1" x14ac:dyDescent="0.3">
      <c r="A5212" s="1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</row>
    <row r="5213" spans="1:20" ht="45.75" customHeight="1" x14ac:dyDescent="0.3">
      <c r="A5213" s="1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</row>
    <row r="5214" spans="1:20" ht="45.75" customHeight="1" x14ac:dyDescent="0.3">
      <c r="A5214" s="1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</row>
    <row r="5215" spans="1:20" ht="45.75" customHeight="1" x14ac:dyDescent="0.3">
      <c r="A5215" s="1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</row>
    <row r="5216" spans="1:20" ht="45.75" customHeight="1" x14ac:dyDescent="0.3">
      <c r="A5216" s="1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</row>
    <row r="5217" spans="1:20" ht="45.75" customHeight="1" x14ac:dyDescent="0.3">
      <c r="A5217" s="1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</row>
    <row r="5218" spans="1:20" ht="45.75" customHeight="1" x14ac:dyDescent="0.3">
      <c r="A5218" s="1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</row>
    <row r="5219" spans="1:20" ht="45.75" customHeight="1" x14ac:dyDescent="0.3">
      <c r="A5219" s="1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</row>
    <row r="5220" spans="1:20" ht="45.75" customHeight="1" x14ac:dyDescent="0.3">
      <c r="A5220" s="1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</row>
    <row r="5221" spans="1:20" ht="45.75" customHeight="1" x14ac:dyDescent="0.3">
      <c r="A5221" s="1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</row>
    <row r="5222" spans="1:20" ht="45.75" customHeight="1" x14ac:dyDescent="0.3">
      <c r="A5222" s="1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</row>
    <row r="5223" spans="1:20" ht="45.75" customHeight="1" x14ac:dyDescent="0.3">
      <c r="A5223" s="1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</row>
    <row r="5224" spans="1:20" ht="45.75" customHeight="1" x14ac:dyDescent="0.3">
      <c r="A5224" s="1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</row>
    <row r="5225" spans="1:20" ht="45.75" customHeight="1" x14ac:dyDescent="0.3">
      <c r="A5225" s="1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</row>
    <row r="5226" spans="1:20" ht="45.75" customHeight="1" x14ac:dyDescent="0.3">
      <c r="A5226" s="1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</row>
    <row r="5227" spans="1:20" ht="45.75" customHeight="1" x14ac:dyDescent="0.3">
      <c r="A5227" s="1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</row>
    <row r="5228" spans="1:20" ht="45.75" customHeight="1" x14ac:dyDescent="0.3">
      <c r="A5228" s="1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</row>
    <row r="5229" spans="1:20" ht="45.75" customHeight="1" x14ac:dyDescent="0.3">
      <c r="A5229" s="1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</row>
    <row r="5230" spans="1:20" ht="45.75" customHeight="1" x14ac:dyDescent="0.3">
      <c r="A5230" s="1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</row>
    <row r="5231" spans="1:20" ht="45.75" customHeight="1" x14ac:dyDescent="0.3">
      <c r="A5231" s="1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</row>
    <row r="5232" spans="1:20" ht="45.75" customHeight="1" x14ac:dyDescent="0.3">
      <c r="A5232" s="1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</row>
    <row r="5233" spans="1:20" ht="45.75" customHeight="1" x14ac:dyDescent="0.3">
      <c r="A5233" s="1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</row>
    <row r="5234" spans="1:20" ht="45.75" customHeight="1" x14ac:dyDescent="0.3">
      <c r="A5234" s="1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</row>
    <row r="5235" spans="1:20" ht="45.75" customHeight="1" x14ac:dyDescent="0.3">
      <c r="A5235" s="1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</row>
    <row r="5236" spans="1:20" ht="45.75" customHeight="1" x14ac:dyDescent="0.3">
      <c r="A5236" s="1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</row>
    <row r="5237" spans="1:20" ht="45.75" customHeight="1" x14ac:dyDescent="0.3">
      <c r="A5237" s="1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</row>
    <row r="5238" spans="1:20" ht="45.75" customHeight="1" x14ac:dyDescent="0.3">
      <c r="A5238" s="1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</row>
    <row r="5239" spans="1:20" ht="45.75" customHeight="1" x14ac:dyDescent="0.3">
      <c r="A5239" s="1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</row>
    <row r="5240" spans="1:20" ht="45.75" customHeight="1" x14ac:dyDescent="0.3">
      <c r="A5240" s="1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</row>
    <row r="5241" spans="1:20" ht="45.75" customHeight="1" x14ac:dyDescent="0.3">
      <c r="A5241" s="1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</row>
    <row r="5242" spans="1:20" ht="45.75" customHeight="1" x14ac:dyDescent="0.3">
      <c r="A5242" s="1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</row>
    <row r="5243" spans="1:20" ht="45.75" customHeight="1" x14ac:dyDescent="0.3">
      <c r="A5243" s="1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</row>
    <row r="5244" spans="1:20" ht="45.75" customHeight="1" x14ac:dyDescent="0.3">
      <c r="A5244" s="1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</row>
    <row r="5245" spans="1:20" ht="45.75" customHeight="1" x14ac:dyDescent="0.3">
      <c r="A5245" s="1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</row>
    <row r="5246" spans="1:20" ht="45.75" customHeight="1" x14ac:dyDescent="0.3">
      <c r="A5246" s="1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</row>
    <row r="5247" spans="1:20" ht="45.75" customHeight="1" x14ac:dyDescent="0.3">
      <c r="A5247" s="1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</row>
    <row r="5248" spans="1:20" ht="45.75" customHeight="1" x14ac:dyDescent="0.3">
      <c r="A5248" s="1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</row>
    <row r="5249" spans="1:20" ht="45.75" customHeight="1" x14ac:dyDescent="0.3">
      <c r="A5249" s="1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</row>
    <row r="5250" spans="1:20" ht="45.75" customHeight="1" x14ac:dyDescent="0.3">
      <c r="A5250" s="1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</row>
    <row r="5251" spans="1:20" ht="45.75" customHeight="1" x14ac:dyDescent="0.3">
      <c r="A5251" s="1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</row>
    <row r="5252" spans="1:20" ht="45.75" customHeight="1" x14ac:dyDescent="0.3">
      <c r="A5252" s="1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</row>
    <row r="5253" spans="1:20" ht="45.75" customHeight="1" x14ac:dyDescent="0.3">
      <c r="A5253" s="1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</row>
    <row r="5254" spans="1:20" ht="45.75" customHeight="1" x14ac:dyDescent="0.3">
      <c r="A5254" s="1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</row>
    <row r="5255" spans="1:20" ht="45.75" customHeight="1" x14ac:dyDescent="0.3">
      <c r="A5255" s="1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</row>
    <row r="5256" spans="1:20" ht="45.75" customHeight="1" x14ac:dyDescent="0.3">
      <c r="A5256" s="1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</row>
    <row r="5257" spans="1:20" ht="45.75" customHeight="1" x14ac:dyDescent="0.3">
      <c r="A5257" s="1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</row>
    <row r="5258" spans="1:20" ht="45.75" customHeight="1" x14ac:dyDescent="0.3">
      <c r="A5258" s="1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</row>
    <row r="5259" spans="1:20" ht="45.75" customHeight="1" x14ac:dyDescent="0.3">
      <c r="A5259" s="1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</row>
    <row r="5260" spans="1:20" ht="45.75" customHeight="1" x14ac:dyDescent="0.3">
      <c r="A5260" s="1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</row>
    <row r="5261" spans="1:20" ht="45.75" customHeight="1" x14ac:dyDescent="0.3">
      <c r="A5261" s="1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</row>
    <row r="5262" spans="1:20" ht="45.75" customHeight="1" x14ac:dyDescent="0.3">
      <c r="A5262" s="1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</row>
    <row r="5263" spans="1:20" ht="45.75" customHeight="1" x14ac:dyDescent="0.3">
      <c r="A5263" s="1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</row>
    <row r="5264" spans="1:20" ht="45.75" customHeight="1" x14ac:dyDescent="0.3">
      <c r="A5264" s="1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</row>
    <row r="5265" spans="1:20" ht="45.75" customHeight="1" x14ac:dyDescent="0.3">
      <c r="A5265" s="1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</row>
    <row r="5266" spans="1:20" ht="45.75" customHeight="1" x14ac:dyDescent="0.3">
      <c r="A5266" s="1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</row>
    <row r="5267" spans="1:20" ht="45.75" customHeight="1" x14ac:dyDescent="0.3">
      <c r="A5267" s="1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</row>
    <row r="5268" spans="1:20" ht="45.75" customHeight="1" x14ac:dyDescent="0.3">
      <c r="A5268" s="1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</row>
    <row r="5269" spans="1:20" ht="45.75" customHeight="1" x14ac:dyDescent="0.3">
      <c r="A5269" s="1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</row>
    <row r="5270" spans="1:20" ht="45.75" customHeight="1" x14ac:dyDescent="0.3">
      <c r="A5270" s="1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</row>
    <row r="5271" spans="1:20" ht="45.75" customHeight="1" x14ac:dyDescent="0.3">
      <c r="A5271" s="1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</row>
    <row r="5272" spans="1:20" ht="45.75" customHeight="1" x14ac:dyDescent="0.3">
      <c r="A5272" s="1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</row>
    <row r="5273" spans="1:20" ht="45.75" customHeight="1" x14ac:dyDescent="0.3">
      <c r="A5273" s="1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</row>
    <row r="5274" spans="1:20" ht="45.75" customHeight="1" x14ac:dyDescent="0.3">
      <c r="A5274" s="1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</row>
    <row r="5275" spans="1:20" ht="45.75" customHeight="1" x14ac:dyDescent="0.3">
      <c r="A5275" s="1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</row>
    <row r="5276" spans="1:20" ht="45.75" customHeight="1" x14ac:dyDescent="0.3">
      <c r="A5276" s="1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</row>
    <row r="5277" spans="1:20" ht="45.75" customHeight="1" x14ac:dyDescent="0.3">
      <c r="A5277" s="1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</row>
    <row r="5278" spans="1:20" ht="45.75" customHeight="1" x14ac:dyDescent="0.3">
      <c r="A5278" s="1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</row>
    <row r="5279" spans="1:20" ht="45.75" customHeight="1" x14ac:dyDescent="0.3">
      <c r="A5279" s="1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</row>
    <row r="5280" spans="1:20" ht="45.75" customHeight="1" x14ac:dyDescent="0.3">
      <c r="A5280" s="1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</row>
    <row r="5281" spans="1:20" ht="45.75" customHeight="1" x14ac:dyDescent="0.3">
      <c r="A5281" s="1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</row>
    <row r="5282" spans="1:20" ht="45.75" customHeight="1" x14ac:dyDescent="0.3">
      <c r="A5282" s="1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</row>
    <row r="5283" spans="1:20" ht="45.75" customHeight="1" x14ac:dyDescent="0.3">
      <c r="A5283" s="1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</row>
    <row r="5284" spans="1:20" ht="45.75" customHeight="1" x14ac:dyDescent="0.3">
      <c r="A5284" s="1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</row>
    <row r="5285" spans="1:20" ht="45.75" customHeight="1" x14ac:dyDescent="0.3">
      <c r="A5285" s="1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</row>
    <row r="5286" spans="1:20" ht="45.75" customHeight="1" x14ac:dyDescent="0.3">
      <c r="A5286" s="1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</row>
    <row r="5287" spans="1:20" ht="45.75" customHeight="1" x14ac:dyDescent="0.3">
      <c r="A5287" s="1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</row>
    <row r="5288" spans="1:20" ht="45.75" customHeight="1" x14ac:dyDescent="0.3">
      <c r="A5288" s="1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</row>
    <row r="5289" spans="1:20" ht="45.75" customHeight="1" x14ac:dyDescent="0.3">
      <c r="A5289" s="1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</row>
    <row r="5290" spans="1:20" ht="45.75" customHeight="1" x14ac:dyDescent="0.3">
      <c r="A5290" s="1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</row>
    <row r="5291" spans="1:20" ht="45.75" customHeight="1" x14ac:dyDescent="0.3">
      <c r="A5291" s="1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</row>
    <row r="5292" spans="1:20" ht="45.75" customHeight="1" x14ac:dyDescent="0.3">
      <c r="A5292" s="1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</row>
    <row r="5293" spans="1:20" ht="45.75" customHeight="1" x14ac:dyDescent="0.3">
      <c r="A5293" s="1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</row>
    <row r="5294" spans="1:20" ht="45.75" customHeight="1" x14ac:dyDescent="0.3">
      <c r="A5294" s="1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</row>
    <row r="5295" spans="1:20" ht="45.75" customHeight="1" x14ac:dyDescent="0.3">
      <c r="A5295" s="1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</row>
    <row r="5296" spans="1:20" ht="45.75" customHeight="1" x14ac:dyDescent="0.3">
      <c r="A5296" s="1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</row>
    <row r="5297" spans="1:20" ht="45.75" customHeight="1" x14ac:dyDescent="0.3">
      <c r="A5297" s="1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</row>
    <row r="5298" spans="1:20" ht="45.75" customHeight="1" x14ac:dyDescent="0.3">
      <c r="A5298" s="1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</row>
    <row r="5299" spans="1:20" ht="45.75" customHeight="1" x14ac:dyDescent="0.3">
      <c r="A5299" s="1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</row>
    <row r="5300" spans="1:20" ht="45.75" customHeight="1" x14ac:dyDescent="0.3">
      <c r="A5300" s="1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</row>
    <row r="5301" spans="1:20" ht="45.75" customHeight="1" x14ac:dyDescent="0.3">
      <c r="A5301" s="1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</row>
    <row r="5302" spans="1:20" ht="45.75" customHeight="1" x14ac:dyDescent="0.3">
      <c r="A5302" s="1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</row>
    <row r="5303" spans="1:20" ht="45.75" customHeight="1" x14ac:dyDescent="0.3">
      <c r="A5303" s="1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</row>
    <row r="5304" spans="1:20" ht="45.75" customHeight="1" x14ac:dyDescent="0.3">
      <c r="A5304" s="1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</row>
    <row r="5305" spans="1:20" ht="45.75" customHeight="1" x14ac:dyDescent="0.3">
      <c r="A5305" s="1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</row>
    <row r="5306" spans="1:20" ht="45.75" customHeight="1" x14ac:dyDescent="0.3">
      <c r="A5306" s="1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</row>
    <row r="5307" spans="1:20" ht="45.75" customHeight="1" x14ac:dyDescent="0.3">
      <c r="A5307" s="1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</row>
    <row r="5308" spans="1:20" ht="45.75" customHeight="1" x14ac:dyDescent="0.3">
      <c r="A5308" s="1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</row>
    <row r="5309" spans="1:20" ht="45.75" customHeight="1" x14ac:dyDescent="0.3">
      <c r="A5309" s="1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</row>
    <row r="5310" spans="1:20" ht="45.75" customHeight="1" x14ac:dyDescent="0.3">
      <c r="A5310" s="1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</row>
    <row r="5311" spans="1:20" ht="45.75" customHeight="1" x14ac:dyDescent="0.3">
      <c r="A5311" s="1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</row>
    <row r="5312" spans="1:20" ht="45.75" customHeight="1" x14ac:dyDescent="0.3">
      <c r="A5312" s="1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</row>
    <row r="5313" spans="1:20" ht="45.75" customHeight="1" x14ac:dyDescent="0.3">
      <c r="A5313" s="1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</row>
    <row r="5314" spans="1:20" ht="45.75" customHeight="1" x14ac:dyDescent="0.3">
      <c r="A5314" s="1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</row>
    <row r="5315" spans="1:20" ht="45.75" customHeight="1" x14ac:dyDescent="0.3">
      <c r="A5315" s="1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</row>
    <row r="5316" spans="1:20" ht="45.75" customHeight="1" x14ac:dyDescent="0.3">
      <c r="A5316" s="1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</row>
    <row r="5317" spans="1:20" ht="45.75" customHeight="1" x14ac:dyDescent="0.3">
      <c r="A5317" s="1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</row>
    <row r="5318" spans="1:20" ht="45.75" customHeight="1" x14ac:dyDescent="0.3">
      <c r="A5318" s="1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</row>
    <row r="5319" spans="1:20" ht="45.75" customHeight="1" x14ac:dyDescent="0.3">
      <c r="A5319" s="1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</row>
    <row r="5320" spans="1:20" ht="45.75" customHeight="1" x14ac:dyDescent="0.3">
      <c r="A5320" s="1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</row>
    <row r="5321" spans="1:20" ht="45.75" customHeight="1" x14ac:dyDescent="0.3">
      <c r="A5321" s="1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</row>
    <row r="5322" spans="1:20" ht="45.75" customHeight="1" x14ac:dyDescent="0.3">
      <c r="A5322" s="1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</row>
    <row r="5323" spans="1:20" ht="45.75" customHeight="1" x14ac:dyDescent="0.3">
      <c r="A5323" s="1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</row>
    <row r="5324" spans="1:20" ht="45.75" customHeight="1" x14ac:dyDescent="0.3">
      <c r="A5324" s="1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</row>
    <row r="5325" spans="1:20" ht="45.75" customHeight="1" x14ac:dyDescent="0.3">
      <c r="A5325" s="1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</row>
    <row r="5326" spans="1:20" ht="45.75" customHeight="1" x14ac:dyDescent="0.3">
      <c r="A5326" s="1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</row>
    <row r="5327" spans="1:20" ht="45.75" customHeight="1" x14ac:dyDescent="0.3">
      <c r="A5327" s="1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</row>
    <row r="5328" spans="1:20" ht="45.75" customHeight="1" x14ac:dyDescent="0.3">
      <c r="A5328" s="1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</row>
    <row r="5329" spans="1:20" ht="45.75" customHeight="1" x14ac:dyDescent="0.3">
      <c r="A5329" s="1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</row>
    <row r="5330" spans="1:20" ht="45.75" customHeight="1" x14ac:dyDescent="0.3">
      <c r="A5330" s="1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</row>
    <row r="5331" spans="1:20" ht="45.75" customHeight="1" x14ac:dyDescent="0.3">
      <c r="A5331" s="1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</row>
    <row r="5332" spans="1:20" ht="45.75" customHeight="1" x14ac:dyDescent="0.3">
      <c r="A5332" s="1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</row>
    <row r="5333" spans="1:20" ht="45.75" customHeight="1" x14ac:dyDescent="0.3">
      <c r="A5333" s="1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</row>
    <row r="5334" spans="1:20" ht="45.75" customHeight="1" x14ac:dyDescent="0.3">
      <c r="A5334" s="1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</row>
    <row r="5335" spans="1:20" ht="45.75" customHeight="1" x14ac:dyDescent="0.3">
      <c r="A5335" s="1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</row>
    <row r="5336" spans="1:20" ht="45.75" customHeight="1" x14ac:dyDescent="0.3">
      <c r="A5336" s="1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</row>
    <row r="5337" spans="1:20" ht="45.75" customHeight="1" x14ac:dyDescent="0.3">
      <c r="A5337" s="1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</row>
    <row r="5338" spans="1:20" ht="45.75" customHeight="1" x14ac:dyDescent="0.3">
      <c r="A5338" s="1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</row>
    <row r="5339" spans="1:20" ht="45.75" customHeight="1" x14ac:dyDescent="0.3">
      <c r="A5339" s="1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</row>
    <row r="5340" spans="1:20" ht="45.75" customHeight="1" x14ac:dyDescent="0.3">
      <c r="A5340" s="1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</row>
    <row r="5341" spans="1:20" ht="45.75" customHeight="1" x14ac:dyDescent="0.3">
      <c r="A5341" s="1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</row>
    <row r="5342" spans="1:20" ht="45.75" customHeight="1" x14ac:dyDescent="0.3">
      <c r="A5342" s="1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</row>
    <row r="5343" spans="1:20" ht="45.75" customHeight="1" x14ac:dyDescent="0.3">
      <c r="A5343" s="1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</row>
    <row r="5344" spans="1:20" ht="45.75" customHeight="1" x14ac:dyDescent="0.3">
      <c r="A5344" s="1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</row>
    <row r="5345" spans="1:20" ht="45.75" customHeight="1" x14ac:dyDescent="0.3">
      <c r="A5345" s="1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</row>
    <row r="5346" spans="1:20" ht="45.75" customHeight="1" x14ac:dyDescent="0.3">
      <c r="A5346" s="1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</row>
    <row r="5347" spans="1:20" ht="45.75" customHeight="1" x14ac:dyDescent="0.3">
      <c r="A5347" s="1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</row>
    <row r="5348" spans="1:20" ht="45.75" customHeight="1" x14ac:dyDescent="0.3">
      <c r="A5348" s="1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</row>
    <row r="5349" spans="1:20" ht="45.75" customHeight="1" x14ac:dyDescent="0.3">
      <c r="A5349" s="1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</row>
    <row r="5350" spans="1:20" ht="45.75" customHeight="1" x14ac:dyDescent="0.3">
      <c r="A5350" s="1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</row>
    <row r="5351" spans="1:20" ht="45.75" customHeight="1" x14ac:dyDescent="0.3">
      <c r="A5351" s="1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</row>
    <row r="5352" spans="1:20" ht="45.75" customHeight="1" x14ac:dyDescent="0.3">
      <c r="A5352" s="1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</row>
    <row r="5353" spans="1:20" ht="45.75" customHeight="1" x14ac:dyDescent="0.3">
      <c r="A5353" s="1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</row>
    <row r="5354" spans="1:20" ht="45.75" customHeight="1" x14ac:dyDescent="0.3">
      <c r="A5354" s="1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</row>
    <row r="5355" spans="1:20" ht="45.75" customHeight="1" x14ac:dyDescent="0.3">
      <c r="A5355" s="1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</row>
    <row r="5356" spans="1:20" ht="45.75" customHeight="1" x14ac:dyDescent="0.3">
      <c r="A5356" s="1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</row>
    <row r="5357" spans="1:20" ht="45.75" customHeight="1" x14ac:dyDescent="0.3">
      <c r="A5357" s="1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</row>
    <row r="5358" spans="1:20" ht="45.75" customHeight="1" x14ac:dyDescent="0.3">
      <c r="A5358" s="1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</row>
    <row r="5359" spans="1:20" ht="45.75" customHeight="1" x14ac:dyDescent="0.3">
      <c r="A5359" s="1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</row>
    <row r="5360" spans="1:20" ht="45.75" customHeight="1" x14ac:dyDescent="0.3">
      <c r="A5360" s="1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</row>
    <row r="5361" spans="1:20" ht="45.75" customHeight="1" x14ac:dyDescent="0.3">
      <c r="A5361" s="1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</row>
    <row r="5362" spans="1:20" ht="45.75" customHeight="1" x14ac:dyDescent="0.3">
      <c r="A5362" s="1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</row>
    <row r="5363" spans="1:20" ht="45.75" customHeight="1" x14ac:dyDescent="0.3">
      <c r="A5363" s="1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</row>
    <row r="5364" spans="1:20" ht="45.75" customHeight="1" x14ac:dyDescent="0.3">
      <c r="A5364" s="1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</row>
    <row r="5365" spans="1:20" ht="45.75" customHeight="1" x14ac:dyDescent="0.3">
      <c r="A5365" s="1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</row>
    <row r="5366" spans="1:20" ht="45.75" customHeight="1" x14ac:dyDescent="0.3">
      <c r="A5366" s="1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</row>
    <row r="5367" spans="1:20" ht="45.75" customHeight="1" x14ac:dyDescent="0.3">
      <c r="A5367" s="1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</row>
    <row r="5368" spans="1:20" ht="45.75" customHeight="1" x14ac:dyDescent="0.3">
      <c r="A5368" s="1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</row>
    <row r="5369" spans="1:20" ht="45.75" customHeight="1" x14ac:dyDescent="0.3">
      <c r="A5369" s="1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</row>
    <row r="5370" spans="1:20" ht="45.75" customHeight="1" x14ac:dyDescent="0.3">
      <c r="A5370" s="1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</row>
    <row r="5371" spans="1:20" ht="45.75" customHeight="1" x14ac:dyDescent="0.3">
      <c r="A5371" s="1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</row>
    <row r="5372" spans="1:20" ht="45.75" customHeight="1" x14ac:dyDescent="0.3">
      <c r="A5372" s="1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</row>
    <row r="5373" spans="1:20" ht="45.75" customHeight="1" x14ac:dyDescent="0.3">
      <c r="A5373" s="1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</row>
    <row r="5374" spans="1:20" ht="45.75" customHeight="1" x14ac:dyDescent="0.3">
      <c r="A5374" s="1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</row>
    <row r="5375" spans="1:20" ht="45.75" customHeight="1" x14ac:dyDescent="0.3">
      <c r="A5375" s="1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</row>
    <row r="5376" spans="1:20" ht="45.75" customHeight="1" x14ac:dyDescent="0.3">
      <c r="A5376" s="1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</row>
    <row r="5377" spans="1:20" ht="45.75" customHeight="1" x14ac:dyDescent="0.3">
      <c r="A5377" s="1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</row>
    <row r="5378" spans="1:20" ht="45.75" customHeight="1" x14ac:dyDescent="0.3">
      <c r="A5378" s="1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</row>
    <row r="5379" spans="1:20" ht="45.75" customHeight="1" x14ac:dyDescent="0.3">
      <c r="A5379" s="1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</row>
    <row r="5380" spans="1:20" ht="45.75" customHeight="1" x14ac:dyDescent="0.3">
      <c r="A5380" s="1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</row>
    <row r="5381" spans="1:20" ht="45.75" customHeight="1" x14ac:dyDescent="0.3">
      <c r="A5381" s="1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</row>
    <row r="5382" spans="1:20" ht="45.75" customHeight="1" x14ac:dyDescent="0.3">
      <c r="A5382" s="1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</row>
    <row r="5383" spans="1:20" ht="45.75" customHeight="1" x14ac:dyDescent="0.3">
      <c r="A5383" s="1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</row>
    <row r="5384" spans="1:20" ht="45.75" customHeight="1" x14ac:dyDescent="0.3">
      <c r="A5384" s="1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</row>
    <row r="5385" spans="1:20" ht="45.75" customHeight="1" x14ac:dyDescent="0.3">
      <c r="A5385" s="1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</row>
    <row r="5386" spans="1:20" ht="45.75" customHeight="1" x14ac:dyDescent="0.3">
      <c r="A5386" s="1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</row>
    <row r="5387" spans="1:20" ht="45.75" customHeight="1" x14ac:dyDescent="0.3">
      <c r="A5387" s="1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</row>
    <row r="5388" spans="1:20" ht="45.75" customHeight="1" x14ac:dyDescent="0.3">
      <c r="A5388" s="1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</row>
    <row r="5389" spans="1:20" ht="45.75" customHeight="1" x14ac:dyDescent="0.3">
      <c r="A5389" s="1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</row>
    <row r="5390" spans="1:20" ht="45.75" customHeight="1" x14ac:dyDescent="0.3">
      <c r="A5390" s="1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</row>
    <row r="5391" spans="1:20" ht="45.75" customHeight="1" x14ac:dyDescent="0.3">
      <c r="A5391" s="1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</row>
    <row r="5392" spans="1:20" ht="45.75" customHeight="1" x14ac:dyDescent="0.3">
      <c r="A5392" s="1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</row>
    <row r="5393" spans="1:20" ht="45.75" customHeight="1" x14ac:dyDescent="0.3">
      <c r="A5393" s="1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</row>
    <row r="5394" spans="1:20" ht="45.75" customHeight="1" x14ac:dyDescent="0.3">
      <c r="A5394" s="1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</row>
    <row r="5395" spans="1:20" ht="45.75" customHeight="1" x14ac:dyDescent="0.3">
      <c r="A5395" s="1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</row>
    <row r="5396" spans="1:20" ht="45.75" customHeight="1" x14ac:dyDescent="0.3">
      <c r="A5396" s="1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</row>
    <row r="5397" spans="1:20" ht="45.75" customHeight="1" x14ac:dyDescent="0.3">
      <c r="A5397" s="1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</row>
    <row r="5398" spans="1:20" ht="45.75" customHeight="1" x14ac:dyDescent="0.3">
      <c r="A5398" s="1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</row>
    <row r="5399" spans="1:20" ht="45.75" customHeight="1" x14ac:dyDescent="0.3">
      <c r="A5399" s="1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</row>
    <row r="5400" spans="1:20" ht="45.75" customHeight="1" x14ac:dyDescent="0.3">
      <c r="A5400" s="1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</row>
    <row r="5401" spans="1:20" ht="45.75" customHeight="1" x14ac:dyDescent="0.3">
      <c r="A5401" s="1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</row>
    <row r="5402" spans="1:20" ht="45.75" customHeight="1" x14ac:dyDescent="0.3">
      <c r="A5402" s="1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</row>
    <row r="5403" spans="1:20" ht="45.75" customHeight="1" x14ac:dyDescent="0.3">
      <c r="A5403" s="1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</row>
    <row r="5404" spans="1:20" ht="45.75" customHeight="1" x14ac:dyDescent="0.3">
      <c r="A5404" s="1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</row>
    <row r="5405" spans="1:20" ht="45.75" customHeight="1" x14ac:dyDescent="0.3">
      <c r="A5405" s="1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</row>
    <row r="5406" spans="1:20" ht="45.75" customHeight="1" x14ac:dyDescent="0.3">
      <c r="A5406" s="1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</row>
    <row r="5407" spans="1:20" ht="45.75" customHeight="1" x14ac:dyDescent="0.3">
      <c r="A5407" s="1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</row>
    <row r="5408" spans="1:20" ht="45.75" customHeight="1" x14ac:dyDescent="0.3">
      <c r="A5408" s="1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</row>
    <row r="5409" spans="1:20" ht="45.75" customHeight="1" x14ac:dyDescent="0.3">
      <c r="A5409" s="1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</row>
    <row r="5410" spans="1:20" ht="45.75" customHeight="1" x14ac:dyDescent="0.3">
      <c r="A5410" s="1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</row>
    <row r="5411" spans="1:20" ht="45.75" customHeight="1" x14ac:dyDescent="0.3">
      <c r="A5411" s="1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</row>
    <row r="5412" spans="1:20" ht="45.75" customHeight="1" x14ac:dyDescent="0.3">
      <c r="A5412" s="1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</row>
    <row r="5413" spans="1:20" ht="45.75" customHeight="1" x14ac:dyDescent="0.3">
      <c r="A5413" s="1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</row>
    <row r="5414" spans="1:20" ht="45.75" customHeight="1" x14ac:dyDescent="0.3">
      <c r="A5414" s="1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</row>
    <row r="5415" spans="1:20" ht="45.75" customHeight="1" x14ac:dyDescent="0.3">
      <c r="A5415" s="1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</row>
    <row r="5416" spans="1:20" ht="45.75" customHeight="1" x14ac:dyDescent="0.3">
      <c r="A5416" s="1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</row>
    <row r="5417" spans="1:20" ht="45.75" customHeight="1" x14ac:dyDescent="0.3">
      <c r="A5417" s="1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</row>
    <row r="5418" spans="1:20" ht="45.75" customHeight="1" x14ac:dyDescent="0.3">
      <c r="A5418" s="1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</row>
    <row r="5419" spans="1:20" ht="45.75" customHeight="1" x14ac:dyDescent="0.3">
      <c r="A5419" s="1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</row>
    <row r="5420" spans="1:20" ht="45.75" customHeight="1" x14ac:dyDescent="0.3">
      <c r="A5420" s="1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</row>
    <row r="5421" spans="1:20" ht="45.75" customHeight="1" x14ac:dyDescent="0.3">
      <c r="A5421" s="1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</row>
    <row r="5422" spans="1:20" ht="45.75" customHeight="1" x14ac:dyDescent="0.3">
      <c r="A5422" s="1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</row>
    <row r="5423" spans="1:20" ht="45.75" customHeight="1" x14ac:dyDescent="0.3">
      <c r="A5423" s="1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</row>
    <row r="5424" spans="1:20" ht="45.75" customHeight="1" x14ac:dyDescent="0.3">
      <c r="A5424" s="1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</row>
    <row r="5425" spans="1:20" ht="45.75" customHeight="1" x14ac:dyDescent="0.3">
      <c r="A5425" s="1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</row>
    <row r="5426" spans="1:20" ht="45.75" customHeight="1" x14ac:dyDescent="0.3">
      <c r="A5426" s="1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</row>
    <row r="5427" spans="1:20" ht="45.75" customHeight="1" x14ac:dyDescent="0.3">
      <c r="A5427" s="1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</row>
    <row r="5428" spans="1:20" ht="45.75" customHeight="1" x14ac:dyDescent="0.3">
      <c r="A5428" s="1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</row>
    <row r="5429" spans="1:20" ht="45.75" customHeight="1" x14ac:dyDescent="0.3">
      <c r="A5429" s="1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</row>
    <row r="5430" spans="1:20" ht="45.75" customHeight="1" x14ac:dyDescent="0.3">
      <c r="A5430" s="1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</row>
    <row r="5431" spans="1:20" ht="45.75" customHeight="1" x14ac:dyDescent="0.3">
      <c r="A5431" s="1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</row>
    <row r="5432" spans="1:20" ht="45.75" customHeight="1" x14ac:dyDescent="0.3">
      <c r="A5432" s="1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</row>
    <row r="5433" spans="1:20" ht="45.75" customHeight="1" x14ac:dyDescent="0.3">
      <c r="A5433" s="1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</row>
    <row r="5434" spans="1:20" ht="45.75" customHeight="1" x14ac:dyDescent="0.3">
      <c r="A5434" s="1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</row>
    <row r="5435" spans="1:20" ht="45.75" customHeight="1" x14ac:dyDescent="0.3">
      <c r="A5435" s="1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</row>
    <row r="5436" spans="1:20" ht="45.75" customHeight="1" x14ac:dyDescent="0.3">
      <c r="A5436" s="1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</row>
    <row r="5437" spans="1:20" ht="45.75" customHeight="1" x14ac:dyDescent="0.3">
      <c r="A5437" s="1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</row>
    <row r="5438" spans="1:20" ht="45.75" customHeight="1" x14ac:dyDescent="0.3">
      <c r="A5438" s="1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</row>
    <row r="5439" spans="1:20" ht="45.75" customHeight="1" x14ac:dyDescent="0.3">
      <c r="A5439" s="1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</row>
    <row r="5440" spans="1:20" ht="45.75" customHeight="1" x14ac:dyDescent="0.3">
      <c r="A5440" s="1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</row>
    <row r="5441" spans="1:20" ht="45.75" customHeight="1" x14ac:dyDescent="0.3">
      <c r="A5441" s="1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</row>
    <row r="5442" spans="1:20" ht="45.75" customHeight="1" x14ac:dyDescent="0.3">
      <c r="A5442" s="1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</row>
    <row r="5443" spans="1:20" ht="45.75" customHeight="1" x14ac:dyDescent="0.3">
      <c r="A5443" s="1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</row>
    <row r="5444" spans="1:20" ht="45.75" customHeight="1" x14ac:dyDescent="0.3">
      <c r="A5444" s="1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</row>
    <row r="5445" spans="1:20" ht="45.75" customHeight="1" x14ac:dyDescent="0.3">
      <c r="A5445" s="1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</row>
    <row r="5446" spans="1:20" ht="45.75" customHeight="1" x14ac:dyDescent="0.3">
      <c r="A5446" s="1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</row>
    <row r="5447" spans="1:20" ht="45.75" customHeight="1" x14ac:dyDescent="0.3">
      <c r="A5447" s="1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</row>
    <row r="5448" spans="1:20" ht="45.75" customHeight="1" x14ac:dyDescent="0.3">
      <c r="A5448" s="1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</row>
    <row r="5449" spans="1:20" ht="45.75" customHeight="1" x14ac:dyDescent="0.3">
      <c r="A5449" s="1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</row>
    <row r="5450" spans="1:20" ht="45.75" customHeight="1" x14ac:dyDescent="0.3">
      <c r="A5450" s="1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</row>
    <row r="5451" spans="1:20" ht="45.75" customHeight="1" x14ac:dyDescent="0.3">
      <c r="A5451" s="1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</row>
    <row r="5452" spans="1:20" ht="45.75" customHeight="1" x14ac:dyDescent="0.3">
      <c r="A5452" s="1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</row>
    <row r="5453" spans="1:20" ht="45.75" customHeight="1" x14ac:dyDescent="0.3">
      <c r="A5453" s="1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</row>
    <row r="5454" spans="1:20" ht="45.75" customHeight="1" x14ac:dyDescent="0.3">
      <c r="A5454" s="1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</row>
    <row r="5455" spans="1:20" ht="45.75" customHeight="1" x14ac:dyDescent="0.3">
      <c r="A5455" s="1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</row>
    <row r="5456" spans="1:20" ht="45.75" customHeight="1" x14ac:dyDescent="0.3">
      <c r="A5456" s="1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</row>
    <row r="5457" spans="1:20" ht="45.75" customHeight="1" x14ac:dyDescent="0.3">
      <c r="A5457" s="1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</row>
    <row r="5458" spans="1:20" ht="45.75" customHeight="1" x14ac:dyDescent="0.3">
      <c r="A5458" s="1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</row>
    <row r="5459" spans="1:20" ht="45.75" customHeight="1" x14ac:dyDescent="0.3">
      <c r="A5459" s="1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</row>
    <row r="5460" spans="1:20" ht="45.75" customHeight="1" x14ac:dyDescent="0.3">
      <c r="A5460" s="1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</row>
    <row r="5461" spans="1:20" ht="45.75" customHeight="1" x14ac:dyDescent="0.3">
      <c r="A5461" s="1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</row>
    <row r="5462" spans="1:20" ht="45.75" customHeight="1" x14ac:dyDescent="0.3">
      <c r="A5462" s="1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</row>
    <row r="5463" spans="1:20" ht="45.75" customHeight="1" x14ac:dyDescent="0.3">
      <c r="A5463" s="1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</row>
    <row r="5464" spans="1:20" ht="45.75" customHeight="1" x14ac:dyDescent="0.3">
      <c r="A5464" s="1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</row>
    <row r="5465" spans="1:20" ht="45.75" customHeight="1" x14ac:dyDescent="0.3">
      <c r="A5465" s="1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</row>
    <row r="5466" spans="1:20" ht="45.75" customHeight="1" x14ac:dyDescent="0.3">
      <c r="A5466" s="1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</row>
    <row r="5467" spans="1:20" ht="45.75" customHeight="1" x14ac:dyDescent="0.3">
      <c r="A5467" s="1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</row>
    <row r="5468" spans="1:20" ht="45.75" customHeight="1" x14ac:dyDescent="0.3">
      <c r="A5468" s="1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</row>
    <row r="5469" spans="1:20" ht="45.75" customHeight="1" x14ac:dyDescent="0.3">
      <c r="A5469" s="1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</row>
    <row r="5470" spans="1:20" ht="45.75" customHeight="1" x14ac:dyDescent="0.3">
      <c r="A5470" s="1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</row>
    <row r="5471" spans="1:20" ht="45.75" customHeight="1" x14ac:dyDescent="0.3">
      <c r="A5471" s="1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</row>
    <row r="5472" spans="1:20" ht="45.75" customHeight="1" x14ac:dyDescent="0.3">
      <c r="A5472" s="1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</row>
    <row r="5473" spans="1:20" ht="45.75" customHeight="1" x14ac:dyDescent="0.3">
      <c r="A5473" s="1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</row>
    <row r="5474" spans="1:20" ht="45.75" customHeight="1" x14ac:dyDescent="0.3">
      <c r="A5474" s="1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</row>
    <row r="5475" spans="1:20" ht="45.75" customHeight="1" x14ac:dyDescent="0.3">
      <c r="A5475" s="1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</row>
    <row r="5476" spans="1:20" ht="45.75" customHeight="1" x14ac:dyDescent="0.3">
      <c r="A5476" s="1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</row>
    <row r="5477" spans="1:20" ht="45.75" customHeight="1" x14ac:dyDescent="0.3">
      <c r="A5477" s="1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</row>
    <row r="5478" spans="1:20" ht="45.75" customHeight="1" x14ac:dyDescent="0.3">
      <c r="A5478" s="1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</row>
    <row r="5479" spans="1:20" ht="45.75" customHeight="1" x14ac:dyDescent="0.3">
      <c r="A5479" s="1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</row>
    <row r="5480" spans="1:20" ht="45.75" customHeight="1" x14ac:dyDescent="0.3">
      <c r="A5480" s="1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</row>
    <row r="5481" spans="1:20" ht="45.75" customHeight="1" x14ac:dyDescent="0.3">
      <c r="A5481" s="1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</row>
    <row r="5482" spans="1:20" ht="45.75" customHeight="1" x14ac:dyDescent="0.3">
      <c r="A5482" s="1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</row>
    <row r="5483" spans="1:20" ht="45.75" customHeight="1" x14ac:dyDescent="0.3">
      <c r="A5483" s="1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</row>
    <row r="5484" spans="1:20" ht="45.75" customHeight="1" x14ac:dyDescent="0.3">
      <c r="A5484" s="1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</row>
    <row r="5485" spans="1:20" ht="45.75" customHeight="1" x14ac:dyDescent="0.3">
      <c r="A5485" s="1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</row>
    <row r="5486" spans="1:20" ht="45.75" customHeight="1" x14ac:dyDescent="0.3">
      <c r="A5486" s="1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</row>
    <row r="5487" spans="1:20" ht="45.75" customHeight="1" x14ac:dyDescent="0.3">
      <c r="A5487" s="1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</row>
    <row r="5488" spans="1:20" ht="45.75" customHeight="1" x14ac:dyDescent="0.3">
      <c r="A5488" s="1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</row>
    <row r="5489" spans="1:20" ht="45.75" customHeight="1" x14ac:dyDescent="0.3">
      <c r="A5489" s="1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</row>
    <row r="5490" spans="1:20" ht="45.75" customHeight="1" x14ac:dyDescent="0.3">
      <c r="A5490" s="1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</row>
    <row r="5491" spans="1:20" ht="45.75" customHeight="1" x14ac:dyDescent="0.3">
      <c r="A5491" s="1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</row>
    <row r="5492" spans="1:20" ht="45.75" customHeight="1" x14ac:dyDescent="0.3">
      <c r="A5492" s="1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</row>
    <row r="5493" spans="1:20" ht="45.75" customHeight="1" x14ac:dyDescent="0.3">
      <c r="A5493" s="1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</row>
    <row r="5494" spans="1:20" ht="45.75" customHeight="1" x14ac:dyDescent="0.3">
      <c r="A5494" s="1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</row>
    <row r="5495" spans="1:20" ht="45.75" customHeight="1" x14ac:dyDescent="0.3">
      <c r="A5495" s="1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</row>
    <row r="5496" spans="1:20" ht="45.75" customHeight="1" x14ac:dyDescent="0.3">
      <c r="A5496" s="1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</row>
    <row r="5497" spans="1:20" ht="45.75" customHeight="1" x14ac:dyDescent="0.3">
      <c r="A5497" s="1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</row>
    <row r="5498" spans="1:20" ht="45.75" customHeight="1" x14ac:dyDescent="0.3">
      <c r="A5498" s="1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</row>
    <row r="5499" spans="1:20" ht="45.75" customHeight="1" x14ac:dyDescent="0.3">
      <c r="A5499" s="1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</row>
    <row r="5500" spans="1:20" ht="45.75" customHeight="1" x14ac:dyDescent="0.3">
      <c r="A5500" s="1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</row>
    <row r="5501" spans="1:20" ht="45.75" customHeight="1" x14ac:dyDescent="0.3">
      <c r="A5501" s="1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</row>
    <row r="5502" spans="1:20" ht="45.75" customHeight="1" x14ac:dyDescent="0.3">
      <c r="A5502" s="1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</row>
    <row r="5503" spans="1:20" ht="45.75" customHeight="1" x14ac:dyDescent="0.3">
      <c r="A5503" s="1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</row>
    <row r="5504" spans="1:20" ht="45.75" customHeight="1" x14ac:dyDescent="0.3">
      <c r="A5504" s="1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</row>
    <row r="5505" spans="1:20" ht="45.75" customHeight="1" x14ac:dyDescent="0.3">
      <c r="A5505" s="1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</row>
    <row r="5506" spans="1:20" ht="45.75" customHeight="1" x14ac:dyDescent="0.3">
      <c r="A5506" s="1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</row>
    <row r="5507" spans="1:20" ht="45.75" customHeight="1" x14ac:dyDescent="0.3">
      <c r="A5507" s="1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</row>
    <row r="5508" spans="1:20" ht="45.75" customHeight="1" x14ac:dyDescent="0.3">
      <c r="A5508" s="1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</row>
    <row r="5509" spans="1:20" ht="45.75" customHeight="1" x14ac:dyDescent="0.3">
      <c r="A5509" s="1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</row>
    <row r="5510" spans="1:20" ht="45.75" customHeight="1" x14ac:dyDescent="0.3">
      <c r="A5510" s="1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</row>
    <row r="5511" spans="1:20" ht="45.75" customHeight="1" x14ac:dyDescent="0.3">
      <c r="A5511" s="1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</row>
    <row r="5512" spans="1:20" ht="45.75" customHeight="1" x14ac:dyDescent="0.3">
      <c r="A5512" s="1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</row>
    <row r="5513" spans="1:20" ht="45.75" customHeight="1" x14ac:dyDescent="0.3">
      <c r="A5513" s="1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</row>
    <row r="5514" spans="1:20" ht="45.75" customHeight="1" x14ac:dyDescent="0.3">
      <c r="A5514" s="1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</row>
    <row r="5515" spans="1:20" ht="45.75" customHeight="1" x14ac:dyDescent="0.3">
      <c r="A5515" s="1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</row>
    <row r="5516" spans="1:20" ht="45.75" customHeight="1" x14ac:dyDescent="0.3">
      <c r="A5516" s="1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</row>
    <row r="5517" spans="1:20" ht="45.75" customHeight="1" x14ac:dyDescent="0.3">
      <c r="A5517" s="1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</row>
    <row r="5518" spans="1:20" ht="45.75" customHeight="1" x14ac:dyDescent="0.3">
      <c r="A5518" s="1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</row>
    <row r="5519" spans="1:20" ht="45.75" customHeight="1" x14ac:dyDescent="0.3">
      <c r="A5519" s="1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</row>
    <row r="5520" spans="1:20" ht="45.75" customHeight="1" x14ac:dyDescent="0.3">
      <c r="A5520" s="1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</row>
    <row r="5521" spans="1:20" ht="45.75" customHeight="1" x14ac:dyDescent="0.3">
      <c r="A5521" s="1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</row>
    <row r="5522" spans="1:20" ht="45.75" customHeight="1" x14ac:dyDescent="0.3">
      <c r="A5522" s="1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</row>
    <row r="5523" spans="1:20" ht="45.75" customHeight="1" x14ac:dyDescent="0.3">
      <c r="A5523" s="1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</row>
    <row r="5524" spans="1:20" ht="45.75" customHeight="1" x14ac:dyDescent="0.3">
      <c r="A5524" s="1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</row>
    <row r="5525" spans="1:20" ht="45.75" customHeight="1" x14ac:dyDescent="0.3">
      <c r="A5525" s="1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</row>
    <row r="5526" spans="1:20" ht="45.75" customHeight="1" x14ac:dyDescent="0.3">
      <c r="A5526" s="1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</row>
    <row r="5527" spans="1:20" ht="45.75" customHeight="1" x14ac:dyDescent="0.3">
      <c r="A5527" s="1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</row>
    <row r="5528" spans="1:20" ht="45.75" customHeight="1" x14ac:dyDescent="0.3">
      <c r="A5528" s="1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</row>
    <row r="5529" spans="1:20" ht="45.75" customHeight="1" x14ac:dyDescent="0.3">
      <c r="A5529" s="1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</row>
    <row r="5530" spans="1:20" ht="45.75" customHeight="1" x14ac:dyDescent="0.3">
      <c r="A5530" s="1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</row>
    <row r="5531" spans="1:20" ht="45.75" customHeight="1" x14ac:dyDescent="0.3">
      <c r="A5531" s="1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</row>
    <row r="5532" spans="1:20" ht="45.75" customHeight="1" x14ac:dyDescent="0.3">
      <c r="A5532" s="1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</row>
    <row r="5533" spans="1:20" ht="45.75" customHeight="1" x14ac:dyDescent="0.3">
      <c r="A5533" s="1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</row>
    <row r="5534" spans="1:20" ht="45.75" customHeight="1" x14ac:dyDescent="0.3">
      <c r="A5534" s="1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</row>
    <row r="5535" spans="1:20" ht="45.75" customHeight="1" x14ac:dyDescent="0.3">
      <c r="A5535" s="1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</row>
    <row r="5536" spans="1:20" ht="45.75" customHeight="1" x14ac:dyDescent="0.3">
      <c r="A5536" s="1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</row>
    <row r="5537" spans="1:20" ht="45.75" customHeight="1" x14ac:dyDescent="0.3">
      <c r="A5537" s="1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</row>
    <row r="5538" spans="1:20" ht="45.75" customHeight="1" x14ac:dyDescent="0.3">
      <c r="A5538" s="1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</row>
    <row r="5539" spans="1:20" ht="45.75" customHeight="1" x14ac:dyDescent="0.3">
      <c r="A5539" s="1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</row>
    <row r="5540" spans="1:20" ht="45.75" customHeight="1" x14ac:dyDescent="0.3">
      <c r="A5540" s="1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</row>
    <row r="5541" spans="1:20" ht="45.75" customHeight="1" x14ac:dyDescent="0.3">
      <c r="A5541" s="1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</row>
    <row r="5542" spans="1:20" ht="45.75" customHeight="1" x14ac:dyDescent="0.3">
      <c r="A5542" s="1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</row>
    <row r="5543" spans="1:20" ht="45.75" customHeight="1" x14ac:dyDescent="0.3">
      <c r="A5543" s="1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</row>
    <row r="5544" spans="1:20" ht="45.75" customHeight="1" x14ac:dyDescent="0.3">
      <c r="A5544" s="1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</row>
    <row r="5545" spans="1:20" ht="45.75" customHeight="1" x14ac:dyDescent="0.3">
      <c r="A5545" s="1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</row>
    <row r="5546" spans="1:20" ht="45.75" customHeight="1" x14ac:dyDescent="0.3">
      <c r="A5546" s="1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</row>
    <row r="5547" spans="1:20" ht="45.75" customHeight="1" x14ac:dyDescent="0.3">
      <c r="A5547" s="1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</row>
    <row r="5548" spans="1:20" ht="45.75" customHeight="1" x14ac:dyDescent="0.3">
      <c r="A5548" s="1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</row>
    <row r="5549" spans="1:20" ht="45.75" customHeight="1" x14ac:dyDescent="0.3">
      <c r="A5549" s="1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</row>
    <row r="5550" spans="1:20" ht="45.75" customHeight="1" x14ac:dyDescent="0.3">
      <c r="A5550" s="1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</row>
    <row r="5551" spans="1:20" ht="45.75" customHeight="1" x14ac:dyDescent="0.3">
      <c r="A5551" s="1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</row>
    <row r="5552" spans="1:20" ht="45.75" customHeight="1" x14ac:dyDescent="0.3">
      <c r="A5552" s="1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</row>
    <row r="5553" spans="1:20" ht="45.75" customHeight="1" x14ac:dyDescent="0.3">
      <c r="A5553" s="1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</row>
    <row r="5554" spans="1:20" ht="45.75" customHeight="1" x14ac:dyDescent="0.3">
      <c r="A5554" s="1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</row>
    <row r="5555" spans="1:20" ht="45.75" customHeight="1" x14ac:dyDescent="0.3">
      <c r="A5555" s="1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</row>
    <row r="5556" spans="1:20" ht="45.75" customHeight="1" x14ac:dyDescent="0.3">
      <c r="A5556" s="1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</row>
    <row r="5557" spans="1:20" ht="45.75" customHeight="1" x14ac:dyDescent="0.3">
      <c r="A5557" s="1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</row>
    <row r="5558" spans="1:20" ht="45.75" customHeight="1" x14ac:dyDescent="0.3">
      <c r="A5558" s="1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</row>
    <row r="5559" spans="1:20" ht="45.75" customHeight="1" x14ac:dyDescent="0.3">
      <c r="A5559" s="1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</row>
    <row r="5560" spans="1:20" ht="45.75" customHeight="1" x14ac:dyDescent="0.3">
      <c r="A5560" s="1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</row>
    <row r="5561" spans="1:20" ht="45.75" customHeight="1" x14ac:dyDescent="0.3">
      <c r="A5561" s="1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</row>
    <row r="5562" spans="1:20" ht="45.75" customHeight="1" x14ac:dyDescent="0.3">
      <c r="A5562" s="1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</row>
    <row r="5563" spans="1:20" ht="45.75" customHeight="1" x14ac:dyDescent="0.3">
      <c r="A5563" s="1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</row>
    <row r="5564" spans="1:20" ht="45.75" customHeight="1" x14ac:dyDescent="0.3">
      <c r="A5564" s="1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</row>
    <row r="5565" spans="1:20" ht="45.75" customHeight="1" x14ac:dyDescent="0.3">
      <c r="A5565" s="1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</row>
    <row r="5566" spans="1:20" ht="45.75" customHeight="1" x14ac:dyDescent="0.3">
      <c r="A5566" s="1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</row>
    <row r="5567" spans="1:20" ht="45.75" customHeight="1" x14ac:dyDescent="0.3">
      <c r="A5567" s="1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</row>
    <row r="5568" spans="1:20" ht="45.75" customHeight="1" x14ac:dyDescent="0.3">
      <c r="A5568" s="1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</row>
    <row r="5569" spans="1:20" ht="45.75" customHeight="1" x14ac:dyDescent="0.3">
      <c r="A5569" s="1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</row>
    <row r="5570" spans="1:20" ht="45.75" customHeight="1" x14ac:dyDescent="0.3">
      <c r="A5570" s="1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</row>
    <row r="5571" spans="1:20" ht="45.75" customHeight="1" x14ac:dyDescent="0.3">
      <c r="A5571" s="1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</row>
    <row r="5572" spans="1:20" ht="45.75" customHeight="1" x14ac:dyDescent="0.3">
      <c r="A5572" s="1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</row>
    <row r="5573" spans="1:20" ht="45.75" customHeight="1" x14ac:dyDescent="0.3">
      <c r="A5573" s="1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</row>
    <row r="5574" spans="1:20" ht="45.75" customHeight="1" x14ac:dyDescent="0.3">
      <c r="A5574" s="1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</row>
    <row r="5575" spans="1:20" ht="45.75" customHeight="1" x14ac:dyDescent="0.3">
      <c r="A5575" s="1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</row>
    <row r="5576" spans="1:20" ht="45.75" customHeight="1" x14ac:dyDescent="0.3">
      <c r="A5576" s="1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</row>
    <row r="5577" spans="1:20" ht="45.75" customHeight="1" x14ac:dyDescent="0.3">
      <c r="A5577" s="1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</row>
    <row r="5578" spans="1:20" ht="45.75" customHeight="1" x14ac:dyDescent="0.3">
      <c r="A5578" s="1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</row>
    <row r="5579" spans="1:20" ht="45.75" customHeight="1" x14ac:dyDescent="0.3">
      <c r="A5579" s="1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</row>
    <row r="5580" spans="1:20" ht="45.75" customHeight="1" x14ac:dyDescent="0.3">
      <c r="A5580" s="1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</row>
    <row r="5581" spans="1:20" ht="45.75" customHeight="1" x14ac:dyDescent="0.3">
      <c r="A5581" s="1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</row>
    <row r="5582" spans="1:20" ht="45.75" customHeight="1" x14ac:dyDescent="0.3">
      <c r="A5582" s="1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</row>
    <row r="5583" spans="1:20" ht="45.75" customHeight="1" x14ac:dyDescent="0.3">
      <c r="A5583" s="1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</row>
    <row r="5584" spans="1:20" ht="45.75" customHeight="1" x14ac:dyDescent="0.3">
      <c r="A5584" s="1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</row>
    <row r="5585" spans="1:20" ht="45.75" customHeight="1" x14ac:dyDescent="0.3">
      <c r="A5585" s="1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</row>
    <row r="5586" spans="1:20" ht="45.75" customHeight="1" x14ac:dyDescent="0.3">
      <c r="A5586" s="1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</row>
    <row r="5587" spans="1:20" ht="45.75" customHeight="1" x14ac:dyDescent="0.3">
      <c r="A5587" s="1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</row>
    <row r="5588" spans="1:20" ht="45.75" customHeight="1" x14ac:dyDescent="0.3">
      <c r="A5588" s="1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</row>
    <row r="5589" spans="1:20" ht="45.75" customHeight="1" x14ac:dyDescent="0.3">
      <c r="A5589" s="1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</row>
    <row r="5590" spans="1:20" ht="45.75" customHeight="1" x14ac:dyDescent="0.3">
      <c r="A5590" s="1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</row>
    <row r="5591" spans="1:20" ht="45.75" customHeight="1" x14ac:dyDescent="0.3">
      <c r="A5591" s="1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</row>
    <row r="5592" spans="1:20" ht="45.75" customHeight="1" x14ac:dyDescent="0.3">
      <c r="A5592" s="1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</row>
    <row r="5593" spans="1:20" ht="45.75" customHeight="1" x14ac:dyDescent="0.3">
      <c r="A5593" s="1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</row>
    <row r="5594" spans="1:20" ht="45.75" customHeight="1" x14ac:dyDescent="0.3">
      <c r="A5594" s="1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</row>
    <row r="5595" spans="1:20" ht="45.75" customHeight="1" x14ac:dyDescent="0.3">
      <c r="A5595" s="1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</row>
    <row r="5596" spans="1:20" ht="45.75" customHeight="1" x14ac:dyDescent="0.3">
      <c r="A5596" s="1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</row>
    <row r="5597" spans="1:20" ht="45.75" customHeight="1" x14ac:dyDescent="0.3">
      <c r="A5597" s="1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</row>
    <row r="5598" spans="1:20" ht="45.75" customHeight="1" x14ac:dyDescent="0.3">
      <c r="A5598" s="1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</row>
    <row r="5599" spans="1:20" ht="45.75" customHeight="1" x14ac:dyDescent="0.3">
      <c r="A5599" s="1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</row>
    <row r="5600" spans="1:20" ht="45.75" customHeight="1" x14ac:dyDescent="0.3">
      <c r="A5600" s="1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</row>
    <row r="5601" spans="1:20" ht="45.75" customHeight="1" x14ac:dyDescent="0.3">
      <c r="A5601" s="1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</row>
    <row r="5602" spans="1:20" ht="45.75" customHeight="1" x14ac:dyDescent="0.3">
      <c r="A5602" s="1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</row>
    <row r="5603" spans="1:20" ht="45.75" customHeight="1" x14ac:dyDescent="0.3">
      <c r="A5603" s="1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</row>
    <row r="5604" spans="1:20" ht="45.75" customHeight="1" x14ac:dyDescent="0.3">
      <c r="A5604" s="1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</row>
    <row r="5605" spans="1:20" ht="45.75" customHeight="1" x14ac:dyDescent="0.3">
      <c r="A5605" s="1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</row>
    <row r="5606" spans="1:20" ht="45.75" customHeight="1" x14ac:dyDescent="0.3">
      <c r="A5606" s="1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</row>
    <row r="5607" spans="1:20" ht="45.75" customHeight="1" x14ac:dyDescent="0.3">
      <c r="A5607" s="1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</row>
    <row r="5608" spans="1:20" ht="45.75" customHeight="1" x14ac:dyDescent="0.3">
      <c r="A5608" s="1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</row>
    <row r="5609" spans="1:20" ht="45.75" customHeight="1" x14ac:dyDescent="0.3">
      <c r="A5609" s="1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</row>
    <row r="5610" spans="1:20" ht="45.75" customHeight="1" x14ac:dyDescent="0.3">
      <c r="A5610" s="1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</row>
    <row r="5611" spans="1:20" ht="45.75" customHeight="1" x14ac:dyDescent="0.3">
      <c r="A5611" s="1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</row>
    <row r="5612" spans="1:20" ht="45.75" customHeight="1" x14ac:dyDescent="0.3">
      <c r="A5612" s="1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</row>
    <row r="5613" spans="1:20" ht="45.75" customHeight="1" x14ac:dyDescent="0.3">
      <c r="A5613" s="1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</row>
    <row r="5614" spans="1:20" ht="45.75" customHeight="1" x14ac:dyDescent="0.3">
      <c r="A5614" s="1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</row>
    <row r="5615" spans="1:20" ht="45.75" customHeight="1" x14ac:dyDescent="0.3">
      <c r="A5615" s="1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</row>
    <row r="5616" spans="1:20" ht="45.75" customHeight="1" x14ac:dyDescent="0.3">
      <c r="A5616" s="1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</row>
    <row r="5617" spans="1:20" ht="45.75" customHeight="1" x14ac:dyDescent="0.3">
      <c r="A5617" s="1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</row>
    <row r="5618" spans="1:20" ht="45.75" customHeight="1" x14ac:dyDescent="0.3">
      <c r="A5618" s="1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</row>
    <row r="5619" spans="1:20" ht="45.75" customHeight="1" x14ac:dyDescent="0.3">
      <c r="A5619" s="1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</row>
    <row r="5620" spans="1:20" ht="45.75" customHeight="1" x14ac:dyDescent="0.3">
      <c r="A5620" s="1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</row>
    <row r="5621" spans="1:20" ht="45.75" customHeight="1" x14ac:dyDescent="0.3">
      <c r="A5621" s="1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</row>
    <row r="5622" spans="1:20" ht="45.75" customHeight="1" x14ac:dyDescent="0.3">
      <c r="A5622" s="1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</row>
    <row r="5623" spans="1:20" ht="45.75" customHeight="1" x14ac:dyDescent="0.3">
      <c r="A5623" s="1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</row>
    <row r="5624" spans="1:20" ht="45.75" customHeight="1" x14ac:dyDescent="0.3">
      <c r="A5624" s="1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</row>
    <row r="5625" spans="1:20" ht="45.75" customHeight="1" x14ac:dyDescent="0.3">
      <c r="A5625" s="1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</row>
    <row r="5626" spans="1:20" ht="45.75" customHeight="1" x14ac:dyDescent="0.3">
      <c r="A5626" s="1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</row>
    <row r="5627" spans="1:20" ht="45.75" customHeight="1" x14ac:dyDescent="0.3">
      <c r="A5627" s="1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</row>
    <row r="5628" spans="1:20" ht="45.75" customHeight="1" x14ac:dyDescent="0.3">
      <c r="A5628" s="1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</row>
    <row r="5629" spans="1:20" ht="45.75" customHeight="1" x14ac:dyDescent="0.3">
      <c r="A5629" s="1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</row>
    <row r="5630" spans="1:20" ht="45.75" customHeight="1" x14ac:dyDescent="0.3">
      <c r="A5630" s="1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</row>
    <row r="5631" spans="1:20" ht="45.75" customHeight="1" x14ac:dyDescent="0.3">
      <c r="A5631" s="1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</row>
    <row r="5632" spans="1:20" ht="45.75" customHeight="1" x14ac:dyDescent="0.3">
      <c r="A5632" s="1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</row>
    <row r="5633" spans="1:20" ht="45.75" customHeight="1" x14ac:dyDescent="0.3">
      <c r="A5633" s="1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</row>
    <row r="5634" spans="1:20" ht="45.75" customHeight="1" x14ac:dyDescent="0.3">
      <c r="A5634" s="1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</row>
    <row r="5635" spans="1:20" ht="45.75" customHeight="1" x14ac:dyDescent="0.3">
      <c r="A5635" s="1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</row>
    <row r="5636" spans="1:20" ht="45.75" customHeight="1" x14ac:dyDescent="0.3">
      <c r="A5636" s="1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</row>
    <row r="5637" spans="1:20" ht="45.75" customHeight="1" x14ac:dyDescent="0.3">
      <c r="A5637" s="1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</row>
    <row r="5638" spans="1:20" ht="45.75" customHeight="1" x14ac:dyDescent="0.3">
      <c r="A5638" s="1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</row>
    <row r="5639" spans="1:20" ht="45.75" customHeight="1" x14ac:dyDescent="0.3">
      <c r="A5639" s="1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</row>
    <row r="5640" spans="1:20" ht="45.75" customHeight="1" x14ac:dyDescent="0.3">
      <c r="A5640" s="1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</row>
    <row r="5641" spans="1:20" ht="45.75" customHeight="1" x14ac:dyDescent="0.3">
      <c r="A5641" s="1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</row>
    <row r="5642" spans="1:20" ht="45.75" customHeight="1" x14ac:dyDescent="0.3">
      <c r="A5642" s="1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</row>
    <row r="5643" spans="1:20" ht="45.75" customHeight="1" x14ac:dyDescent="0.3">
      <c r="A5643" s="1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</row>
    <row r="5644" spans="1:20" ht="45.75" customHeight="1" x14ac:dyDescent="0.3">
      <c r="A5644" s="1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</row>
    <row r="5645" spans="1:20" ht="45.75" customHeight="1" x14ac:dyDescent="0.3">
      <c r="A5645" s="1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</row>
    <row r="5646" spans="1:20" ht="45.75" customHeight="1" x14ac:dyDescent="0.3">
      <c r="A5646" s="1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</row>
    <row r="5647" spans="1:20" ht="45.75" customHeight="1" x14ac:dyDescent="0.3">
      <c r="A5647" s="1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</row>
    <row r="5648" spans="1:20" ht="45.75" customHeight="1" x14ac:dyDescent="0.3">
      <c r="A5648" s="1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</row>
    <row r="5649" spans="1:20" ht="45.75" customHeight="1" x14ac:dyDescent="0.3">
      <c r="A5649" s="1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</row>
    <row r="5650" spans="1:20" ht="45.75" customHeight="1" x14ac:dyDescent="0.3">
      <c r="A5650" s="1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</row>
    <row r="5651" spans="1:20" ht="45.75" customHeight="1" x14ac:dyDescent="0.3">
      <c r="A5651" s="1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</row>
    <row r="5652" spans="1:20" ht="45.75" customHeight="1" x14ac:dyDescent="0.3">
      <c r="A5652" s="1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</row>
    <row r="5653" spans="1:20" ht="45.75" customHeight="1" x14ac:dyDescent="0.3">
      <c r="A5653" s="1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</row>
    <row r="5654" spans="1:20" ht="45.75" customHeight="1" x14ac:dyDescent="0.3">
      <c r="A5654" s="1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</row>
    <row r="5655" spans="1:20" ht="45.75" customHeight="1" x14ac:dyDescent="0.3">
      <c r="A5655" s="1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</row>
    <row r="5656" spans="1:20" ht="45.75" customHeight="1" x14ac:dyDescent="0.3">
      <c r="A5656" s="1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</row>
    <row r="5657" spans="1:20" ht="45.75" customHeight="1" x14ac:dyDescent="0.3">
      <c r="A5657" s="1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</row>
    <row r="5658" spans="1:20" ht="45.75" customHeight="1" x14ac:dyDescent="0.3">
      <c r="A5658" s="1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</row>
    <row r="5659" spans="1:20" ht="45.75" customHeight="1" x14ac:dyDescent="0.3">
      <c r="A5659" s="1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</row>
    <row r="5660" spans="1:20" ht="45.75" customHeight="1" x14ac:dyDescent="0.3">
      <c r="A5660" s="1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</row>
    <row r="5661" spans="1:20" ht="45.75" customHeight="1" x14ac:dyDescent="0.3">
      <c r="A5661" s="1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</row>
    <row r="5662" spans="1:20" ht="45.75" customHeight="1" x14ac:dyDescent="0.3">
      <c r="A5662" s="1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</row>
    <row r="5663" spans="1:20" ht="45.75" customHeight="1" x14ac:dyDescent="0.3">
      <c r="A5663" s="1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</row>
    <row r="5664" spans="1:20" ht="45.75" customHeight="1" x14ac:dyDescent="0.3">
      <c r="A5664" s="1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</row>
    <row r="5665" spans="1:20" ht="45.75" customHeight="1" x14ac:dyDescent="0.3">
      <c r="A5665" s="1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</row>
    <row r="5666" spans="1:20" ht="45.75" customHeight="1" x14ac:dyDescent="0.3">
      <c r="A5666" s="1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</row>
    <row r="5667" spans="1:20" ht="45.75" customHeight="1" x14ac:dyDescent="0.3">
      <c r="A5667" s="1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</row>
    <row r="5668" spans="1:20" ht="45.75" customHeight="1" x14ac:dyDescent="0.3">
      <c r="A5668" s="1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</row>
    <row r="5669" spans="1:20" ht="45.75" customHeight="1" x14ac:dyDescent="0.3">
      <c r="A5669" s="1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</row>
    <row r="5670" spans="1:20" ht="45.75" customHeight="1" x14ac:dyDescent="0.3">
      <c r="A5670" s="1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</row>
    <row r="5671" spans="1:20" ht="45.75" customHeight="1" x14ac:dyDescent="0.3">
      <c r="A5671" s="1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</row>
    <row r="5672" spans="1:20" ht="45.75" customHeight="1" x14ac:dyDescent="0.3">
      <c r="A5672" s="1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</row>
    <row r="5673" spans="1:20" ht="45.75" customHeight="1" x14ac:dyDescent="0.3">
      <c r="A5673" s="1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</row>
    <row r="5674" spans="1:20" ht="45.75" customHeight="1" x14ac:dyDescent="0.3">
      <c r="A5674" s="1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</row>
    <row r="5675" spans="1:20" ht="45.75" customHeight="1" x14ac:dyDescent="0.3">
      <c r="A5675" s="1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</row>
    <row r="5676" spans="1:20" ht="45.75" customHeight="1" x14ac:dyDescent="0.3">
      <c r="A5676" s="1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</row>
    <row r="5677" spans="1:20" ht="45.75" customHeight="1" x14ac:dyDescent="0.3">
      <c r="A5677" s="1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</row>
    <row r="5678" spans="1:20" ht="45.75" customHeight="1" x14ac:dyDescent="0.3">
      <c r="A5678" s="1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</row>
    <row r="5679" spans="1:20" ht="45.75" customHeight="1" x14ac:dyDescent="0.3">
      <c r="A5679" s="1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</row>
    <row r="5680" spans="1:20" ht="45.75" customHeight="1" x14ac:dyDescent="0.3">
      <c r="A5680" s="1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</row>
    <row r="5681" spans="1:20" ht="45.75" customHeight="1" x14ac:dyDescent="0.3">
      <c r="A5681" s="1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</row>
    <row r="5682" spans="1:20" ht="45.75" customHeight="1" x14ac:dyDescent="0.3">
      <c r="A5682" s="1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</row>
    <row r="5683" spans="1:20" ht="45.75" customHeight="1" x14ac:dyDescent="0.3">
      <c r="A5683" s="1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</row>
    <row r="5684" spans="1:20" ht="45.75" customHeight="1" x14ac:dyDescent="0.3">
      <c r="A5684" s="1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</row>
    <row r="5685" spans="1:20" ht="45.75" customHeight="1" x14ac:dyDescent="0.3">
      <c r="A5685" s="1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</row>
    <row r="5686" spans="1:20" ht="45.75" customHeight="1" x14ac:dyDescent="0.3">
      <c r="A5686" s="1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</row>
    <row r="5687" spans="1:20" ht="45.75" customHeight="1" x14ac:dyDescent="0.3">
      <c r="A5687" s="1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</row>
    <row r="5688" spans="1:20" ht="45.75" customHeight="1" x14ac:dyDescent="0.3">
      <c r="A5688" s="1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</row>
    <row r="5689" spans="1:20" ht="45.75" customHeight="1" x14ac:dyDescent="0.3">
      <c r="A5689" s="1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</row>
    <row r="5690" spans="1:20" ht="45.75" customHeight="1" x14ac:dyDescent="0.3">
      <c r="A5690" s="1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</row>
    <row r="5691" spans="1:20" ht="45.75" customHeight="1" x14ac:dyDescent="0.3">
      <c r="A5691" s="1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</row>
    <row r="5692" spans="1:20" ht="45.75" customHeight="1" x14ac:dyDescent="0.3">
      <c r="A5692" s="1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</row>
    <row r="5693" spans="1:20" ht="45.75" customHeight="1" x14ac:dyDescent="0.3">
      <c r="A5693" s="1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</row>
    <row r="5694" spans="1:20" ht="45.75" customHeight="1" x14ac:dyDescent="0.3">
      <c r="A5694" s="1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</row>
    <row r="5695" spans="1:20" ht="45.75" customHeight="1" x14ac:dyDescent="0.3">
      <c r="A5695" s="1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</row>
    <row r="5696" spans="1:20" ht="45.75" customHeight="1" x14ac:dyDescent="0.3">
      <c r="A5696" s="1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</row>
    <row r="5697" spans="1:20" ht="45.75" customHeight="1" x14ac:dyDescent="0.3">
      <c r="A5697" s="1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</row>
    <row r="5698" spans="1:20" ht="45.75" customHeight="1" x14ac:dyDescent="0.3">
      <c r="A5698" s="1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</row>
    <row r="5699" spans="1:20" ht="45.75" customHeight="1" x14ac:dyDescent="0.3">
      <c r="A5699" s="1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</row>
    <row r="5700" spans="1:20" ht="45.75" customHeight="1" x14ac:dyDescent="0.3">
      <c r="A5700" s="1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</row>
    <row r="5701" spans="1:20" ht="45.75" customHeight="1" x14ac:dyDescent="0.3">
      <c r="A5701" s="1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</row>
    <row r="5702" spans="1:20" ht="45.75" customHeight="1" x14ac:dyDescent="0.3">
      <c r="A5702" s="1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</row>
    <row r="5703" spans="1:20" ht="45.75" customHeight="1" x14ac:dyDescent="0.3">
      <c r="A5703" s="1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</row>
    <row r="5704" spans="1:20" ht="45.75" customHeight="1" x14ac:dyDescent="0.3">
      <c r="A5704" s="1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</row>
    <row r="5705" spans="1:20" ht="45.75" customHeight="1" x14ac:dyDescent="0.3">
      <c r="A5705" s="1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</row>
    <row r="5706" spans="1:20" ht="45.75" customHeight="1" x14ac:dyDescent="0.3">
      <c r="A5706" s="1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</row>
    <row r="5707" spans="1:20" ht="45.75" customHeight="1" x14ac:dyDescent="0.3">
      <c r="A5707" s="1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</row>
    <row r="5708" spans="1:20" ht="45.75" customHeight="1" x14ac:dyDescent="0.3">
      <c r="A5708" s="1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</row>
    <row r="5709" spans="1:20" ht="45.75" customHeight="1" x14ac:dyDescent="0.3">
      <c r="A5709" s="1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</row>
    <row r="5710" spans="1:20" ht="45.75" customHeight="1" x14ac:dyDescent="0.3">
      <c r="A5710" s="1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</row>
    <row r="5711" spans="1:20" ht="45.75" customHeight="1" x14ac:dyDescent="0.3">
      <c r="A5711" s="1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</row>
    <row r="5712" spans="1:20" ht="45.75" customHeight="1" x14ac:dyDescent="0.3">
      <c r="A5712" s="1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</row>
    <row r="5713" spans="1:20" ht="45.75" customHeight="1" x14ac:dyDescent="0.3">
      <c r="A5713" s="1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</row>
    <row r="5714" spans="1:20" ht="45.75" customHeight="1" x14ac:dyDescent="0.3">
      <c r="A5714" s="1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</row>
    <row r="5715" spans="1:20" ht="45.75" customHeight="1" x14ac:dyDescent="0.3">
      <c r="A5715" s="1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</row>
    <row r="5716" spans="1:20" ht="45.75" customHeight="1" x14ac:dyDescent="0.3">
      <c r="A5716" s="1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</row>
    <row r="5717" spans="1:20" ht="45.75" customHeight="1" x14ac:dyDescent="0.3">
      <c r="A5717" s="1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</row>
    <row r="5718" spans="1:20" ht="45.75" customHeight="1" x14ac:dyDescent="0.3">
      <c r="A5718" s="1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</row>
    <row r="5719" spans="1:20" ht="45.75" customHeight="1" x14ac:dyDescent="0.3">
      <c r="A5719" s="1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</row>
    <row r="5720" spans="1:20" ht="45.75" customHeight="1" x14ac:dyDescent="0.3">
      <c r="A5720" s="1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</row>
    <row r="5721" spans="1:20" ht="45.75" customHeight="1" x14ac:dyDescent="0.3">
      <c r="A5721" s="1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</row>
    <row r="5722" spans="1:20" ht="45.75" customHeight="1" x14ac:dyDescent="0.3">
      <c r="A5722" s="1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</row>
    <row r="5723" spans="1:20" ht="45.75" customHeight="1" x14ac:dyDescent="0.3">
      <c r="A5723" s="1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</row>
    <row r="5724" spans="1:20" ht="45.75" customHeight="1" x14ac:dyDescent="0.3">
      <c r="A5724" s="1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</row>
    <row r="5725" spans="1:20" ht="45.75" customHeight="1" x14ac:dyDescent="0.3">
      <c r="A5725" s="1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</row>
    <row r="5726" spans="1:20" ht="45.75" customHeight="1" x14ac:dyDescent="0.3">
      <c r="A5726" s="1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</row>
    <row r="5727" spans="1:20" ht="45.75" customHeight="1" x14ac:dyDescent="0.3">
      <c r="A5727" s="1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</row>
    <row r="5728" spans="1:20" ht="45.75" customHeight="1" x14ac:dyDescent="0.3">
      <c r="A5728" s="1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</row>
    <row r="5729" spans="1:20" ht="45.75" customHeight="1" x14ac:dyDescent="0.3">
      <c r="A5729" s="1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</row>
    <row r="5730" spans="1:20" ht="45.75" customHeight="1" x14ac:dyDescent="0.3">
      <c r="A5730" s="1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</row>
    <row r="5731" spans="1:20" ht="45.75" customHeight="1" x14ac:dyDescent="0.3">
      <c r="A5731" s="1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</row>
    <row r="5732" spans="1:20" ht="45.75" customHeight="1" x14ac:dyDescent="0.3">
      <c r="A5732" s="1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</row>
    <row r="5733" spans="1:20" ht="45.75" customHeight="1" x14ac:dyDescent="0.3">
      <c r="A5733" s="1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</row>
    <row r="5734" spans="1:20" ht="45.75" customHeight="1" x14ac:dyDescent="0.3">
      <c r="A5734" s="1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</row>
    <row r="5735" spans="1:20" ht="45.75" customHeight="1" x14ac:dyDescent="0.3">
      <c r="A5735" s="1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</row>
    <row r="5736" spans="1:20" ht="45.75" customHeight="1" x14ac:dyDescent="0.3">
      <c r="A5736" s="1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</row>
    <row r="5737" spans="1:20" ht="45.75" customHeight="1" x14ac:dyDescent="0.3">
      <c r="A5737" s="1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</row>
    <row r="5738" spans="1:20" ht="45.75" customHeight="1" x14ac:dyDescent="0.3">
      <c r="A5738" s="1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</row>
    <row r="5739" spans="1:20" ht="45.75" customHeight="1" x14ac:dyDescent="0.3">
      <c r="A5739" s="1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</row>
    <row r="5740" spans="1:20" ht="45.75" customHeight="1" x14ac:dyDescent="0.3">
      <c r="A5740" s="1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</row>
    <row r="5741" spans="1:20" ht="45.75" customHeight="1" x14ac:dyDescent="0.3">
      <c r="A5741" s="1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</row>
    <row r="5742" spans="1:20" ht="45.75" customHeight="1" x14ac:dyDescent="0.3">
      <c r="A5742" s="1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</row>
    <row r="5743" spans="1:20" ht="45.75" customHeight="1" x14ac:dyDescent="0.3">
      <c r="A5743" s="1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</row>
    <row r="5744" spans="1:20" ht="45.75" customHeight="1" x14ac:dyDescent="0.3">
      <c r="A5744" s="1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</row>
    <row r="5745" spans="1:20" ht="45.75" customHeight="1" x14ac:dyDescent="0.3">
      <c r="A5745" s="1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</row>
    <row r="5746" spans="1:20" ht="45.75" customHeight="1" x14ac:dyDescent="0.3">
      <c r="A5746" s="1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</row>
    <row r="5747" spans="1:20" ht="45.75" customHeight="1" x14ac:dyDescent="0.3">
      <c r="A5747" s="1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</row>
    <row r="5748" spans="1:20" ht="45.75" customHeight="1" x14ac:dyDescent="0.3">
      <c r="A5748" s="1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</row>
    <row r="5749" spans="1:20" ht="45.75" customHeight="1" x14ac:dyDescent="0.3">
      <c r="A5749" s="1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</row>
    <row r="5750" spans="1:20" ht="45.75" customHeight="1" x14ac:dyDescent="0.3">
      <c r="A5750" s="1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</row>
    <row r="5751" spans="1:20" ht="45.75" customHeight="1" x14ac:dyDescent="0.3">
      <c r="A5751" s="1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</row>
    <row r="5752" spans="1:20" ht="45.75" customHeight="1" x14ac:dyDescent="0.3">
      <c r="A5752" s="1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</row>
    <row r="5753" spans="1:20" ht="45.75" customHeight="1" x14ac:dyDescent="0.3">
      <c r="A5753" s="1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</row>
    <row r="5754" spans="1:20" ht="45.75" customHeight="1" x14ac:dyDescent="0.3">
      <c r="A5754" s="1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</row>
    <row r="5755" spans="1:20" ht="45.75" customHeight="1" x14ac:dyDescent="0.3">
      <c r="A5755" s="1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</row>
    <row r="5756" spans="1:20" ht="45.75" customHeight="1" x14ac:dyDescent="0.3">
      <c r="A5756" s="1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</row>
    <row r="5757" spans="1:20" ht="45.75" customHeight="1" x14ac:dyDescent="0.3">
      <c r="A5757" s="1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</row>
    <row r="5758" spans="1:20" ht="45.75" customHeight="1" x14ac:dyDescent="0.3">
      <c r="A5758" s="1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</row>
    <row r="5759" spans="1:20" ht="45.75" customHeight="1" x14ac:dyDescent="0.3">
      <c r="A5759" s="1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</row>
    <row r="5760" spans="1:20" ht="45.75" customHeight="1" x14ac:dyDescent="0.3">
      <c r="A5760" s="1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</row>
    <row r="5761" spans="1:20" ht="45.75" customHeight="1" x14ac:dyDescent="0.3">
      <c r="A5761" s="1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</row>
    <row r="5762" spans="1:20" ht="45.75" customHeight="1" x14ac:dyDescent="0.3">
      <c r="A5762" s="1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</row>
    <row r="5763" spans="1:20" ht="45.75" customHeight="1" x14ac:dyDescent="0.3">
      <c r="A5763" s="1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</row>
    <row r="5764" spans="1:20" ht="45.75" customHeight="1" x14ac:dyDescent="0.3">
      <c r="A5764" s="1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</row>
    <row r="5765" spans="1:20" ht="45.75" customHeight="1" x14ac:dyDescent="0.3">
      <c r="A5765" s="1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</row>
    <row r="5766" spans="1:20" ht="45.75" customHeight="1" x14ac:dyDescent="0.3">
      <c r="A5766" s="1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</row>
    <row r="5767" spans="1:20" ht="45.75" customHeight="1" x14ac:dyDescent="0.3">
      <c r="A5767" s="1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</row>
    <row r="5768" spans="1:20" ht="45.75" customHeight="1" x14ac:dyDescent="0.3">
      <c r="A5768" s="1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</row>
    <row r="5769" spans="1:20" ht="45.75" customHeight="1" x14ac:dyDescent="0.3">
      <c r="A5769" s="1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</row>
    <row r="5770" spans="1:20" ht="45.75" customHeight="1" x14ac:dyDescent="0.3">
      <c r="A5770" s="1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</row>
    <row r="5771" spans="1:20" ht="45.75" customHeight="1" x14ac:dyDescent="0.3">
      <c r="A5771" s="1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</row>
    <row r="5772" spans="1:20" ht="45.75" customHeight="1" x14ac:dyDescent="0.3">
      <c r="A5772" s="1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</row>
    <row r="5773" spans="1:20" ht="45.75" customHeight="1" x14ac:dyDescent="0.3">
      <c r="A5773" s="1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</row>
    <row r="5774" spans="1:20" ht="45.75" customHeight="1" x14ac:dyDescent="0.3">
      <c r="A5774" s="1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</row>
    <row r="5775" spans="1:20" ht="45.75" customHeight="1" x14ac:dyDescent="0.3">
      <c r="A5775" s="1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</row>
    <row r="5776" spans="1:20" ht="45.75" customHeight="1" x14ac:dyDescent="0.3">
      <c r="A5776" s="1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</row>
    <row r="5777" spans="1:20" ht="45.75" customHeight="1" x14ac:dyDescent="0.3">
      <c r="A5777" s="1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</row>
    <row r="5778" spans="1:20" ht="45.75" customHeight="1" x14ac:dyDescent="0.3">
      <c r="A5778" s="1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</row>
    <row r="5779" spans="1:20" ht="45.75" customHeight="1" x14ac:dyDescent="0.3">
      <c r="A5779" s="1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</row>
    <row r="5780" spans="1:20" ht="45.75" customHeight="1" x14ac:dyDescent="0.3">
      <c r="A5780" s="1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</row>
    <row r="5781" spans="1:20" ht="45.75" customHeight="1" x14ac:dyDescent="0.3">
      <c r="A5781" s="1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</row>
    <row r="5782" spans="1:20" ht="45.75" customHeight="1" x14ac:dyDescent="0.3">
      <c r="A5782" s="1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</row>
    <row r="5783" spans="1:20" ht="45.75" customHeight="1" x14ac:dyDescent="0.3">
      <c r="A5783" s="1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</row>
    <row r="5784" spans="1:20" ht="45.75" customHeight="1" x14ac:dyDescent="0.3">
      <c r="A5784" s="1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</row>
    <row r="5785" spans="1:20" ht="45.75" customHeight="1" x14ac:dyDescent="0.3">
      <c r="A5785" s="1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</row>
    <row r="5786" spans="1:20" ht="45.75" customHeight="1" x14ac:dyDescent="0.3">
      <c r="A5786" s="1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</row>
    <row r="5787" spans="1:20" ht="45.75" customHeight="1" x14ac:dyDescent="0.3">
      <c r="A5787" s="1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</row>
    <row r="5788" spans="1:20" ht="45.75" customHeight="1" x14ac:dyDescent="0.3">
      <c r="A5788" s="1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</row>
    <row r="5789" spans="1:20" ht="45.75" customHeight="1" x14ac:dyDescent="0.3">
      <c r="A5789" s="1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</row>
    <row r="5790" spans="1:20" ht="45.75" customHeight="1" x14ac:dyDescent="0.3">
      <c r="A5790" s="1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</row>
    <row r="5791" spans="1:20" ht="45.75" customHeight="1" x14ac:dyDescent="0.3">
      <c r="A5791" s="1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</row>
    <row r="5792" spans="1:20" ht="45.75" customHeight="1" x14ac:dyDescent="0.3">
      <c r="A5792" s="1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</row>
    <row r="5793" spans="1:20" ht="45.75" customHeight="1" x14ac:dyDescent="0.3">
      <c r="A5793" s="1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</row>
    <row r="5794" spans="1:20" ht="45.75" customHeight="1" x14ac:dyDescent="0.3">
      <c r="A5794" s="1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</row>
    <row r="5795" spans="1:20" ht="45.75" customHeight="1" x14ac:dyDescent="0.3">
      <c r="A5795" s="1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</row>
    <row r="5796" spans="1:20" ht="45.75" customHeight="1" x14ac:dyDescent="0.3">
      <c r="A5796" s="1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</row>
    <row r="5797" spans="1:20" ht="45.75" customHeight="1" x14ac:dyDescent="0.3">
      <c r="A5797" s="1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</row>
    <row r="5798" spans="1:20" ht="45.75" customHeight="1" x14ac:dyDescent="0.3">
      <c r="A5798" s="1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</row>
    <row r="5799" spans="1:20" ht="45.75" customHeight="1" x14ac:dyDescent="0.3">
      <c r="A5799" s="1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</row>
    <row r="5800" spans="1:20" ht="45.75" customHeight="1" x14ac:dyDescent="0.3">
      <c r="A5800" s="1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</row>
    <row r="5801" spans="1:20" ht="45.75" customHeight="1" x14ac:dyDescent="0.3">
      <c r="A5801" s="1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</row>
    <row r="5802" spans="1:20" ht="45.75" customHeight="1" x14ac:dyDescent="0.3">
      <c r="A5802" s="1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</row>
    <row r="5803" spans="1:20" ht="45.75" customHeight="1" x14ac:dyDescent="0.3">
      <c r="A5803" s="1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</row>
    <row r="5804" spans="1:20" ht="45.75" customHeight="1" x14ac:dyDescent="0.3">
      <c r="A5804" s="1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</row>
    <row r="5805" spans="1:20" ht="45.75" customHeight="1" x14ac:dyDescent="0.3">
      <c r="A5805" s="1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</row>
    <row r="5806" spans="1:20" ht="45.75" customHeight="1" x14ac:dyDescent="0.3">
      <c r="A5806" s="1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</row>
    <row r="5807" spans="1:20" ht="45.75" customHeight="1" x14ac:dyDescent="0.3">
      <c r="A5807" s="1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</row>
    <row r="5808" spans="1:20" ht="45.75" customHeight="1" x14ac:dyDescent="0.3">
      <c r="A5808" s="1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</row>
    <row r="5809" spans="1:20" ht="45.75" customHeight="1" x14ac:dyDescent="0.3">
      <c r="A5809" s="1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</row>
    <row r="5810" spans="1:20" ht="45.75" customHeight="1" x14ac:dyDescent="0.3">
      <c r="A5810" s="1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</row>
    <row r="5811" spans="1:20" ht="45.75" customHeight="1" x14ac:dyDescent="0.3">
      <c r="A5811" s="1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</row>
    <row r="5812" spans="1:20" ht="45.75" customHeight="1" x14ac:dyDescent="0.3">
      <c r="A5812" s="1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</row>
    <row r="5813" spans="1:20" ht="45.75" customHeight="1" x14ac:dyDescent="0.3">
      <c r="A5813" s="1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</row>
    <row r="5814" spans="1:20" ht="45.75" customHeight="1" x14ac:dyDescent="0.3">
      <c r="A5814" s="1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</row>
    <row r="5815" spans="1:20" ht="45.75" customHeight="1" x14ac:dyDescent="0.3">
      <c r="A5815" s="1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</row>
    <row r="5816" spans="1:20" ht="45.75" customHeight="1" x14ac:dyDescent="0.3">
      <c r="A5816" s="1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</row>
    <row r="5817" spans="1:20" ht="45.75" customHeight="1" x14ac:dyDescent="0.3">
      <c r="A5817" s="1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</row>
    <row r="5818" spans="1:20" ht="45.75" customHeight="1" x14ac:dyDescent="0.3">
      <c r="A5818" s="1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</row>
    <row r="5819" spans="1:20" ht="45.75" customHeight="1" x14ac:dyDescent="0.3">
      <c r="A5819" s="1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</row>
    <row r="5820" spans="1:20" ht="45.75" customHeight="1" x14ac:dyDescent="0.3">
      <c r="A5820" s="1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</row>
    <row r="5821" spans="1:20" ht="45.75" customHeight="1" x14ac:dyDescent="0.3">
      <c r="A5821" s="1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</row>
    <row r="5822" spans="1:20" ht="45.75" customHeight="1" x14ac:dyDescent="0.3">
      <c r="A5822" s="1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</row>
    <row r="5823" spans="1:20" ht="45.75" customHeight="1" x14ac:dyDescent="0.3">
      <c r="A5823" s="1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</row>
    <row r="5824" spans="1:20" ht="45.75" customHeight="1" x14ac:dyDescent="0.3">
      <c r="A5824" s="1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</row>
    <row r="5825" spans="1:20" ht="45.75" customHeight="1" x14ac:dyDescent="0.3">
      <c r="A5825" s="1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</row>
    <row r="5826" spans="1:20" ht="45.75" customHeight="1" x14ac:dyDescent="0.3">
      <c r="A5826" s="1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</row>
    <row r="5827" spans="1:20" ht="45.75" customHeight="1" x14ac:dyDescent="0.3">
      <c r="A5827" s="1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</row>
    <row r="5828" spans="1:20" ht="45.75" customHeight="1" x14ac:dyDescent="0.3">
      <c r="A5828" s="1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</row>
    <row r="5829" spans="1:20" ht="45.75" customHeight="1" x14ac:dyDescent="0.3">
      <c r="A5829" s="1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</row>
    <row r="5830" spans="1:20" ht="45.75" customHeight="1" x14ac:dyDescent="0.3">
      <c r="A5830" s="1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</row>
    <row r="5831" spans="1:20" ht="45.75" customHeight="1" x14ac:dyDescent="0.3">
      <c r="A5831" s="1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</row>
    <row r="5832" spans="1:20" ht="45.75" customHeight="1" x14ac:dyDescent="0.3">
      <c r="A5832" s="1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</row>
    <row r="5833" spans="1:20" ht="45.75" customHeight="1" x14ac:dyDescent="0.3">
      <c r="A5833" s="1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</row>
    <row r="5834" spans="1:20" ht="45.75" customHeight="1" x14ac:dyDescent="0.3">
      <c r="A5834" s="1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</row>
    <row r="5835" spans="1:20" ht="45.75" customHeight="1" x14ac:dyDescent="0.3">
      <c r="A5835" s="1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</row>
    <row r="5836" spans="1:20" ht="45.75" customHeight="1" x14ac:dyDescent="0.3">
      <c r="A5836" s="1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</row>
    <row r="5837" spans="1:20" ht="45.75" customHeight="1" x14ac:dyDescent="0.3">
      <c r="A5837" s="1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</row>
    <row r="5838" spans="1:20" ht="45.75" customHeight="1" x14ac:dyDescent="0.3">
      <c r="A5838" s="1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</row>
    <row r="5839" spans="1:20" ht="45.75" customHeight="1" x14ac:dyDescent="0.3">
      <c r="A5839" s="1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</row>
    <row r="5840" spans="1:20" ht="45.75" customHeight="1" x14ac:dyDescent="0.3">
      <c r="A5840" s="1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</row>
    <row r="5841" spans="1:20" ht="45.75" customHeight="1" x14ac:dyDescent="0.3">
      <c r="A5841" s="1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</row>
    <row r="5842" spans="1:20" ht="45.75" customHeight="1" x14ac:dyDescent="0.3">
      <c r="A5842" s="1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</row>
    <row r="5843" spans="1:20" ht="45.75" customHeight="1" x14ac:dyDescent="0.3">
      <c r="A5843" s="1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</row>
    <row r="5844" spans="1:20" ht="45.75" customHeight="1" x14ac:dyDescent="0.3">
      <c r="A5844" s="1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</row>
    <row r="5845" spans="1:20" ht="45.75" customHeight="1" x14ac:dyDescent="0.3">
      <c r="A5845" s="1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</row>
    <row r="5846" spans="1:20" ht="45.75" customHeight="1" x14ac:dyDescent="0.3">
      <c r="A5846" s="1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</row>
    <row r="5847" spans="1:20" ht="45.75" customHeight="1" x14ac:dyDescent="0.3">
      <c r="A5847" s="1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</row>
    <row r="5848" spans="1:20" ht="45.75" customHeight="1" x14ac:dyDescent="0.3">
      <c r="A5848" s="1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</row>
    <row r="5849" spans="1:20" ht="45.75" customHeight="1" x14ac:dyDescent="0.3">
      <c r="A5849" s="1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</row>
    <row r="5850" spans="1:20" ht="45.75" customHeight="1" x14ac:dyDescent="0.3">
      <c r="A5850" s="1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</row>
    <row r="5851" spans="1:20" ht="45.75" customHeight="1" x14ac:dyDescent="0.3">
      <c r="A5851" s="1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</row>
    <row r="5852" spans="1:20" ht="45.75" customHeight="1" x14ac:dyDescent="0.3">
      <c r="A5852" s="1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</row>
    <row r="5853" spans="1:20" ht="45.75" customHeight="1" x14ac:dyDescent="0.3">
      <c r="A5853" s="1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</row>
    <row r="5854" spans="1:20" ht="45.75" customHeight="1" x14ac:dyDescent="0.3">
      <c r="A5854" s="1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</row>
    <row r="5855" spans="1:20" ht="45.75" customHeight="1" x14ac:dyDescent="0.3">
      <c r="A5855" s="1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</row>
    <row r="5856" spans="1:20" ht="45.75" customHeight="1" x14ac:dyDescent="0.3">
      <c r="A5856" s="1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</row>
    <row r="5857" spans="1:20" ht="45.75" customHeight="1" x14ac:dyDescent="0.3">
      <c r="A5857" s="1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</row>
    <row r="5858" spans="1:20" ht="45.75" customHeight="1" x14ac:dyDescent="0.3">
      <c r="A5858" s="1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</row>
    <row r="5859" spans="1:20" ht="45.75" customHeight="1" x14ac:dyDescent="0.3">
      <c r="A5859" s="1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</row>
    <row r="5860" spans="1:20" ht="45.75" customHeight="1" x14ac:dyDescent="0.3">
      <c r="A5860" s="1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</row>
    <row r="5861" spans="1:20" ht="45.75" customHeight="1" x14ac:dyDescent="0.3">
      <c r="A5861" s="1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</row>
    <row r="5862" spans="1:20" ht="45.75" customHeight="1" x14ac:dyDescent="0.3">
      <c r="A5862" s="1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</row>
    <row r="5863" spans="1:20" ht="45.75" customHeight="1" x14ac:dyDescent="0.3">
      <c r="A5863" s="1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</row>
    <row r="5864" spans="1:20" ht="45.75" customHeight="1" x14ac:dyDescent="0.3">
      <c r="A5864" s="1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</row>
    <row r="5865" spans="1:20" ht="45.75" customHeight="1" x14ac:dyDescent="0.3">
      <c r="A5865" s="1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</row>
    <row r="5866" spans="1:20" ht="45.75" customHeight="1" x14ac:dyDescent="0.3">
      <c r="A5866" s="1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</row>
    <row r="5867" spans="1:20" ht="45.75" customHeight="1" x14ac:dyDescent="0.3">
      <c r="A5867" s="1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</row>
    <row r="5868" spans="1:20" ht="45.75" customHeight="1" x14ac:dyDescent="0.3">
      <c r="A5868" s="1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</row>
    <row r="5869" spans="1:20" ht="45.75" customHeight="1" x14ac:dyDescent="0.3">
      <c r="A5869" s="1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</row>
    <row r="5870" spans="1:20" ht="45.75" customHeight="1" x14ac:dyDescent="0.3">
      <c r="A5870" s="1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</row>
    <row r="5871" spans="1:20" ht="45.75" customHeight="1" x14ac:dyDescent="0.3">
      <c r="A5871" s="1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</row>
    <row r="5872" spans="1:20" ht="45.75" customHeight="1" x14ac:dyDescent="0.3">
      <c r="A5872" s="1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</row>
    <row r="5873" spans="1:20" ht="45.75" customHeight="1" x14ac:dyDescent="0.3">
      <c r="A5873" s="1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</row>
    <row r="5874" spans="1:20" ht="45.75" customHeight="1" x14ac:dyDescent="0.3">
      <c r="A5874" s="1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</row>
    <row r="5875" spans="1:20" ht="45.75" customHeight="1" x14ac:dyDescent="0.3">
      <c r="A5875" s="1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</row>
    <row r="5876" spans="1:20" ht="45.75" customHeight="1" x14ac:dyDescent="0.3">
      <c r="A5876" s="1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</row>
    <row r="5877" spans="1:20" ht="45.75" customHeight="1" x14ac:dyDescent="0.3">
      <c r="A5877" s="1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</row>
    <row r="5878" spans="1:20" ht="45.75" customHeight="1" x14ac:dyDescent="0.3">
      <c r="A5878" s="1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</row>
    <row r="5879" spans="1:20" ht="45.75" customHeight="1" x14ac:dyDescent="0.3">
      <c r="A5879" s="1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</row>
    <row r="5880" spans="1:20" ht="45.75" customHeight="1" x14ac:dyDescent="0.3">
      <c r="A5880" s="1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</row>
    <row r="5881" spans="1:20" ht="45.75" customHeight="1" x14ac:dyDescent="0.3">
      <c r="A5881" s="1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</row>
    <row r="5882" spans="1:20" ht="45.75" customHeight="1" x14ac:dyDescent="0.3">
      <c r="A5882" s="1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</row>
    <row r="5883" spans="1:20" ht="45.75" customHeight="1" x14ac:dyDescent="0.3">
      <c r="A5883" s="1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</row>
    <row r="5884" spans="1:20" ht="45.75" customHeight="1" x14ac:dyDescent="0.3">
      <c r="A5884" s="1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</row>
    <row r="5885" spans="1:20" ht="45.75" customHeight="1" x14ac:dyDescent="0.3">
      <c r="A5885" s="1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</row>
    <row r="5886" spans="1:20" ht="45.75" customHeight="1" x14ac:dyDescent="0.3">
      <c r="A5886" s="1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</row>
    <row r="5887" spans="1:20" ht="45.75" customHeight="1" x14ac:dyDescent="0.3">
      <c r="A5887" s="1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</row>
    <row r="5888" spans="1:20" ht="45.75" customHeight="1" x14ac:dyDescent="0.3">
      <c r="A5888" s="1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</row>
    <row r="5889" spans="1:20" ht="45.75" customHeight="1" x14ac:dyDescent="0.3">
      <c r="A5889" s="1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</row>
    <row r="5890" spans="1:20" ht="45.75" customHeight="1" x14ac:dyDescent="0.3">
      <c r="A5890" s="1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</row>
    <row r="5891" spans="1:20" ht="45.75" customHeight="1" x14ac:dyDescent="0.3">
      <c r="A5891" s="1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</row>
    <row r="5892" spans="1:20" ht="45.75" customHeight="1" x14ac:dyDescent="0.3">
      <c r="A5892" s="1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</row>
    <row r="5893" spans="1:20" ht="45.75" customHeight="1" x14ac:dyDescent="0.3">
      <c r="A5893" s="1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</row>
    <row r="5894" spans="1:20" ht="45.75" customHeight="1" x14ac:dyDescent="0.3">
      <c r="A5894" s="1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</row>
    <row r="5895" spans="1:20" ht="45.75" customHeight="1" x14ac:dyDescent="0.3">
      <c r="A5895" s="1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</row>
    <row r="5896" spans="1:20" ht="45.75" customHeight="1" x14ac:dyDescent="0.3">
      <c r="A5896" s="1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</row>
    <row r="5897" spans="1:20" ht="45.75" customHeight="1" x14ac:dyDescent="0.3">
      <c r="A5897" s="1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</row>
    <row r="5898" spans="1:20" ht="45.75" customHeight="1" x14ac:dyDescent="0.3">
      <c r="A5898" s="1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</row>
    <row r="5899" spans="1:20" ht="45.75" customHeight="1" x14ac:dyDescent="0.3">
      <c r="A5899" s="1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</row>
    <row r="5900" spans="1:20" ht="45.75" customHeight="1" x14ac:dyDescent="0.3">
      <c r="A5900" s="1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</row>
    <row r="5901" spans="1:20" ht="45.75" customHeight="1" x14ac:dyDescent="0.3">
      <c r="A5901" s="1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</row>
    <row r="5902" spans="1:20" ht="45.75" customHeight="1" x14ac:dyDescent="0.3">
      <c r="A5902" s="1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</row>
    <row r="5903" spans="1:20" ht="45.75" customHeight="1" x14ac:dyDescent="0.3">
      <c r="A5903" s="1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</row>
    <row r="5904" spans="1:20" ht="45.75" customHeight="1" x14ac:dyDescent="0.3">
      <c r="A5904" s="1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</row>
    <row r="5905" spans="1:20" ht="45.75" customHeight="1" x14ac:dyDescent="0.3">
      <c r="A5905" s="1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</row>
    <row r="5906" spans="1:20" ht="45.75" customHeight="1" x14ac:dyDescent="0.3">
      <c r="A5906" s="1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</row>
    <row r="5907" spans="1:20" ht="45.75" customHeight="1" x14ac:dyDescent="0.3">
      <c r="A5907" s="1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</row>
    <row r="5908" spans="1:20" ht="45.75" customHeight="1" x14ac:dyDescent="0.3">
      <c r="A5908" s="1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</row>
    <row r="5909" spans="1:20" ht="45.75" customHeight="1" x14ac:dyDescent="0.3">
      <c r="A5909" s="1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</row>
    <row r="5910" spans="1:20" ht="45.75" customHeight="1" x14ac:dyDescent="0.3">
      <c r="A5910" s="1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</row>
    <row r="5911" spans="1:20" ht="45.75" customHeight="1" x14ac:dyDescent="0.3">
      <c r="A5911" s="1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</row>
    <row r="5912" spans="1:20" ht="45.75" customHeight="1" x14ac:dyDescent="0.3">
      <c r="A5912" s="1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</row>
    <row r="5913" spans="1:20" ht="45.75" customHeight="1" x14ac:dyDescent="0.3">
      <c r="A5913" s="1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</row>
    <row r="5914" spans="1:20" ht="45.75" customHeight="1" x14ac:dyDescent="0.3">
      <c r="A5914" s="1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</row>
    <row r="5915" spans="1:20" ht="45.75" customHeight="1" x14ac:dyDescent="0.3">
      <c r="A5915" s="1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</row>
    <row r="5916" spans="1:20" ht="45.75" customHeight="1" x14ac:dyDescent="0.3">
      <c r="A5916" s="1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</row>
    <row r="5917" spans="1:20" ht="45.75" customHeight="1" x14ac:dyDescent="0.3">
      <c r="A5917" s="1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</row>
    <row r="5918" spans="1:20" ht="45.75" customHeight="1" x14ac:dyDescent="0.3">
      <c r="A5918" s="1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</row>
    <row r="5919" spans="1:20" ht="45.75" customHeight="1" x14ac:dyDescent="0.3">
      <c r="A5919" s="1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</row>
    <row r="5920" spans="1:20" ht="45.75" customHeight="1" x14ac:dyDescent="0.3">
      <c r="A5920" s="1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</row>
    <row r="5921" spans="1:20" ht="45.75" customHeight="1" x14ac:dyDescent="0.3">
      <c r="A5921" s="1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</row>
    <row r="5922" spans="1:20" ht="45.75" customHeight="1" x14ac:dyDescent="0.3">
      <c r="A5922" s="1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</row>
    <row r="5923" spans="1:20" ht="45.75" customHeight="1" x14ac:dyDescent="0.3">
      <c r="A5923" s="1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</row>
    <row r="5924" spans="1:20" ht="45.75" customHeight="1" x14ac:dyDescent="0.3">
      <c r="A5924" s="1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</row>
    <row r="5925" spans="1:20" ht="45.75" customHeight="1" x14ac:dyDescent="0.3">
      <c r="A5925" s="1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</row>
    <row r="5926" spans="1:20" ht="45.75" customHeight="1" x14ac:dyDescent="0.3">
      <c r="A5926" s="1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</row>
    <row r="5927" spans="1:20" ht="45.75" customHeight="1" x14ac:dyDescent="0.3">
      <c r="A5927" s="1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</row>
    <row r="5928" spans="1:20" ht="45.75" customHeight="1" x14ac:dyDescent="0.3">
      <c r="A5928" s="1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</row>
    <row r="5929" spans="1:20" ht="45.75" customHeight="1" x14ac:dyDescent="0.3">
      <c r="A5929" s="1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</row>
    <row r="5930" spans="1:20" ht="45.75" customHeight="1" x14ac:dyDescent="0.3">
      <c r="A5930" s="1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</row>
    <row r="5931" spans="1:20" ht="45.75" customHeight="1" x14ac:dyDescent="0.3">
      <c r="A5931" s="1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</row>
    <row r="5932" spans="1:20" ht="45.75" customHeight="1" x14ac:dyDescent="0.3">
      <c r="A5932" s="1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</row>
    <row r="5933" spans="1:20" ht="45.75" customHeight="1" x14ac:dyDescent="0.3">
      <c r="A5933" s="1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</row>
    <row r="5934" spans="1:20" ht="45.75" customHeight="1" x14ac:dyDescent="0.3">
      <c r="A5934" s="1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</row>
    <row r="5935" spans="1:20" ht="45.75" customHeight="1" x14ac:dyDescent="0.3">
      <c r="A5935" s="1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</row>
    <row r="5936" spans="1:20" ht="45.75" customHeight="1" x14ac:dyDescent="0.3">
      <c r="A5936" s="1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</row>
    <row r="5937" spans="1:20" ht="45.75" customHeight="1" x14ac:dyDescent="0.3">
      <c r="A5937" s="1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</row>
    <row r="5938" spans="1:20" ht="45.75" customHeight="1" x14ac:dyDescent="0.3">
      <c r="A5938" s="1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</row>
    <row r="5939" spans="1:20" ht="45.75" customHeight="1" x14ac:dyDescent="0.3">
      <c r="A5939" s="1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</row>
    <row r="5940" spans="1:20" ht="45.75" customHeight="1" x14ac:dyDescent="0.3">
      <c r="A5940" s="1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</row>
    <row r="5941" spans="1:20" ht="45.75" customHeight="1" x14ac:dyDescent="0.3">
      <c r="A5941" s="1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</row>
    <row r="5942" spans="1:20" ht="45.75" customHeight="1" x14ac:dyDescent="0.3">
      <c r="A5942" s="1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</row>
    <row r="5943" spans="1:20" ht="45.75" customHeight="1" x14ac:dyDescent="0.3">
      <c r="A5943" s="1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</row>
    <row r="5944" spans="1:20" ht="45.75" customHeight="1" x14ac:dyDescent="0.3">
      <c r="A5944" s="1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</row>
    <row r="5945" spans="1:20" ht="45.75" customHeight="1" x14ac:dyDescent="0.3">
      <c r="A5945" s="1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</row>
    <row r="5946" spans="1:20" ht="45.75" customHeight="1" x14ac:dyDescent="0.3">
      <c r="A5946" s="1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</row>
    <row r="5947" spans="1:20" ht="45.75" customHeight="1" x14ac:dyDescent="0.3">
      <c r="A5947" s="1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</row>
    <row r="5948" spans="1:20" ht="45.75" customHeight="1" x14ac:dyDescent="0.3">
      <c r="A5948" s="1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</row>
    <row r="5949" spans="1:20" ht="45.75" customHeight="1" x14ac:dyDescent="0.3">
      <c r="A5949" s="1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</row>
    <row r="5950" spans="1:20" ht="45.75" customHeight="1" x14ac:dyDescent="0.3">
      <c r="A5950" s="1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</row>
    <row r="5951" spans="1:20" ht="45.75" customHeight="1" x14ac:dyDescent="0.3">
      <c r="A5951" s="1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</row>
    <row r="5952" spans="1:20" ht="45.75" customHeight="1" x14ac:dyDescent="0.3">
      <c r="A5952" s="1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</row>
    <row r="5953" spans="1:20" ht="45.75" customHeight="1" x14ac:dyDescent="0.3">
      <c r="A5953" s="1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</row>
    <row r="5954" spans="1:20" ht="45.75" customHeight="1" x14ac:dyDescent="0.3">
      <c r="A5954" s="1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</row>
    <row r="5955" spans="1:20" ht="45.75" customHeight="1" x14ac:dyDescent="0.3">
      <c r="A5955" s="1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</row>
    <row r="5956" spans="1:20" ht="45.75" customHeight="1" x14ac:dyDescent="0.3">
      <c r="A5956" s="1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</row>
    <row r="5957" spans="1:20" ht="45.75" customHeight="1" x14ac:dyDescent="0.3">
      <c r="A5957" s="1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</row>
    <row r="5958" spans="1:20" ht="45.75" customHeight="1" x14ac:dyDescent="0.3">
      <c r="A5958" s="1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</row>
    <row r="5959" spans="1:20" ht="45.75" customHeight="1" x14ac:dyDescent="0.3">
      <c r="A5959" s="1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</row>
    <row r="5960" spans="1:20" ht="45.75" customHeight="1" x14ac:dyDescent="0.3">
      <c r="A5960" s="1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</row>
    <row r="5961" spans="1:20" ht="45.75" customHeight="1" x14ac:dyDescent="0.3">
      <c r="A5961" s="1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</row>
    <row r="5962" spans="1:20" ht="45.75" customHeight="1" x14ac:dyDescent="0.3">
      <c r="A5962" s="1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</row>
    <row r="5963" spans="1:20" ht="45.75" customHeight="1" x14ac:dyDescent="0.3">
      <c r="A5963" s="1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</row>
    <row r="5964" spans="1:20" ht="45.75" customHeight="1" x14ac:dyDescent="0.3">
      <c r="A5964" s="1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</row>
    <row r="5965" spans="1:20" ht="45.75" customHeight="1" x14ac:dyDescent="0.3">
      <c r="A5965" s="1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</row>
    <row r="5966" spans="1:20" ht="45.75" customHeight="1" x14ac:dyDescent="0.3">
      <c r="A5966" s="1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</row>
    <row r="5967" spans="1:20" ht="45.75" customHeight="1" x14ac:dyDescent="0.3">
      <c r="A5967" s="1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</row>
    <row r="5968" spans="1:20" ht="45.75" customHeight="1" x14ac:dyDescent="0.3">
      <c r="A5968" s="1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</row>
    <row r="5969" spans="1:20" ht="45.75" customHeight="1" x14ac:dyDescent="0.3">
      <c r="A5969" s="1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</row>
    <row r="5970" spans="1:20" ht="45.75" customHeight="1" x14ac:dyDescent="0.3">
      <c r="A5970" s="1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</row>
    <row r="5971" spans="1:20" ht="45.75" customHeight="1" x14ac:dyDescent="0.3">
      <c r="A5971" s="1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</row>
    <row r="5972" spans="1:20" ht="45.75" customHeight="1" x14ac:dyDescent="0.3">
      <c r="A5972" s="1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</row>
    <row r="5973" spans="1:20" ht="45.75" customHeight="1" x14ac:dyDescent="0.3">
      <c r="A5973" s="1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</row>
    <row r="5974" spans="1:20" ht="45.75" customHeight="1" x14ac:dyDescent="0.3">
      <c r="A5974" s="1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</row>
    <row r="5975" spans="1:20" ht="45.75" customHeight="1" x14ac:dyDescent="0.3">
      <c r="A5975" s="1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</row>
    <row r="5976" spans="1:20" ht="45.75" customHeight="1" x14ac:dyDescent="0.3">
      <c r="A5976" s="1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</row>
    <row r="5977" spans="1:20" ht="45.75" customHeight="1" x14ac:dyDescent="0.3">
      <c r="A5977" s="1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</row>
    <row r="5978" spans="1:20" ht="45.75" customHeight="1" x14ac:dyDescent="0.3">
      <c r="A5978" s="1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</row>
    <row r="5979" spans="1:20" ht="45.75" customHeight="1" x14ac:dyDescent="0.3">
      <c r="A5979" s="1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</row>
    <row r="5980" spans="1:20" ht="45.75" customHeight="1" x14ac:dyDescent="0.3">
      <c r="A5980" s="1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</row>
    <row r="5981" spans="1:20" ht="45.75" customHeight="1" x14ac:dyDescent="0.3">
      <c r="A5981" s="1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</row>
    <row r="5982" spans="1:20" ht="45.75" customHeight="1" x14ac:dyDescent="0.3">
      <c r="A5982" s="1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</row>
    <row r="5983" spans="1:20" ht="45.75" customHeight="1" x14ac:dyDescent="0.3">
      <c r="A5983" s="1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</row>
    <row r="5984" spans="1:20" ht="45.75" customHeight="1" x14ac:dyDescent="0.3">
      <c r="A5984" s="1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</row>
    <row r="5985" spans="1:20" ht="45.75" customHeight="1" x14ac:dyDescent="0.3">
      <c r="A5985" s="1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</row>
    <row r="5986" spans="1:20" ht="45.75" customHeight="1" x14ac:dyDescent="0.3">
      <c r="A5986" s="1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</row>
    <row r="5987" spans="1:20" ht="45.75" customHeight="1" x14ac:dyDescent="0.3">
      <c r="A5987" s="1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</row>
    <row r="5988" spans="1:20" ht="45.75" customHeight="1" x14ac:dyDescent="0.3">
      <c r="A5988" s="1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</row>
    <row r="5989" spans="1:20" ht="45.75" customHeight="1" x14ac:dyDescent="0.3">
      <c r="A5989" s="1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</row>
    <row r="5990" spans="1:20" ht="45.75" customHeight="1" x14ac:dyDescent="0.3">
      <c r="A5990" s="1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</row>
    <row r="5991" spans="1:20" ht="45.75" customHeight="1" x14ac:dyDescent="0.3">
      <c r="A5991" s="1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</row>
    <row r="5992" spans="1:20" ht="45.75" customHeight="1" x14ac:dyDescent="0.3">
      <c r="A5992" s="1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</row>
    <row r="5993" spans="1:20" ht="45.75" customHeight="1" x14ac:dyDescent="0.3">
      <c r="A5993" s="1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</row>
    <row r="5994" spans="1:20" ht="45.75" customHeight="1" x14ac:dyDescent="0.3">
      <c r="A5994" s="1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</row>
    <row r="5995" spans="1:20" ht="45.75" customHeight="1" x14ac:dyDescent="0.3">
      <c r="A5995" s="1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</row>
    <row r="5996" spans="1:20" ht="45.75" customHeight="1" x14ac:dyDescent="0.3">
      <c r="A5996" s="1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</row>
    <row r="5997" spans="1:20" ht="45.75" customHeight="1" x14ac:dyDescent="0.3">
      <c r="A5997" s="1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</row>
    <row r="5998" spans="1:20" ht="45.75" customHeight="1" x14ac:dyDescent="0.3">
      <c r="A5998" s="1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</row>
    <row r="5999" spans="1:20" ht="45.75" customHeight="1" x14ac:dyDescent="0.3">
      <c r="A5999" s="1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</row>
    <row r="6000" spans="1:20" ht="45.75" customHeight="1" x14ac:dyDescent="0.3">
      <c r="A6000" s="1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</row>
    <row r="6001" spans="1:20" ht="45.75" customHeight="1" x14ac:dyDescent="0.3">
      <c r="A6001" s="1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</row>
    <row r="6002" spans="1:20" ht="45.75" customHeight="1" x14ac:dyDescent="0.3">
      <c r="A6002" s="1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</row>
    <row r="6003" spans="1:20" ht="45.75" customHeight="1" x14ac:dyDescent="0.3">
      <c r="A6003" s="1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</row>
    <row r="6004" spans="1:20" ht="45.75" customHeight="1" x14ac:dyDescent="0.3">
      <c r="A6004" s="1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</row>
    <row r="6005" spans="1:20" ht="45.75" customHeight="1" x14ac:dyDescent="0.3">
      <c r="A6005" s="1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</row>
    <row r="6006" spans="1:20" ht="45.75" customHeight="1" x14ac:dyDescent="0.3">
      <c r="A6006" s="1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</row>
    <row r="6007" spans="1:20" ht="45.75" customHeight="1" x14ac:dyDescent="0.3">
      <c r="A6007" s="1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</row>
    <row r="6008" spans="1:20" ht="45.75" customHeight="1" x14ac:dyDescent="0.3">
      <c r="A6008" s="1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</row>
    <row r="6009" spans="1:20" ht="45.75" customHeight="1" x14ac:dyDescent="0.3">
      <c r="A6009" s="1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</row>
    <row r="6010" spans="1:20" ht="45.75" customHeight="1" x14ac:dyDescent="0.3">
      <c r="A6010" s="1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</row>
    <row r="6011" spans="1:20" ht="45.75" customHeight="1" x14ac:dyDescent="0.3">
      <c r="A6011" s="1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</row>
    <row r="6012" spans="1:20" ht="45.75" customHeight="1" x14ac:dyDescent="0.3">
      <c r="A6012" s="1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</row>
    <row r="6013" spans="1:20" ht="45.75" customHeight="1" x14ac:dyDescent="0.3">
      <c r="A6013" s="1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</row>
    <row r="6014" spans="1:20" ht="45.75" customHeight="1" x14ac:dyDescent="0.3">
      <c r="A6014" s="1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</row>
    <row r="6015" spans="1:20" ht="45.75" customHeight="1" x14ac:dyDescent="0.3">
      <c r="A6015" s="1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</row>
    <row r="6016" spans="1:20" ht="45.75" customHeight="1" x14ac:dyDescent="0.3">
      <c r="A6016" s="1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</row>
    <row r="6017" spans="1:20" ht="45.75" customHeight="1" x14ac:dyDescent="0.3">
      <c r="A6017" s="1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</row>
    <row r="6018" spans="1:20" ht="45.75" customHeight="1" x14ac:dyDescent="0.3">
      <c r="A6018" s="1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</row>
    <row r="6019" spans="1:20" ht="45.75" customHeight="1" x14ac:dyDescent="0.3">
      <c r="A6019" s="1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</row>
    <row r="6020" spans="1:20" ht="45.75" customHeight="1" x14ac:dyDescent="0.3">
      <c r="A6020" s="1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</row>
    <row r="6021" spans="1:20" ht="45.75" customHeight="1" x14ac:dyDescent="0.3">
      <c r="A6021" s="1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</row>
    <row r="6022" spans="1:20" ht="45.75" customHeight="1" x14ac:dyDescent="0.3">
      <c r="A6022" s="1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</row>
    <row r="6023" spans="1:20" ht="45.75" customHeight="1" x14ac:dyDescent="0.3">
      <c r="A6023" s="1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</row>
    <row r="6024" spans="1:20" ht="45.75" customHeight="1" x14ac:dyDescent="0.3">
      <c r="A6024" s="1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</row>
    <row r="6025" spans="1:20" ht="45.75" customHeight="1" x14ac:dyDescent="0.3">
      <c r="A6025" s="1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</row>
    <row r="6026" spans="1:20" ht="45.75" customHeight="1" x14ac:dyDescent="0.3">
      <c r="A6026" s="1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</row>
    <row r="6027" spans="1:20" ht="45.75" customHeight="1" x14ac:dyDescent="0.3">
      <c r="A6027" s="1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</row>
    <row r="6028" spans="1:20" ht="45.75" customHeight="1" x14ac:dyDescent="0.3">
      <c r="A6028" s="1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</row>
    <row r="6029" spans="1:20" ht="45.75" customHeight="1" x14ac:dyDescent="0.3">
      <c r="A6029" s="1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</row>
    <row r="6030" spans="1:20" ht="45.75" customHeight="1" x14ac:dyDescent="0.3">
      <c r="A6030" s="1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</row>
    <row r="6031" spans="1:20" ht="45.75" customHeight="1" x14ac:dyDescent="0.3">
      <c r="A6031" s="1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</row>
    <row r="6032" spans="1:20" ht="45.75" customHeight="1" x14ac:dyDescent="0.3">
      <c r="A6032" s="1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</row>
    <row r="6033" spans="1:20" ht="45.75" customHeight="1" x14ac:dyDescent="0.3">
      <c r="A6033" s="1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</row>
    <row r="6034" spans="1:20" ht="45.75" customHeight="1" x14ac:dyDescent="0.3">
      <c r="A6034" s="1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</row>
    <row r="6035" spans="1:20" ht="45.75" customHeight="1" x14ac:dyDescent="0.3">
      <c r="A6035" s="1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</row>
    <row r="6036" spans="1:20" ht="45.75" customHeight="1" x14ac:dyDescent="0.3">
      <c r="A6036" s="1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</row>
    <row r="6037" spans="1:20" ht="45.75" customHeight="1" x14ac:dyDescent="0.3">
      <c r="A6037" s="1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</row>
    <row r="6038" spans="1:20" ht="45.75" customHeight="1" x14ac:dyDescent="0.3">
      <c r="A6038" s="1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</row>
    <row r="6039" spans="1:20" ht="45.75" customHeight="1" x14ac:dyDescent="0.3">
      <c r="A6039" s="1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</row>
    <row r="6040" spans="1:20" ht="45.75" customHeight="1" x14ac:dyDescent="0.3">
      <c r="A6040" s="1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</row>
    <row r="6041" spans="1:20" ht="45.75" customHeight="1" x14ac:dyDescent="0.3">
      <c r="A6041" s="1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</row>
    <row r="6042" spans="1:20" ht="45.75" customHeight="1" x14ac:dyDescent="0.3">
      <c r="A6042" s="1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</row>
    <row r="6043" spans="1:20" ht="45.75" customHeight="1" x14ac:dyDescent="0.3">
      <c r="A6043" s="1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</row>
    <row r="6044" spans="1:20" ht="45.75" customHeight="1" x14ac:dyDescent="0.3">
      <c r="A6044" s="1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</row>
    <row r="6045" spans="1:20" ht="45.75" customHeight="1" x14ac:dyDescent="0.3">
      <c r="A6045" s="1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</row>
    <row r="6046" spans="1:20" ht="45.75" customHeight="1" x14ac:dyDescent="0.3">
      <c r="A6046" s="1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</row>
    <row r="6047" spans="1:20" ht="45.75" customHeight="1" x14ac:dyDescent="0.3">
      <c r="A6047" s="1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</row>
    <row r="6048" spans="1:20" ht="45.75" customHeight="1" x14ac:dyDescent="0.3">
      <c r="A6048" s="1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</row>
    <row r="6049" spans="1:20" ht="45.75" customHeight="1" x14ac:dyDescent="0.3">
      <c r="A6049" s="1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</row>
    <row r="6050" spans="1:20" ht="45.75" customHeight="1" x14ac:dyDescent="0.3">
      <c r="A6050" s="1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</row>
    <row r="6051" spans="1:20" ht="45.75" customHeight="1" x14ac:dyDescent="0.3">
      <c r="A6051" s="1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</row>
    <row r="6052" spans="1:20" ht="45.75" customHeight="1" x14ac:dyDescent="0.3">
      <c r="A6052" s="1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</row>
    <row r="6053" spans="1:20" ht="45.75" customHeight="1" x14ac:dyDescent="0.3">
      <c r="A6053" s="1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</row>
    <row r="6054" spans="1:20" ht="45.75" customHeight="1" x14ac:dyDescent="0.3">
      <c r="A6054" s="1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</row>
    <row r="6055" spans="1:20" ht="45.75" customHeight="1" x14ac:dyDescent="0.3">
      <c r="A6055" s="1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</row>
    <row r="6056" spans="1:20" ht="45.75" customHeight="1" x14ac:dyDescent="0.3">
      <c r="A6056" s="1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</row>
    <row r="6057" spans="1:20" ht="45.75" customHeight="1" x14ac:dyDescent="0.3">
      <c r="A6057" s="1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</row>
    <row r="6058" spans="1:20" ht="45.75" customHeight="1" x14ac:dyDescent="0.3">
      <c r="A6058" s="1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</row>
    <row r="6059" spans="1:20" ht="45.75" customHeight="1" x14ac:dyDescent="0.3">
      <c r="A6059" s="1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</row>
    <row r="6060" spans="1:20" ht="45.75" customHeight="1" x14ac:dyDescent="0.3">
      <c r="A6060" s="1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</row>
    <row r="6061" spans="1:20" ht="45.75" customHeight="1" x14ac:dyDescent="0.3">
      <c r="A6061" s="1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</row>
    <row r="6062" spans="1:20" ht="45.75" customHeight="1" x14ac:dyDescent="0.3">
      <c r="A6062" s="1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</row>
    <row r="6063" spans="1:20" ht="45.75" customHeight="1" x14ac:dyDescent="0.3">
      <c r="A6063" s="1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</row>
    <row r="6064" spans="1:20" ht="45.75" customHeight="1" x14ac:dyDescent="0.3">
      <c r="A6064" s="1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</row>
    <row r="6065" spans="1:20" ht="45.75" customHeight="1" x14ac:dyDescent="0.3">
      <c r="A6065" s="1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</row>
    <row r="6066" spans="1:20" ht="45.75" customHeight="1" x14ac:dyDescent="0.3">
      <c r="A6066" s="1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</row>
    <row r="6067" spans="1:20" ht="45.75" customHeight="1" x14ac:dyDescent="0.3">
      <c r="A6067" s="1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</row>
    <row r="6068" spans="1:20" ht="45.75" customHeight="1" x14ac:dyDescent="0.3">
      <c r="A6068" s="1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</row>
    <row r="6069" spans="1:20" ht="45.75" customHeight="1" x14ac:dyDescent="0.3">
      <c r="A6069" s="1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</row>
    <row r="6070" spans="1:20" ht="45.75" customHeight="1" x14ac:dyDescent="0.3">
      <c r="A6070" s="1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</row>
    <row r="6071" spans="1:20" ht="45.75" customHeight="1" x14ac:dyDescent="0.3">
      <c r="A6071" s="1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</row>
    <row r="6072" spans="1:20" ht="45.75" customHeight="1" x14ac:dyDescent="0.3">
      <c r="A6072" s="1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</row>
    <row r="6073" spans="1:20" ht="45.75" customHeight="1" x14ac:dyDescent="0.3">
      <c r="A6073" s="1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</row>
    <row r="6074" spans="1:20" ht="45.75" customHeight="1" x14ac:dyDescent="0.3">
      <c r="A6074" s="1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</row>
    <row r="6075" spans="1:20" ht="45.75" customHeight="1" x14ac:dyDescent="0.3">
      <c r="A6075" s="1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</row>
    <row r="6076" spans="1:20" ht="45.75" customHeight="1" x14ac:dyDescent="0.3">
      <c r="A6076" s="1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</row>
    <row r="6077" spans="1:20" ht="45.75" customHeight="1" x14ac:dyDescent="0.3">
      <c r="A6077" s="1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</row>
    <row r="6078" spans="1:20" ht="45.75" customHeight="1" x14ac:dyDescent="0.3">
      <c r="A6078" s="1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</row>
    <row r="6079" spans="1:20" ht="45.75" customHeight="1" x14ac:dyDescent="0.3">
      <c r="A6079" s="1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</row>
    <row r="6080" spans="1:20" ht="45.75" customHeight="1" x14ac:dyDescent="0.3">
      <c r="A6080" s="1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</row>
    <row r="6081" spans="1:20" ht="45.75" customHeight="1" x14ac:dyDescent="0.3">
      <c r="A6081" s="1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</row>
    <row r="6082" spans="1:20" ht="45.75" customHeight="1" x14ac:dyDescent="0.3">
      <c r="A6082" s="1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</row>
    <row r="6083" spans="1:20" ht="45.75" customHeight="1" x14ac:dyDescent="0.3">
      <c r="A6083" s="1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</row>
    <row r="6084" spans="1:20" ht="45.75" customHeight="1" x14ac:dyDescent="0.3">
      <c r="A6084" s="1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</row>
    <row r="6085" spans="1:20" ht="45.75" customHeight="1" x14ac:dyDescent="0.3">
      <c r="A6085" s="1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</row>
    <row r="6086" spans="1:20" ht="45.75" customHeight="1" x14ac:dyDescent="0.3">
      <c r="A6086" s="1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</row>
    <row r="6087" spans="1:20" ht="45.75" customHeight="1" x14ac:dyDescent="0.3">
      <c r="A6087" s="1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</row>
    <row r="6088" spans="1:20" ht="45.75" customHeight="1" x14ac:dyDescent="0.3">
      <c r="A6088" s="1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</row>
    <row r="6089" spans="1:20" ht="45.75" customHeight="1" x14ac:dyDescent="0.3">
      <c r="A6089" s="1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</row>
    <row r="6090" spans="1:20" ht="45.75" customHeight="1" x14ac:dyDescent="0.3">
      <c r="A6090" s="1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</row>
    <row r="6091" spans="1:20" ht="45.75" customHeight="1" x14ac:dyDescent="0.3">
      <c r="A6091" s="1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</row>
    <row r="6092" spans="1:20" ht="45.75" customHeight="1" x14ac:dyDescent="0.3">
      <c r="A6092" s="1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</row>
    <row r="6093" spans="1:20" ht="45.75" customHeight="1" x14ac:dyDescent="0.3">
      <c r="A6093" s="1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</row>
    <row r="6094" spans="1:20" ht="45.75" customHeight="1" x14ac:dyDescent="0.3">
      <c r="A6094" s="1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</row>
    <row r="6095" spans="1:20" ht="45.75" customHeight="1" x14ac:dyDescent="0.3">
      <c r="A6095" s="1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</row>
    <row r="6096" spans="1:20" ht="45.75" customHeight="1" x14ac:dyDescent="0.3">
      <c r="A6096" s="1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</row>
    <row r="6097" spans="1:20" ht="45.75" customHeight="1" x14ac:dyDescent="0.3">
      <c r="A6097" s="1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</row>
    <row r="6098" spans="1:20" ht="45.75" customHeight="1" x14ac:dyDescent="0.3">
      <c r="A6098" s="1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</row>
    <row r="6099" spans="1:20" ht="45.75" customHeight="1" x14ac:dyDescent="0.3">
      <c r="A6099" s="1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</row>
    <row r="6100" spans="1:20" ht="45.75" customHeight="1" x14ac:dyDescent="0.3">
      <c r="A6100" s="1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</row>
    <row r="6101" spans="1:20" ht="45.75" customHeight="1" x14ac:dyDescent="0.3">
      <c r="A6101" s="1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</row>
    <row r="6102" spans="1:20" ht="45.75" customHeight="1" x14ac:dyDescent="0.3">
      <c r="A6102" s="1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</row>
    <row r="6103" spans="1:20" ht="45.75" customHeight="1" x14ac:dyDescent="0.3">
      <c r="A6103" s="1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</row>
    <row r="6104" spans="1:20" ht="45.75" customHeight="1" x14ac:dyDescent="0.3">
      <c r="A6104" s="1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</row>
    <row r="6105" spans="1:20" ht="45.75" customHeight="1" x14ac:dyDescent="0.3">
      <c r="A6105" s="1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</row>
    <row r="6106" spans="1:20" ht="45.75" customHeight="1" x14ac:dyDescent="0.3">
      <c r="A6106" s="1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</row>
    <row r="6107" spans="1:20" ht="45.75" customHeight="1" x14ac:dyDescent="0.3">
      <c r="A6107" s="1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</row>
    <row r="6108" spans="1:20" ht="45.75" customHeight="1" x14ac:dyDescent="0.3">
      <c r="A6108" s="1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</row>
    <row r="6109" spans="1:20" ht="45.75" customHeight="1" x14ac:dyDescent="0.3">
      <c r="A6109" s="1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</row>
    <row r="6110" spans="1:20" ht="45.75" customHeight="1" x14ac:dyDescent="0.3">
      <c r="A6110" s="1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</row>
    <row r="6111" spans="1:20" ht="45.75" customHeight="1" x14ac:dyDescent="0.3">
      <c r="A6111" s="1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</row>
    <row r="6112" spans="1:20" ht="45.75" customHeight="1" x14ac:dyDescent="0.3">
      <c r="A6112" s="1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</row>
    <row r="6113" spans="1:20" ht="45.75" customHeight="1" x14ac:dyDescent="0.3">
      <c r="A6113" s="1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</row>
    <row r="6114" spans="1:20" ht="45.75" customHeight="1" x14ac:dyDescent="0.3">
      <c r="A6114" s="1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</row>
    <row r="6115" spans="1:20" ht="45.75" customHeight="1" x14ac:dyDescent="0.3">
      <c r="A6115" s="1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</row>
    <row r="6116" spans="1:20" ht="45.75" customHeight="1" x14ac:dyDescent="0.3">
      <c r="A6116" s="1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</row>
    <row r="6117" spans="1:20" ht="45.75" customHeight="1" x14ac:dyDescent="0.3">
      <c r="A6117" s="1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</row>
    <row r="6118" spans="1:20" ht="45.75" customHeight="1" x14ac:dyDescent="0.3">
      <c r="A6118" s="1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</row>
    <row r="6119" spans="1:20" ht="45.75" customHeight="1" x14ac:dyDescent="0.3">
      <c r="A6119" s="1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</row>
    <row r="6120" spans="1:20" ht="45.75" customHeight="1" x14ac:dyDescent="0.3">
      <c r="A6120" s="1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</row>
    <row r="6121" spans="1:20" ht="45.75" customHeight="1" x14ac:dyDescent="0.3">
      <c r="A6121" s="1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</row>
    <row r="6122" spans="1:20" ht="45.75" customHeight="1" x14ac:dyDescent="0.3">
      <c r="A6122" s="1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</row>
    <row r="6123" spans="1:20" ht="45.75" customHeight="1" x14ac:dyDescent="0.3">
      <c r="A6123" s="1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</row>
    <row r="6124" spans="1:20" ht="45.75" customHeight="1" x14ac:dyDescent="0.3">
      <c r="A6124" s="1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</row>
    <row r="6125" spans="1:20" ht="45.75" customHeight="1" x14ac:dyDescent="0.3">
      <c r="A6125" s="1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</row>
    <row r="6126" spans="1:20" ht="45.75" customHeight="1" x14ac:dyDescent="0.3">
      <c r="A6126" s="1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</row>
    <row r="6127" spans="1:20" ht="45.75" customHeight="1" x14ac:dyDescent="0.3">
      <c r="A6127" s="1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</row>
    <row r="6128" spans="1:20" ht="45.75" customHeight="1" x14ac:dyDescent="0.3">
      <c r="A6128" s="1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</row>
    <row r="6129" spans="1:20" ht="45.75" customHeight="1" x14ac:dyDescent="0.3">
      <c r="A6129" s="1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</row>
    <row r="6130" spans="1:20" ht="45.75" customHeight="1" x14ac:dyDescent="0.3">
      <c r="A6130" s="1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</row>
    <row r="6131" spans="1:20" ht="45.75" customHeight="1" x14ac:dyDescent="0.3">
      <c r="A6131" s="1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</row>
    <row r="6132" spans="1:20" ht="45.75" customHeight="1" x14ac:dyDescent="0.3">
      <c r="A6132" s="1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</row>
    <row r="6133" spans="1:20" ht="45.75" customHeight="1" x14ac:dyDescent="0.3">
      <c r="A6133" s="1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</row>
    <row r="6134" spans="1:20" ht="45.75" customHeight="1" x14ac:dyDescent="0.3">
      <c r="A6134" s="1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</row>
    <row r="6135" spans="1:20" ht="45.75" customHeight="1" x14ac:dyDescent="0.3">
      <c r="A6135" s="1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</row>
    <row r="6136" spans="1:20" ht="45.75" customHeight="1" x14ac:dyDescent="0.3">
      <c r="A6136" s="1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</row>
    <row r="6137" spans="1:20" ht="45.75" customHeight="1" x14ac:dyDescent="0.3">
      <c r="A6137" s="1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</row>
    <row r="6138" spans="1:20" ht="45.75" customHeight="1" x14ac:dyDescent="0.3">
      <c r="A6138" s="1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</row>
    <row r="6139" spans="1:20" ht="45.75" customHeight="1" x14ac:dyDescent="0.3">
      <c r="A6139" s="1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</row>
    <row r="6140" spans="1:20" ht="45.75" customHeight="1" x14ac:dyDescent="0.3">
      <c r="A6140" s="1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</row>
    <row r="6141" spans="1:20" ht="45.75" customHeight="1" x14ac:dyDescent="0.3">
      <c r="A6141" s="1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</row>
    <row r="6142" spans="1:20" ht="45.75" customHeight="1" x14ac:dyDescent="0.3">
      <c r="A6142" s="1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</row>
    <row r="6143" spans="1:20" ht="45.75" customHeight="1" x14ac:dyDescent="0.3">
      <c r="A6143" s="1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</row>
    <row r="6144" spans="1:20" ht="45.75" customHeight="1" x14ac:dyDescent="0.3">
      <c r="A6144" s="1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</row>
    <row r="6145" spans="1:20" ht="45.75" customHeight="1" x14ac:dyDescent="0.3">
      <c r="A6145" s="1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</row>
    <row r="6146" spans="1:20" ht="45.75" customHeight="1" x14ac:dyDescent="0.3">
      <c r="A6146" s="1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</row>
    <row r="6147" spans="1:20" ht="45.75" customHeight="1" x14ac:dyDescent="0.3">
      <c r="A6147" s="1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</row>
    <row r="6148" spans="1:20" ht="45.75" customHeight="1" x14ac:dyDescent="0.3">
      <c r="A6148" s="1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</row>
    <row r="6149" spans="1:20" ht="45.75" customHeight="1" x14ac:dyDescent="0.3">
      <c r="A6149" s="1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</row>
    <row r="6150" spans="1:20" ht="45.75" customHeight="1" x14ac:dyDescent="0.3">
      <c r="A6150" s="1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</row>
    <row r="6151" spans="1:20" ht="45.75" customHeight="1" x14ac:dyDescent="0.3">
      <c r="A6151" s="1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</row>
    <row r="6152" spans="1:20" ht="45.75" customHeight="1" x14ac:dyDescent="0.3">
      <c r="A6152" s="1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</row>
    <row r="6153" spans="1:20" ht="45.75" customHeight="1" x14ac:dyDescent="0.3">
      <c r="A6153" s="1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</row>
    <row r="6154" spans="1:20" ht="45.75" customHeight="1" x14ac:dyDescent="0.3">
      <c r="A6154" s="1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</row>
    <row r="6155" spans="1:20" ht="45.75" customHeight="1" x14ac:dyDescent="0.3">
      <c r="A6155" s="1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</row>
    <row r="6156" spans="1:20" ht="45.75" customHeight="1" x14ac:dyDescent="0.3">
      <c r="A6156" s="1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</row>
    <row r="6157" spans="1:20" ht="45.75" customHeight="1" x14ac:dyDescent="0.3">
      <c r="A6157" s="1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</row>
    <row r="6158" spans="1:20" ht="45.75" customHeight="1" x14ac:dyDescent="0.3">
      <c r="A6158" s="1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</row>
    <row r="6159" spans="1:20" ht="45.75" customHeight="1" x14ac:dyDescent="0.3">
      <c r="A6159" s="1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</row>
    <row r="6160" spans="1:20" ht="45.75" customHeight="1" x14ac:dyDescent="0.3">
      <c r="A6160" s="1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</row>
    <row r="6161" spans="1:20" ht="45.75" customHeight="1" x14ac:dyDescent="0.3">
      <c r="A6161" s="1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</row>
    <row r="6162" spans="1:20" ht="45.75" customHeight="1" x14ac:dyDescent="0.3">
      <c r="A6162" s="1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</row>
    <row r="6163" spans="1:20" ht="45.75" customHeight="1" x14ac:dyDescent="0.3">
      <c r="A6163" s="1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</row>
    <row r="6164" spans="1:20" ht="45.75" customHeight="1" x14ac:dyDescent="0.3">
      <c r="A6164" s="1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</row>
    <row r="6165" spans="1:20" ht="45.75" customHeight="1" x14ac:dyDescent="0.3">
      <c r="A6165" s="1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</row>
    <row r="6166" spans="1:20" ht="45.75" customHeight="1" x14ac:dyDescent="0.3">
      <c r="A6166" s="1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</row>
    <row r="6167" spans="1:20" ht="45.75" customHeight="1" x14ac:dyDescent="0.3">
      <c r="A6167" s="1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</row>
    <row r="6168" spans="1:20" ht="45.75" customHeight="1" x14ac:dyDescent="0.3">
      <c r="A6168" s="1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</row>
    <row r="6169" spans="1:20" ht="45.75" customHeight="1" x14ac:dyDescent="0.3">
      <c r="A6169" s="1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</row>
    <row r="6170" spans="1:20" ht="45.75" customHeight="1" x14ac:dyDescent="0.3">
      <c r="A6170" s="1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</row>
    <row r="6171" spans="1:20" ht="45.75" customHeight="1" x14ac:dyDescent="0.3">
      <c r="A6171" s="1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</row>
    <row r="6172" spans="1:20" ht="45.75" customHeight="1" x14ac:dyDescent="0.3">
      <c r="A6172" s="1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</row>
    <row r="6173" spans="1:20" ht="45.75" customHeight="1" x14ac:dyDescent="0.3">
      <c r="A6173" s="1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</row>
    <row r="6174" spans="1:20" ht="45.75" customHeight="1" x14ac:dyDescent="0.3">
      <c r="A6174" s="1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</row>
    <row r="6175" spans="1:20" ht="45.75" customHeight="1" x14ac:dyDescent="0.3">
      <c r="A6175" s="1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</row>
    <row r="6176" spans="1:20" ht="45.75" customHeight="1" x14ac:dyDescent="0.3">
      <c r="A6176" s="1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</row>
    <row r="6177" spans="1:20" ht="45.75" customHeight="1" x14ac:dyDescent="0.3">
      <c r="A6177" s="1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</row>
    <row r="6178" spans="1:20" ht="45.75" customHeight="1" x14ac:dyDescent="0.3">
      <c r="A6178" s="1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</row>
    <row r="6179" spans="1:20" ht="45.75" customHeight="1" x14ac:dyDescent="0.3">
      <c r="A6179" s="1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</row>
    <row r="6180" spans="1:20" ht="45.75" customHeight="1" x14ac:dyDescent="0.3">
      <c r="A6180" s="1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</row>
    <row r="6181" spans="1:20" ht="45.75" customHeight="1" x14ac:dyDescent="0.3">
      <c r="A6181" s="1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</row>
    <row r="6182" spans="1:20" ht="45.75" customHeight="1" x14ac:dyDescent="0.3">
      <c r="A6182" s="1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</row>
    <row r="6183" spans="1:20" ht="45.75" customHeight="1" x14ac:dyDescent="0.3">
      <c r="A6183" s="1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</row>
    <row r="6184" spans="1:20" ht="45.75" customHeight="1" x14ac:dyDescent="0.3">
      <c r="A6184" s="1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</row>
    <row r="6185" spans="1:20" ht="45.75" customHeight="1" x14ac:dyDescent="0.3">
      <c r="A6185" s="1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</row>
    <row r="6186" spans="1:20" ht="45.75" customHeight="1" x14ac:dyDescent="0.3">
      <c r="A6186" s="1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</row>
    <row r="6187" spans="1:20" ht="45.75" customHeight="1" x14ac:dyDescent="0.3">
      <c r="A6187" s="1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</row>
    <row r="6188" spans="1:20" ht="45.75" customHeight="1" x14ac:dyDescent="0.3">
      <c r="A6188" s="1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</row>
    <row r="6189" spans="1:20" ht="45.75" customHeight="1" x14ac:dyDescent="0.3">
      <c r="A6189" s="1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</row>
    <row r="6190" spans="1:20" ht="45.75" customHeight="1" x14ac:dyDescent="0.3">
      <c r="A6190" s="1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</row>
    <row r="6191" spans="1:20" ht="45.75" customHeight="1" x14ac:dyDescent="0.3">
      <c r="A6191" s="1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</row>
    <row r="6192" spans="1:20" ht="45.75" customHeight="1" x14ac:dyDescent="0.3">
      <c r="A6192" s="1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</row>
    <row r="6193" spans="1:20" ht="45.75" customHeight="1" x14ac:dyDescent="0.3">
      <c r="A6193" s="1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</row>
    <row r="6194" spans="1:20" ht="45.75" customHeight="1" x14ac:dyDescent="0.3">
      <c r="A6194" s="1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</row>
    <row r="6195" spans="1:20" ht="45.75" customHeight="1" x14ac:dyDescent="0.3">
      <c r="A6195" s="1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</row>
    <row r="6196" spans="1:20" ht="45.75" customHeight="1" x14ac:dyDescent="0.3">
      <c r="A6196" s="1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</row>
    <row r="6197" spans="1:20" ht="45.75" customHeight="1" x14ac:dyDescent="0.3">
      <c r="A6197" s="1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</row>
    <row r="6198" spans="1:20" ht="45.75" customHeight="1" x14ac:dyDescent="0.3">
      <c r="A6198" s="1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</row>
    <row r="6199" spans="1:20" ht="45.75" customHeight="1" x14ac:dyDescent="0.3">
      <c r="A6199" s="1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</row>
    <row r="6200" spans="1:20" ht="45.75" customHeight="1" x14ac:dyDescent="0.3">
      <c r="A6200" s="1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</row>
    <row r="6201" spans="1:20" ht="45.75" customHeight="1" x14ac:dyDescent="0.3">
      <c r="A6201" s="1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</row>
    <row r="6202" spans="1:20" ht="45.75" customHeight="1" x14ac:dyDescent="0.3">
      <c r="A6202" s="1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</row>
    <row r="6203" spans="1:20" ht="45.75" customHeight="1" x14ac:dyDescent="0.3">
      <c r="A6203" s="1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</row>
    <row r="6204" spans="1:20" ht="45.75" customHeight="1" x14ac:dyDescent="0.3">
      <c r="A6204" s="1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</row>
    <row r="6205" spans="1:20" ht="45.75" customHeight="1" x14ac:dyDescent="0.3">
      <c r="A6205" s="1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</row>
    <row r="6206" spans="1:20" ht="45.75" customHeight="1" x14ac:dyDescent="0.3">
      <c r="A6206" s="1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</row>
    <row r="6207" spans="1:20" ht="45.75" customHeight="1" x14ac:dyDescent="0.3">
      <c r="A6207" s="1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</row>
    <row r="6208" spans="1:20" ht="45.75" customHeight="1" x14ac:dyDescent="0.3">
      <c r="A6208" s="1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</row>
    <row r="6209" spans="1:20" ht="45.75" customHeight="1" x14ac:dyDescent="0.3">
      <c r="A6209" s="1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</row>
    <row r="6210" spans="1:20" ht="45.75" customHeight="1" x14ac:dyDescent="0.3">
      <c r="A6210" s="1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</row>
    <row r="6211" spans="1:20" ht="45.75" customHeight="1" x14ac:dyDescent="0.3">
      <c r="A6211" s="1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</row>
    <row r="6212" spans="1:20" ht="45.75" customHeight="1" x14ac:dyDescent="0.3">
      <c r="A6212" s="1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</row>
    <row r="6213" spans="1:20" ht="45.75" customHeight="1" x14ac:dyDescent="0.3">
      <c r="A6213" s="1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</row>
    <row r="6214" spans="1:20" ht="45.75" customHeight="1" x14ac:dyDescent="0.3">
      <c r="A6214" s="1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</row>
    <row r="6215" spans="1:20" ht="45.75" customHeight="1" x14ac:dyDescent="0.3">
      <c r="A6215" s="1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</row>
    <row r="6216" spans="1:20" ht="45.75" customHeight="1" x14ac:dyDescent="0.3">
      <c r="A6216" s="1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</row>
    <row r="6217" spans="1:20" ht="45.75" customHeight="1" x14ac:dyDescent="0.3">
      <c r="A6217" s="1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</row>
    <row r="6218" spans="1:20" ht="45.75" customHeight="1" x14ac:dyDescent="0.3">
      <c r="A6218" s="1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</row>
    <row r="6219" spans="1:20" ht="45.75" customHeight="1" x14ac:dyDescent="0.3">
      <c r="A6219" s="1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</row>
    <row r="6220" spans="1:20" ht="45.75" customHeight="1" x14ac:dyDescent="0.3">
      <c r="A6220" s="1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</row>
    <row r="6221" spans="1:20" ht="45.75" customHeight="1" x14ac:dyDescent="0.3">
      <c r="A6221" s="1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</row>
    <row r="6222" spans="1:20" ht="45.75" customHeight="1" x14ac:dyDescent="0.3">
      <c r="A6222" s="1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</row>
    <row r="6223" spans="1:20" ht="45.75" customHeight="1" x14ac:dyDescent="0.3">
      <c r="A6223" s="1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</row>
    <row r="6224" spans="1:20" ht="45.75" customHeight="1" x14ac:dyDescent="0.3">
      <c r="A6224" s="1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</row>
    <row r="6225" spans="1:20" ht="45.75" customHeight="1" x14ac:dyDescent="0.3">
      <c r="A6225" s="1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</row>
    <row r="6226" spans="1:20" ht="45.75" customHeight="1" x14ac:dyDescent="0.3">
      <c r="A6226" s="1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</row>
    <row r="6227" spans="1:20" ht="45.75" customHeight="1" x14ac:dyDescent="0.3">
      <c r="A6227" s="1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</row>
    <row r="6228" spans="1:20" ht="45.75" customHeight="1" x14ac:dyDescent="0.3">
      <c r="A6228" s="1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</row>
    <row r="6229" spans="1:20" ht="45.75" customHeight="1" x14ac:dyDescent="0.3">
      <c r="A6229" s="1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</row>
    <row r="6230" spans="1:20" ht="45.75" customHeight="1" x14ac:dyDescent="0.3">
      <c r="A6230" s="1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</row>
    <row r="6231" spans="1:20" ht="45.75" customHeight="1" x14ac:dyDescent="0.3">
      <c r="A6231" s="1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</row>
    <row r="6232" spans="1:20" ht="45.75" customHeight="1" x14ac:dyDescent="0.3">
      <c r="A6232" s="1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</row>
    <row r="6233" spans="1:20" ht="45.75" customHeight="1" x14ac:dyDescent="0.3">
      <c r="A6233" s="1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</row>
    <row r="6234" spans="1:20" ht="45.75" customHeight="1" x14ac:dyDescent="0.3">
      <c r="A6234" s="1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</row>
    <row r="6235" spans="1:20" ht="45.75" customHeight="1" x14ac:dyDescent="0.3">
      <c r="A6235" s="1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</row>
    <row r="6236" spans="1:20" ht="45.75" customHeight="1" x14ac:dyDescent="0.3">
      <c r="A6236" s="1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</row>
    <row r="6237" spans="1:20" ht="45.75" customHeight="1" x14ac:dyDescent="0.3">
      <c r="A6237" s="1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</row>
    <row r="6238" spans="1:20" ht="45.75" customHeight="1" x14ac:dyDescent="0.3">
      <c r="A6238" s="1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</row>
    <row r="6239" spans="1:20" ht="45.75" customHeight="1" x14ac:dyDescent="0.3">
      <c r="A6239" s="1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</row>
    <row r="6240" spans="1:20" ht="45.75" customHeight="1" x14ac:dyDescent="0.3">
      <c r="A6240" s="1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</row>
    <row r="6241" spans="1:20" ht="45.75" customHeight="1" x14ac:dyDescent="0.3">
      <c r="A6241" s="1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</row>
    <row r="6242" spans="1:20" ht="45.75" customHeight="1" x14ac:dyDescent="0.3">
      <c r="A6242" s="1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</row>
    <row r="6243" spans="1:20" ht="45.75" customHeight="1" x14ac:dyDescent="0.3">
      <c r="A6243" s="1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</row>
    <row r="6244" spans="1:20" ht="45.75" customHeight="1" x14ac:dyDescent="0.3">
      <c r="A6244" s="1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</row>
    <row r="6245" spans="1:20" ht="45.75" customHeight="1" x14ac:dyDescent="0.3">
      <c r="A6245" s="1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</row>
    <row r="6246" spans="1:20" ht="45.75" customHeight="1" x14ac:dyDescent="0.3">
      <c r="A6246" s="1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</row>
    <row r="6247" spans="1:20" ht="45.75" customHeight="1" x14ac:dyDescent="0.3">
      <c r="A6247" s="1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</row>
    <row r="6248" spans="1:20" ht="45.75" customHeight="1" x14ac:dyDescent="0.3">
      <c r="A6248" s="1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</row>
    <row r="6249" spans="1:20" ht="45.75" customHeight="1" x14ac:dyDescent="0.3">
      <c r="A6249" s="1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</row>
    <row r="6250" spans="1:20" ht="45.75" customHeight="1" x14ac:dyDescent="0.3">
      <c r="A6250" s="1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</row>
    <row r="6251" spans="1:20" ht="45.75" customHeight="1" x14ac:dyDescent="0.3">
      <c r="A6251" s="1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</row>
    <row r="6252" spans="1:20" ht="45.75" customHeight="1" x14ac:dyDescent="0.3">
      <c r="A6252" s="1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</row>
    <row r="6253" spans="1:20" ht="45.75" customHeight="1" x14ac:dyDescent="0.3">
      <c r="A6253" s="1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</row>
    <row r="6254" spans="1:20" ht="45.75" customHeight="1" x14ac:dyDescent="0.3">
      <c r="A6254" s="1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</row>
    <row r="6255" spans="1:20" ht="45.75" customHeight="1" x14ac:dyDescent="0.3">
      <c r="A6255" s="1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</row>
    <row r="6256" spans="1:20" ht="45.75" customHeight="1" x14ac:dyDescent="0.3">
      <c r="A6256" s="1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</row>
    <row r="6257" spans="1:20" ht="45.75" customHeight="1" x14ac:dyDescent="0.3">
      <c r="A6257" s="1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</row>
    <row r="6258" spans="1:20" ht="45.75" customHeight="1" x14ac:dyDescent="0.3">
      <c r="A6258" s="1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</row>
    <row r="6259" spans="1:20" ht="45.75" customHeight="1" x14ac:dyDescent="0.3">
      <c r="A6259" s="1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</row>
    <row r="6260" spans="1:20" ht="45.75" customHeight="1" x14ac:dyDescent="0.3">
      <c r="A6260" s="1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</row>
    <row r="6261" spans="1:20" ht="45.75" customHeight="1" x14ac:dyDescent="0.3">
      <c r="A6261" s="1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</row>
    <row r="6262" spans="1:20" ht="45.75" customHeight="1" x14ac:dyDescent="0.3">
      <c r="A6262" s="1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</row>
    <row r="6263" spans="1:20" ht="45.75" customHeight="1" x14ac:dyDescent="0.3">
      <c r="A6263" s="1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</row>
    <row r="6264" spans="1:20" ht="45.75" customHeight="1" x14ac:dyDescent="0.3">
      <c r="A6264" s="1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</row>
    <row r="6265" spans="1:20" ht="45.75" customHeight="1" x14ac:dyDescent="0.3">
      <c r="A6265" s="1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</row>
    <row r="6266" spans="1:20" ht="45.75" customHeight="1" x14ac:dyDescent="0.3">
      <c r="A6266" s="1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</row>
    <row r="6267" spans="1:20" ht="45.75" customHeight="1" x14ac:dyDescent="0.3">
      <c r="A6267" s="1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</row>
    <row r="6268" spans="1:20" ht="45.75" customHeight="1" x14ac:dyDescent="0.3">
      <c r="A6268" s="1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</row>
    <row r="6269" spans="1:20" ht="45.75" customHeight="1" x14ac:dyDescent="0.3">
      <c r="A6269" s="1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</row>
    <row r="6270" spans="1:20" ht="45.75" customHeight="1" x14ac:dyDescent="0.3">
      <c r="A6270" s="1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</row>
    <row r="6271" spans="1:20" ht="45.75" customHeight="1" x14ac:dyDescent="0.3">
      <c r="A6271" s="1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</row>
    <row r="6272" spans="1:20" ht="45.75" customHeight="1" x14ac:dyDescent="0.3">
      <c r="A6272" s="1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</row>
    <row r="6273" spans="1:20" ht="45.75" customHeight="1" x14ac:dyDescent="0.3">
      <c r="A6273" s="1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</row>
    <row r="6274" spans="1:20" ht="45.75" customHeight="1" x14ac:dyDescent="0.3">
      <c r="A6274" s="1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</row>
    <row r="6275" spans="1:20" ht="45.75" customHeight="1" x14ac:dyDescent="0.3">
      <c r="A6275" s="1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</row>
    <row r="6276" spans="1:20" ht="45.75" customHeight="1" x14ac:dyDescent="0.3">
      <c r="A6276" s="1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</row>
    <row r="6277" spans="1:20" ht="45.75" customHeight="1" x14ac:dyDescent="0.3">
      <c r="A6277" s="1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</row>
    <row r="6278" spans="1:20" ht="45.75" customHeight="1" x14ac:dyDescent="0.3">
      <c r="A6278" s="1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</row>
    <row r="6279" spans="1:20" ht="45.75" customHeight="1" x14ac:dyDescent="0.3">
      <c r="A6279" s="1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</row>
    <row r="6280" spans="1:20" ht="45.75" customHeight="1" x14ac:dyDescent="0.3">
      <c r="A6280" s="1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</row>
    <row r="6281" spans="1:20" ht="45.75" customHeight="1" x14ac:dyDescent="0.3">
      <c r="A6281" s="1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</row>
    <row r="6282" spans="1:20" ht="45.75" customHeight="1" x14ac:dyDescent="0.3">
      <c r="A6282" s="1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</row>
    <row r="6283" spans="1:20" ht="45.75" customHeight="1" x14ac:dyDescent="0.3">
      <c r="A6283" s="1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</row>
    <row r="6284" spans="1:20" ht="45.75" customHeight="1" x14ac:dyDescent="0.3">
      <c r="A6284" s="1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</row>
    <row r="6285" spans="1:20" ht="45.75" customHeight="1" x14ac:dyDescent="0.3">
      <c r="A6285" s="1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</row>
    <row r="6286" spans="1:20" ht="45.75" customHeight="1" x14ac:dyDescent="0.3">
      <c r="A6286" s="1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</row>
    <row r="6287" spans="1:20" ht="45.75" customHeight="1" x14ac:dyDescent="0.3">
      <c r="A6287" s="1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</row>
    <row r="6288" spans="1:20" ht="45.75" customHeight="1" x14ac:dyDescent="0.3">
      <c r="A6288" s="1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</row>
    <row r="6289" spans="1:20" ht="45.75" customHeight="1" x14ac:dyDescent="0.3">
      <c r="A6289" s="1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</row>
    <row r="6290" spans="1:20" ht="45.75" customHeight="1" x14ac:dyDescent="0.3">
      <c r="A6290" s="1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</row>
    <row r="6291" spans="1:20" ht="45.75" customHeight="1" x14ac:dyDescent="0.3">
      <c r="A6291" s="1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</row>
    <row r="6292" spans="1:20" ht="45.75" customHeight="1" x14ac:dyDescent="0.3">
      <c r="A6292" s="1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</row>
    <row r="6293" spans="1:20" ht="45.75" customHeight="1" x14ac:dyDescent="0.3">
      <c r="A6293" s="1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</row>
    <row r="6294" spans="1:20" ht="45.75" customHeight="1" x14ac:dyDescent="0.3">
      <c r="A6294" s="1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</row>
    <row r="6295" spans="1:20" ht="45.75" customHeight="1" x14ac:dyDescent="0.3">
      <c r="A6295" s="1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</row>
    <row r="6296" spans="1:20" ht="45.75" customHeight="1" x14ac:dyDescent="0.3">
      <c r="A6296" s="1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</row>
    <row r="6297" spans="1:20" ht="45.75" customHeight="1" x14ac:dyDescent="0.3">
      <c r="A6297" s="1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</row>
    <row r="6298" spans="1:20" ht="45.75" customHeight="1" x14ac:dyDescent="0.3">
      <c r="A6298" s="1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</row>
    <row r="6299" spans="1:20" ht="45.75" customHeight="1" x14ac:dyDescent="0.3">
      <c r="A6299" s="1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</row>
    <row r="6300" spans="1:20" ht="45.75" customHeight="1" x14ac:dyDescent="0.3">
      <c r="A6300" s="1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</row>
    <row r="6301" spans="1:20" ht="45.75" customHeight="1" x14ac:dyDescent="0.3">
      <c r="A6301" s="1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</row>
    <row r="6302" spans="1:20" ht="45.75" customHeight="1" x14ac:dyDescent="0.3">
      <c r="A6302" s="1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</row>
    <row r="6303" spans="1:20" ht="45.75" customHeight="1" x14ac:dyDescent="0.3">
      <c r="A6303" s="1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</row>
    <row r="6304" spans="1:20" ht="45.75" customHeight="1" x14ac:dyDescent="0.3">
      <c r="A6304" s="1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</row>
    <row r="6305" spans="1:20" ht="45.75" customHeight="1" x14ac:dyDescent="0.3">
      <c r="A6305" s="1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</row>
    <row r="6306" spans="1:20" ht="45.75" customHeight="1" x14ac:dyDescent="0.3">
      <c r="A6306" s="1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</row>
    <row r="6307" spans="1:20" ht="45.75" customHeight="1" x14ac:dyDescent="0.3">
      <c r="A6307" s="1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</row>
    <row r="6308" spans="1:20" ht="45.75" customHeight="1" x14ac:dyDescent="0.3">
      <c r="A6308" s="1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</row>
    <row r="6309" spans="1:20" ht="45.75" customHeight="1" x14ac:dyDescent="0.3">
      <c r="A6309" s="1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</row>
    <row r="6310" spans="1:20" ht="45.75" customHeight="1" x14ac:dyDescent="0.3">
      <c r="A6310" s="1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</row>
    <row r="6311" spans="1:20" ht="45.75" customHeight="1" x14ac:dyDescent="0.3">
      <c r="A6311" s="1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</row>
    <row r="6312" spans="1:20" ht="45.75" customHeight="1" x14ac:dyDescent="0.3">
      <c r="A6312" s="1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</row>
    <row r="6313" spans="1:20" ht="45.75" customHeight="1" x14ac:dyDescent="0.3">
      <c r="A6313" s="1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</row>
    <row r="6314" spans="1:20" ht="45.75" customHeight="1" x14ac:dyDescent="0.3">
      <c r="A6314" s="1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</row>
    <row r="6315" spans="1:20" ht="45.75" customHeight="1" x14ac:dyDescent="0.3">
      <c r="A6315" s="1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</row>
    <row r="6316" spans="1:20" ht="45.75" customHeight="1" x14ac:dyDescent="0.3">
      <c r="A6316" s="1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</row>
    <row r="6317" spans="1:20" ht="45.75" customHeight="1" x14ac:dyDescent="0.3">
      <c r="A6317" s="1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</row>
    <row r="6318" spans="1:20" ht="45.75" customHeight="1" x14ac:dyDescent="0.3">
      <c r="A6318" s="1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</row>
    <row r="6319" spans="1:20" ht="45.75" customHeight="1" x14ac:dyDescent="0.3">
      <c r="A6319" s="1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</row>
    <row r="6320" spans="1:20" ht="45.75" customHeight="1" x14ac:dyDescent="0.3">
      <c r="A6320" s="1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</row>
    <row r="6321" spans="1:20" ht="45.75" customHeight="1" x14ac:dyDescent="0.3">
      <c r="A6321" s="1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</row>
    <row r="6322" spans="1:20" ht="45.75" customHeight="1" x14ac:dyDescent="0.3">
      <c r="A6322" s="1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</row>
    <row r="6323" spans="1:20" ht="45.75" customHeight="1" x14ac:dyDescent="0.3">
      <c r="A6323" s="1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</row>
    <row r="6324" spans="1:20" ht="45.75" customHeight="1" x14ac:dyDescent="0.3">
      <c r="A6324" s="1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</row>
    <row r="6325" spans="1:20" ht="45.75" customHeight="1" x14ac:dyDescent="0.3">
      <c r="A6325" s="1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</row>
    <row r="6326" spans="1:20" ht="45.75" customHeight="1" x14ac:dyDescent="0.3">
      <c r="A6326" s="1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</row>
    <row r="6327" spans="1:20" ht="45.75" customHeight="1" x14ac:dyDescent="0.3">
      <c r="A6327" s="1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</row>
    <row r="6328" spans="1:20" ht="45.75" customHeight="1" x14ac:dyDescent="0.3">
      <c r="A6328" s="1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</row>
    <row r="6329" spans="1:20" ht="45.75" customHeight="1" x14ac:dyDescent="0.3">
      <c r="A6329" s="1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</row>
    <row r="6330" spans="1:20" ht="45.75" customHeight="1" x14ac:dyDescent="0.3">
      <c r="A6330" s="1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</row>
    <row r="6331" spans="1:20" ht="45.75" customHeight="1" x14ac:dyDescent="0.3">
      <c r="A6331" s="1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</row>
    <row r="6332" spans="1:20" ht="45.75" customHeight="1" x14ac:dyDescent="0.3">
      <c r="A6332" s="1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</row>
    <row r="6333" spans="1:20" ht="45.75" customHeight="1" x14ac:dyDescent="0.3">
      <c r="A6333" s="1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</row>
    <row r="6334" spans="1:20" ht="45.75" customHeight="1" x14ac:dyDescent="0.3">
      <c r="A6334" s="1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</row>
    <row r="6335" spans="1:20" ht="45.75" customHeight="1" x14ac:dyDescent="0.3">
      <c r="A6335" s="1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</row>
    <row r="6336" spans="1:20" ht="45.75" customHeight="1" x14ac:dyDescent="0.3">
      <c r="A6336" s="1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</row>
    <row r="6337" spans="1:20" ht="45.75" customHeight="1" x14ac:dyDescent="0.3">
      <c r="A6337" s="1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</row>
    <row r="6338" spans="1:20" ht="45.75" customHeight="1" x14ac:dyDescent="0.3">
      <c r="A6338" s="1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</row>
    <row r="6339" spans="1:20" ht="45.75" customHeight="1" x14ac:dyDescent="0.3">
      <c r="A6339" s="1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</row>
    <row r="6340" spans="1:20" ht="45.75" customHeight="1" x14ac:dyDescent="0.3">
      <c r="A6340" s="1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</row>
    <row r="6341" spans="1:20" ht="45.75" customHeight="1" x14ac:dyDescent="0.3">
      <c r="A6341" s="1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</row>
    <row r="6342" spans="1:20" ht="45.75" customHeight="1" x14ac:dyDescent="0.3">
      <c r="A6342" s="1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</row>
    <row r="6343" spans="1:20" ht="45.75" customHeight="1" x14ac:dyDescent="0.3">
      <c r="A6343" s="1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</row>
    <row r="6344" spans="1:20" ht="45.75" customHeight="1" x14ac:dyDescent="0.3">
      <c r="A6344" s="1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</row>
    <row r="6345" spans="1:20" ht="45.75" customHeight="1" x14ac:dyDescent="0.3">
      <c r="A6345" s="1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</row>
    <row r="6346" spans="1:20" ht="45.75" customHeight="1" x14ac:dyDescent="0.3">
      <c r="A6346" s="1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</row>
    <row r="6347" spans="1:20" ht="45.75" customHeight="1" x14ac:dyDescent="0.3">
      <c r="A6347" s="1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</row>
    <row r="6348" spans="1:20" ht="45.75" customHeight="1" x14ac:dyDescent="0.3">
      <c r="A6348" s="1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</row>
    <row r="6349" spans="1:20" ht="45.75" customHeight="1" x14ac:dyDescent="0.3">
      <c r="A6349" s="1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</row>
    <row r="6350" spans="1:20" ht="45.75" customHeight="1" x14ac:dyDescent="0.3">
      <c r="A6350" s="1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</row>
    <row r="6351" spans="1:20" ht="45.75" customHeight="1" x14ac:dyDescent="0.3">
      <c r="A6351" s="1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</row>
    <row r="6352" spans="1:20" ht="45.75" customHeight="1" x14ac:dyDescent="0.3">
      <c r="A6352" s="1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</row>
    <row r="6353" spans="1:20" ht="45.75" customHeight="1" x14ac:dyDescent="0.3">
      <c r="A6353" s="1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</row>
    <row r="6354" spans="1:20" ht="45.75" customHeight="1" x14ac:dyDescent="0.3">
      <c r="A6354" s="1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</row>
    <row r="6355" spans="1:20" ht="45.75" customHeight="1" x14ac:dyDescent="0.3">
      <c r="A6355" s="1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</row>
    <row r="6356" spans="1:20" ht="45.75" customHeight="1" x14ac:dyDescent="0.3">
      <c r="A6356" s="1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</row>
    <row r="6357" spans="1:20" ht="45.75" customHeight="1" x14ac:dyDescent="0.3">
      <c r="A6357" s="1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</row>
    <row r="6358" spans="1:20" ht="45.75" customHeight="1" x14ac:dyDescent="0.3">
      <c r="A6358" s="1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</row>
    <row r="6359" spans="1:20" ht="45.75" customHeight="1" x14ac:dyDescent="0.3">
      <c r="A6359" s="1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</row>
    <row r="6360" spans="1:20" ht="45.75" customHeight="1" x14ac:dyDescent="0.3">
      <c r="A6360" s="1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</row>
    <row r="6361" spans="1:20" ht="45.75" customHeight="1" x14ac:dyDescent="0.3">
      <c r="A6361" s="1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</row>
    <row r="6362" spans="1:20" ht="45.75" customHeight="1" x14ac:dyDescent="0.3">
      <c r="A6362" s="1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</row>
    <row r="6363" spans="1:20" ht="45.75" customHeight="1" x14ac:dyDescent="0.3">
      <c r="A6363" s="1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</row>
    <row r="6364" spans="1:20" ht="45.75" customHeight="1" x14ac:dyDescent="0.3">
      <c r="A6364" s="1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</row>
    <row r="6365" spans="1:20" ht="45.75" customHeight="1" x14ac:dyDescent="0.3">
      <c r="A6365" s="1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</row>
    <row r="6366" spans="1:20" ht="45.75" customHeight="1" x14ac:dyDescent="0.3">
      <c r="A6366" s="1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</row>
    <row r="6367" spans="1:20" ht="45.75" customHeight="1" x14ac:dyDescent="0.3">
      <c r="A6367" s="1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</row>
    <row r="6368" spans="1:20" ht="45.75" customHeight="1" x14ac:dyDescent="0.3">
      <c r="A6368" s="1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</row>
    <row r="6369" spans="1:20" ht="45.75" customHeight="1" x14ac:dyDescent="0.3">
      <c r="A6369" s="1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</row>
    <row r="6370" spans="1:20" ht="45.75" customHeight="1" x14ac:dyDescent="0.3">
      <c r="A6370" s="1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</row>
    <row r="6371" spans="1:20" ht="45.75" customHeight="1" x14ac:dyDescent="0.3">
      <c r="A6371" s="1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</row>
    <row r="6372" spans="1:20" ht="45.75" customHeight="1" x14ac:dyDescent="0.3">
      <c r="A6372" s="1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</row>
    <row r="6373" spans="1:20" ht="45.75" customHeight="1" x14ac:dyDescent="0.3">
      <c r="A6373" s="1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</row>
    <row r="6374" spans="1:20" ht="45.75" customHeight="1" x14ac:dyDescent="0.3">
      <c r="A6374" s="1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</row>
    <row r="6375" spans="1:20" ht="45.75" customHeight="1" x14ac:dyDescent="0.3">
      <c r="A6375" s="1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</row>
    <row r="6376" spans="1:20" ht="45.75" customHeight="1" x14ac:dyDescent="0.3">
      <c r="A6376" s="1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</row>
    <row r="6377" spans="1:20" ht="45.75" customHeight="1" x14ac:dyDescent="0.3">
      <c r="A6377" s="1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</row>
    <row r="6378" spans="1:20" ht="45.75" customHeight="1" x14ac:dyDescent="0.3">
      <c r="A6378" s="1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</row>
    <row r="6379" spans="1:20" ht="45.75" customHeight="1" x14ac:dyDescent="0.3">
      <c r="A6379" s="1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</row>
    <row r="6380" spans="1:20" ht="45.75" customHeight="1" x14ac:dyDescent="0.3">
      <c r="A6380" s="1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</row>
    <row r="6381" spans="1:20" ht="45.75" customHeight="1" x14ac:dyDescent="0.3">
      <c r="A6381" s="1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</row>
    <row r="6382" spans="1:20" ht="45.75" customHeight="1" x14ac:dyDescent="0.3">
      <c r="A6382" s="1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</row>
    <row r="6383" spans="1:20" ht="45.75" customHeight="1" x14ac:dyDescent="0.3">
      <c r="A6383" s="1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</row>
    <row r="6384" spans="1:20" ht="45.75" customHeight="1" x14ac:dyDescent="0.3">
      <c r="A6384" s="1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</row>
    <row r="6385" spans="1:20" ht="45.75" customHeight="1" x14ac:dyDescent="0.3">
      <c r="A6385" s="1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</row>
    <row r="6386" spans="1:20" ht="45.75" customHeight="1" x14ac:dyDescent="0.3">
      <c r="A6386" s="1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</row>
    <row r="6387" spans="1:20" ht="45.75" customHeight="1" x14ac:dyDescent="0.3">
      <c r="A6387" s="1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</row>
    <row r="6388" spans="1:20" ht="45.75" customHeight="1" x14ac:dyDescent="0.3">
      <c r="A6388" s="1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</row>
    <row r="6389" spans="1:20" ht="45.75" customHeight="1" x14ac:dyDescent="0.3">
      <c r="A6389" s="1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</row>
    <row r="6390" spans="1:20" ht="45.75" customHeight="1" x14ac:dyDescent="0.3">
      <c r="A6390" s="1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</row>
    <row r="6391" spans="1:20" ht="45.75" customHeight="1" x14ac:dyDescent="0.3">
      <c r="A6391" s="1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</row>
    <row r="6392" spans="1:20" ht="45.75" customHeight="1" x14ac:dyDescent="0.3">
      <c r="A6392" s="1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</row>
    <row r="6393" spans="1:20" ht="45.75" customHeight="1" x14ac:dyDescent="0.3">
      <c r="A6393" s="1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</row>
    <row r="6394" spans="1:20" ht="45.75" customHeight="1" x14ac:dyDescent="0.3">
      <c r="A6394" s="1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</row>
    <row r="6395" spans="1:20" ht="45.75" customHeight="1" x14ac:dyDescent="0.3">
      <c r="A6395" s="1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</row>
    <row r="6396" spans="1:20" ht="45.75" customHeight="1" x14ac:dyDescent="0.3">
      <c r="A6396" s="1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</row>
    <row r="6397" spans="1:20" ht="45.75" customHeight="1" x14ac:dyDescent="0.3">
      <c r="A6397" s="1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</row>
    <row r="6398" spans="1:20" ht="45.75" customHeight="1" x14ac:dyDescent="0.3">
      <c r="A6398" s="1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</row>
    <row r="6399" spans="1:20" ht="45.75" customHeight="1" x14ac:dyDescent="0.3">
      <c r="A6399" s="1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</row>
    <row r="6400" spans="1:20" ht="45.75" customHeight="1" x14ac:dyDescent="0.3">
      <c r="A6400" s="1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</row>
    <row r="6401" spans="1:20" ht="45.75" customHeight="1" x14ac:dyDescent="0.3">
      <c r="A6401" s="1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</row>
    <row r="6402" spans="1:20" ht="45.75" customHeight="1" x14ac:dyDescent="0.3">
      <c r="A6402" s="1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</row>
    <row r="6403" spans="1:20" ht="45.75" customHeight="1" x14ac:dyDescent="0.3">
      <c r="A6403" s="1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</row>
    <row r="6404" spans="1:20" ht="45.75" customHeight="1" x14ac:dyDescent="0.3">
      <c r="A6404" s="1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</row>
    <row r="6405" spans="1:20" ht="45.75" customHeight="1" x14ac:dyDescent="0.3">
      <c r="A6405" s="1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</row>
    <row r="6406" spans="1:20" ht="45.75" customHeight="1" x14ac:dyDescent="0.3">
      <c r="A6406" s="1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</row>
    <row r="6407" spans="1:20" ht="45.75" customHeight="1" x14ac:dyDescent="0.3">
      <c r="A6407" s="1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</row>
    <row r="6408" spans="1:20" ht="45.75" customHeight="1" x14ac:dyDescent="0.3">
      <c r="A6408" s="1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</row>
    <row r="6409" spans="1:20" ht="45.75" customHeight="1" x14ac:dyDescent="0.3">
      <c r="A6409" s="1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</row>
    <row r="6410" spans="1:20" ht="45.75" customHeight="1" x14ac:dyDescent="0.3">
      <c r="A6410" s="1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</row>
    <row r="6411" spans="1:20" ht="45.75" customHeight="1" x14ac:dyDescent="0.3">
      <c r="A6411" s="1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</row>
    <row r="6412" spans="1:20" ht="45.75" customHeight="1" x14ac:dyDescent="0.3">
      <c r="A6412" s="1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</row>
    <row r="6413" spans="1:20" ht="45.75" customHeight="1" x14ac:dyDescent="0.3">
      <c r="A6413" s="1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</row>
    <row r="6414" spans="1:20" ht="45.75" customHeight="1" x14ac:dyDescent="0.3">
      <c r="A6414" s="1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</row>
    <row r="6415" spans="1:20" ht="45.75" customHeight="1" x14ac:dyDescent="0.3">
      <c r="A6415" s="1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</row>
    <row r="6416" spans="1:20" ht="45.75" customHeight="1" x14ac:dyDescent="0.3">
      <c r="A6416" s="1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</row>
    <row r="6417" spans="1:20" ht="45.75" customHeight="1" x14ac:dyDescent="0.3">
      <c r="A6417" s="1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</row>
    <row r="6418" spans="1:20" ht="45.75" customHeight="1" x14ac:dyDescent="0.3">
      <c r="A6418" s="1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</row>
    <row r="6419" spans="1:20" ht="45.75" customHeight="1" x14ac:dyDescent="0.3">
      <c r="A6419" s="1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</row>
    <row r="6420" spans="1:20" ht="45.75" customHeight="1" x14ac:dyDescent="0.3">
      <c r="A6420" s="1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</row>
    <row r="6421" spans="1:20" ht="45.75" customHeight="1" x14ac:dyDescent="0.3">
      <c r="A6421" s="1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</row>
    <row r="6422" spans="1:20" ht="45.75" customHeight="1" x14ac:dyDescent="0.3">
      <c r="A6422" s="1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</row>
    <row r="6423" spans="1:20" ht="45.75" customHeight="1" x14ac:dyDescent="0.3">
      <c r="A6423" s="1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</row>
    <row r="6424" spans="1:20" ht="45.75" customHeight="1" x14ac:dyDescent="0.3">
      <c r="A6424" s="1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</row>
    <row r="6425" spans="1:20" ht="45.75" customHeight="1" x14ac:dyDescent="0.3">
      <c r="A6425" s="1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</row>
    <row r="6426" spans="1:20" ht="45.75" customHeight="1" x14ac:dyDescent="0.3">
      <c r="A6426" s="1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</row>
    <row r="6427" spans="1:20" ht="45.75" customHeight="1" x14ac:dyDescent="0.3">
      <c r="A6427" s="1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</row>
    <row r="6428" spans="1:20" ht="45.75" customHeight="1" x14ac:dyDescent="0.3">
      <c r="A6428" s="1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</row>
    <row r="6429" spans="1:20" ht="45.75" customHeight="1" x14ac:dyDescent="0.3">
      <c r="A6429" s="1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</row>
    <row r="6430" spans="1:20" ht="45.75" customHeight="1" x14ac:dyDescent="0.3">
      <c r="A6430" s="1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</row>
    <row r="6431" spans="1:20" ht="45.75" customHeight="1" x14ac:dyDescent="0.3">
      <c r="A6431" s="1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</row>
    <row r="6432" spans="1:20" ht="45.75" customHeight="1" x14ac:dyDescent="0.3">
      <c r="A6432" s="1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</row>
    <row r="6433" spans="1:20" ht="45.75" customHeight="1" x14ac:dyDescent="0.3">
      <c r="A6433" s="1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</row>
    <row r="6434" spans="1:20" ht="45.75" customHeight="1" x14ac:dyDescent="0.3">
      <c r="A6434" s="1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</row>
    <row r="6435" spans="1:20" ht="45.75" customHeight="1" x14ac:dyDescent="0.3">
      <c r="A6435" s="1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</row>
    <row r="6436" spans="1:20" ht="45.75" customHeight="1" x14ac:dyDescent="0.3">
      <c r="A6436" s="1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</row>
    <row r="6437" spans="1:20" ht="45.75" customHeight="1" x14ac:dyDescent="0.3">
      <c r="A6437" s="1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</row>
    <row r="6438" spans="1:20" ht="45.75" customHeight="1" x14ac:dyDescent="0.3">
      <c r="A6438" s="1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</row>
    <row r="6439" spans="1:20" ht="45.75" customHeight="1" x14ac:dyDescent="0.3">
      <c r="A6439" s="1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</row>
    <row r="6440" spans="1:20" ht="45.75" customHeight="1" x14ac:dyDescent="0.3">
      <c r="A6440" s="1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</row>
    <row r="6441" spans="1:20" ht="45.75" customHeight="1" x14ac:dyDescent="0.3">
      <c r="A6441" s="1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</row>
    <row r="6442" spans="1:20" ht="45.75" customHeight="1" x14ac:dyDescent="0.3">
      <c r="A6442" s="1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</row>
    <row r="6443" spans="1:20" ht="45.75" customHeight="1" x14ac:dyDescent="0.3">
      <c r="A6443" s="1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</row>
    <row r="6444" spans="1:20" ht="45.75" customHeight="1" x14ac:dyDescent="0.3">
      <c r="A6444" s="1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</row>
    <row r="6445" spans="1:20" ht="45.75" customHeight="1" x14ac:dyDescent="0.3">
      <c r="A6445" s="1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</row>
    <row r="6446" spans="1:20" ht="45.75" customHeight="1" x14ac:dyDescent="0.3">
      <c r="A6446" s="1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</row>
    <row r="6447" spans="1:20" ht="45.75" customHeight="1" x14ac:dyDescent="0.3">
      <c r="A6447" s="1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</row>
    <row r="6448" spans="1:20" ht="45.75" customHeight="1" x14ac:dyDescent="0.3">
      <c r="A6448" s="1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</row>
    <row r="6449" spans="1:20" ht="45.75" customHeight="1" x14ac:dyDescent="0.3">
      <c r="A6449" s="1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</row>
    <row r="6450" spans="1:20" ht="45.75" customHeight="1" x14ac:dyDescent="0.3">
      <c r="A6450" s="1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</row>
    <row r="6451" spans="1:20" ht="45.75" customHeight="1" x14ac:dyDescent="0.3">
      <c r="A6451" s="1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</row>
    <row r="6452" spans="1:20" ht="45.75" customHeight="1" x14ac:dyDescent="0.3">
      <c r="A6452" s="1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</row>
    <row r="6453" spans="1:20" ht="45.75" customHeight="1" x14ac:dyDescent="0.3">
      <c r="A6453" s="1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</row>
    <row r="6454" spans="1:20" ht="45.75" customHeight="1" x14ac:dyDescent="0.3">
      <c r="A6454" s="1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</row>
    <row r="6455" spans="1:20" ht="45.75" customHeight="1" x14ac:dyDescent="0.3">
      <c r="A6455" s="1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</row>
    <row r="6456" spans="1:20" ht="45.75" customHeight="1" x14ac:dyDescent="0.3">
      <c r="A6456" s="1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</row>
    <row r="6457" spans="1:20" ht="45.75" customHeight="1" x14ac:dyDescent="0.3">
      <c r="A6457" s="1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</row>
    <row r="6458" spans="1:20" ht="45.75" customHeight="1" x14ac:dyDescent="0.3">
      <c r="A6458" s="1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</row>
    <row r="6459" spans="1:20" ht="45.75" customHeight="1" x14ac:dyDescent="0.3">
      <c r="A6459" s="1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</row>
    <row r="6460" spans="1:20" ht="45.75" customHeight="1" x14ac:dyDescent="0.3">
      <c r="A6460" s="1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</row>
    <row r="6461" spans="1:20" ht="45.75" customHeight="1" x14ac:dyDescent="0.3">
      <c r="A6461" s="1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</row>
    <row r="6462" spans="1:20" ht="45.75" customHeight="1" x14ac:dyDescent="0.3">
      <c r="A6462" s="1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</row>
    <row r="6463" spans="1:20" ht="45.75" customHeight="1" x14ac:dyDescent="0.3">
      <c r="A6463" s="1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</row>
    <row r="6464" spans="1:20" ht="45.75" customHeight="1" x14ac:dyDescent="0.3">
      <c r="A6464" s="1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</row>
    <row r="6465" spans="1:20" ht="45.75" customHeight="1" x14ac:dyDescent="0.3">
      <c r="A6465" s="1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</row>
    <row r="6466" spans="1:20" ht="45.75" customHeight="1" x14ac:dyDescent="0.3">
      <c r="A6466" s="1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</row>
    <row r="6467" spans="1:20" ht="45.75" customHeight="1" x14ac:dyDescent="0.3">
      <c r="A6467" s="1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</row>
    <row r="6468" spans="1:20" ht="45.75" customHeight="1" x14ac:dyDescent="0.3">
      <c r="A6468" s="1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</row>
    <row r="6469" spans="1:20" ht="45.75" customHeight="1" x14ac:dyDescent="0.3">
      <c r="A6469" s="1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</row>
    <row r="6470" spans="1:20" ht="45.75" customHeight="1" x14ac:dyDescent="0.3">
      <c r="A6470" s="1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</row>
    <row r="6471" spans="1:20" ht="45.75" customHeight="1" x14ac:dyDescent="0.3">
      <c r="A6471" s="1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</row>
    <row r="6472" spans="1:20" ht="45.75" customHeight="1" x14ac:dyDescent="0.3">
      <c r="A6472" s="1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</row>
    <row r="6473" spans="1:20" ht="45.75" customHeight="1" x14ac:dyDescent="0.3">
      <c r="A6473" s="1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</row>
    <row r="6474" spans="1:20" ht="45.75" customHeight="1" x14ac:dyDescent="0.3">
      <c r="A6474" s="1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</row>
    <row r="6475" spans="1:20" ht="45.75" customHeight="1" x14ac:dyDescent="0.3">
      <c r="A6475" s="1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</row>
    <row r="6476" spans="1:20" ht="45.75" customHeight="1" x14ac:dyDescent="0.3">
      <c r="A6476" s="1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</row>
    <row r="6477" spans="1:20" ht="45.75" customHeight="1" x14ac:dyDescent="0.3">
      <c r="A6477" s="1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</row>
    <row r="6478" spans="1:20" ht="45.75" customHeight="1" x14ac:dyDescent="0.3">
      <c r="A6478" s="1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</row>
    <row r="6479" spans="1:20" ht="45.75" customHeight="1" x14ac:dyDescent="0.3">
      <c r="A6479" s="1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</row>
    <row r="6480" spans="1:20" ht="45.75" customHeight="1" x14ac:dyDescent="0.3">
      <c r="A6480" s="1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</row>
    <row r="6481" spans="1:20" ht="45.75" customHeight="1" x14ac:dyDescent="0.3">
      <c r="A6481" s="1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</row>
    <row r="6482" spans="1:20" ht="45.75" customHeight="1" x14ac:dyDescent="0.3">
      <c r="A6482" s="1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</row>
    <row r="6483" spans="1:20" ht="45.75" customHeight="1" x14ac:dyDescent="0.3">
      <c r="A6483" s="1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</row>
    <row r="6484" spans="1:20" ht="45.75" customHeight="1" x14ac:dyDescent="0.3">
      <c r="A6484" s="1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</row>
    <row r="6485" spans="1:20" ht="45.75" customHeight="1" x14ac:dyDescent="0.3">
      <c r="A6485" s="1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</row>
    <row r="6486" spans="1:20" ht="45.75" customHeight="1" x14ac:dyDescent="0.3">
      <c r="A6486" s="1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</row>
    <row r="6487" spans="1:20" ht="45.75" customHeight="1" x14ac:dyDescent="0.3">
      <c r="A6487" s="1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</row>
    <row r="6488" spans="1:20" ht="45.75" customHeight="1" x14ac:dyDescent="0.3">
      <c r="A6488" s="1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</row>
    <row r="6489" spans="1:20" ht="45.75" customHeight="1" x14ac:dyDescent="0.3">
      <c r="A6489" s="1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</row>
    <row r="6490" spans="1:20" ht="45.75" customHeight="1" x14ac:dyDescent="0.3">
      <c r="A6490" s="1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</row>
    <row r="6491" spans="1:20" ht="45.75" customHeight="1" x14ac:dyDescent="0.3">
      <c r="A6491" s="1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</row>
    <row r="6492" spans="1:20" ht="45.75" customHeight="1" x14ac:dyDescent="0.3">
      <c r="A6492" s="1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</row>
    <row r="6493" spans="1:20" ht="45.75" customHeight="1" x14ac:dyDescent="0.3">
      <c r="A6493" s="1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</row>
    <row r="6494" spans="1:20" ht="45.75" customHeight="1" x14ac:dyDescent="0.3">
      <c r="A6494" s="1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</row>
    <row r="6495" spans="1:20" ht="45.75" customHeight="1" x14ac:dyDescent="0.3">
      <c r="A6495" s="1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</row>
    <row r="6496" spans="1:20" ht="45.75" customHeight="1" x14ac:dyDescent="0.3">
      <c r="A6496" s="1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</row>
    <row r="6497" spans="1:20" ht="45.75" customHeight="1" x14ac:dyDescent="0.3">
      <c r="A6497" s="1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</row>
    <row r="6498" spans="1:20" ht="45.75" customHeight="1" x14ac:dyDescent="0.3">
      <c r="A6498" s="1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</row>
    <row r="6499" spans="1:20" ht="45.75" customHeight="1" x14ac:dyDescent="0.3">
      <c r="A6499" s="1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</row>
    <row r="6500" spans="1:20" ht="45.75" customHeight="1" x14ac:dyDescent="0.3">
      <c r="A6500" s="1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</row>
    <row r="6501" spans="1:20" ht="45.75" customHeight="1" x14ac:dyDescent="0.3">
      <c r="A6501" s="1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</row>
    <row r="6502" spans="1:20" ht="45.75" customHeight="1" x14ac:dyDescent="0.3">
      <c r="A6502" s="1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</row>
    <row r="6503" spans="1:20" ht="45.75" customHeight="1" x14ac:dyDescent="0.3">
      <c r="A6503" s="1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</row>
    <row r="6504" spans="1:20" ht="45.75" customHeight="1" x14ac:dyDescent="0.3">
      <c r="A6504" s="1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</row>
    <row r="6505" spans="1:20" ht="45.75" customHeight="1" x14ac:dyDescent="0.3">
      <c r="A6505" s="1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</row>
    <row r="6506" spans="1:20" ht="45.75" customHeight="1" x14ac:dyDescent="0.3">
      <c r="A6506" s="1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</row>
    <row r="6507" spans="1:20" ht="45.75" customHeight="1" x14ac:dyDescent="0.3">
      <c r="A6507" s="1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</row>
    <row r="6508" spans="1:20" ht="45.75" customHeight="1" x14ac:dyDescent="0.3">
      <c r="A6508" s="1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</row>
    <row r="6509" spans="1:20" ht="45.75" customHeight="1" x14ac:dyDescent="0.3">
      <c r="A6509" s="1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</row>
    <row r="6510" spans="1:20" ht="45.75" customHeight="1" x14ac:dyDescent="0.3">
      <c r="A6510" s="1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</row>
    <row r="6511" spans="1:20" ht="45.75" customHeight="1" x14ac:dyDescent="0.3">
      <c r="A6511" s="1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</row>
    <row r="6512" spans="1:20" ht="45.75" customHeight="1" x14ac:dyDescent="0.3">
      <c r="A6512" s="1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</row>
    <row r="6513" spans="1:20" ht="45.75" customHeight="1" x14ac:dyDescent="0.3">
      <c r="A6513" s="1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</row>
    <row r="6514" spans="1:20" ht="45.75" customHeight="1" x14ac:dyDescent="0.3">
      <c r="A6514" s="1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</row>
    <row r="6515" spans="1:20" ht="45.75" customHeight="1" x14ac:dyDescent="0.3">
      <c r="A6515" s="1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</row>
    <row r="6516" spans="1:20" ht="45.75" customHeight="1" x14ac:dyDescent="0.3">
      <c r="A6516" s="1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</row>
    <row r="6517" spans="1:20" ht="45.75" customHeight="1" x14ac:dyDescent="0.3">
      <c r="A6517" s="1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</row>
    <row r="6518" spans="1:20" ht="45.75" customHeight="1" x14ac:dyDescent="0.3">
      <c r="A6518" s="1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</row>
    <row r="6519" spans="1:20" ht="45.75" customHeight="1" x14ac:dyDescent="0.3">
      <c r="A6519" s="1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</row>
    <row r="6520" spans="1:20" ht="45.75" customHeight="1" x14ac:dyDescent="0.3">
      <c r="A6520" s="1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</row>
    <row r="6521" spans="1:20" ht="45.75" customHeight="1" x14ac:dyDescent="0.3">
      <c r="A6521" s="1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</row>
    <row r="6522" spans="1:20" ht="45.75" customHeight="1" x14ac:dyDescent="0.3">
      <c r="A6522" s="1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</row>
    <row r="6523" spans="1:20" ht="45.75" customHeight="1" x14ac:dyDescent="0.3">
      <c r="A6523" s="1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</row>
    <row r="6524" spans="1:20" ht="45.75" customHeight="1" x14ac:dyDescent="0.3">
      <c r="A6524" s="1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</row>
    <row r="6525" spans="1:20" ht="45.75" customHeight="1" x14ac:dyDescent="0.3">
      <c r="A6525" s="1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</row>
    <row r="6526" spans="1:20" ht="45.75" customHeight="1" x14ac:dyDescent="0.3">
      <c r="A6526" s="1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</row>
    <row r="6527" spans="1:20" ht="45.75" customHeight="1" x14ac:dyDescent="0.3">
      <c r="A6527" s="1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</row>
    <row r="6528" spans="1:20" ht="45.75" customHeight="1" x14ac:dyDescent="0.3">
      <c r="A6528" s="1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</row>
    <row r="6529" spans="1:20" ht="45.75" customHeight="1" x14ac:dyDescent="0.3">
      <c r="A6529" s="1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</row>
    <row r="6530" spans="1:20" ht="45.75" customHeight="1" x14ac:dyDescent="0.3">
      <c r="A6530" s="1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</row>
    <row r="6531" spans="1:20" ht="45.75" customHeight="1" x14ac:dyDescent="0.3">
      <c r="A6531" s="1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</row>
    <row r="6532" spans="1:20" ht="45.75" customHeight="1" x14ac:dyDescent="0.3">
      <c r="A6532" s="1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</row>
    <row r="6533" spans="1:20" ht="45.75" customHeight="1" x14ac:dyDescent="0.3">
      <c r="A6533" s="1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</row>
    <row r="6534" spans="1:20" ht="45.75" customHeight="1" x14ac:dyDescent="0.3">
      <c r="A6534" s="1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</row>
    <row r="6535" spans="1:20" ht="45.75" customHeight="1" x14ac:dyDescent="0.3">
      <c r="A6535" s="1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</row>
    <row r="6536" spans="1:20" ht="45.75" customHeight="1" x14ac:dyDescent="0.3">
      <c r="A6536" s="1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</row>
    <row r="6537" spans="1:20" ht="45.75" customHeight="1" x14ac:dyDescent="0.3">
      <c r="A6537" s="1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</row>
    <row r="6538" spans="1:20" ht="45.75" customHeight="1" x14ac:dyDescent="0.3">
      <c r="A6538" s="1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</row>
    <row r="6539" spans="1:20" ht="45.75" customHeight="1" x14ac:dyDescent="0.3">
      <c r="A6539" s="1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</row>
    <row r="6540" spans="1:20" ht="45.75" customHeight="1" x14ac:dyDescent="0.3">
      <c r="A6540" s="1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</row>
    <row r="6541" spans="1:20" ht="45.75" customHeight="1" x14ac:dyDescent="0.3">
      <c r="A6541" s="1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</row>
    <row r="6542" spans="1:20" ht="45.75" customHeight="1" x14ac:dyDescent="0.3">
      <c r="A6542" s="1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</row>
    <row r="6543" spans="1:20" ht="45.75" customHeight="1" x14ac:dyDescent="0.3">
      <c r="A6543" s="1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</row>
    <row r="6544" spans="1:20" ht="45.75" customHeight="1" x14ac:dyDescent="0.3">
      <c r="A6544" s="1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</row>
    <row r="6545" spans="1:20" ht="45.75" customHeight="1" x14ac:dyDescent="0.3">
      <c r="A6545" s="1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</row>
    <row r="6546" spans="1:20" ht="45.75" customHeight="1" x14ac:dyDescent="0.3">
      <c r="A6546" s="1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</row>
    <row r="6547" spans="1:20" ht="45.75" customHeight="1" x14ac:dyDescent="0.3">
      <c r="A6547" s="1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</row>
    <row r="6548" spans="1:20" ht="45.75" customHeight="1" x14ac:dyDescent="0.3">
      <c r="A6548" s="1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</row>
    <row r="6549" spans="1:20" ht="45.75" customHeight="1" x14ac:dyDescent="0.3">
      <c r="A6549" s="1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</row>
    <row r="6550" spans="1:20" ht="45.75" customHeight="1" x14ac:dyDescent="0.3">
      <c r="A6550" s="1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</row>
    <row r="6551" spans="1:20" ht="45.75" customHeight="1" x14ac:dyDescent="0.3">
      <c r="A6551" s="1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</row>
    <row r="6552" spans="1:20" ht="45.75" customHeight="1" x14ac:dyDescent="0.3">
      <c r="A6552" s="1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</row>
    <row r="6553" spans="1:20" ht="45.75" customHeight="1" x14ac:dyDescent="0.3">
      <c r="A6553" s="1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</row>
    <row r="6554" spans="1:20" ht="45.75" customHeight="1" x14ac:dyDescent="0.3">
      <c r="A6554" s="1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</row>
    <row r="6555" spans="1:20" ht="45.75" customHeight="1" x14ac:dyDescent="0.3">
      <c r="A6555" s="1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</row>
    <row r="6556" spans="1:20" ht="45.75" customHeight="1" x14ac:dyDescent="0.3">
      <c r="A6556" s="1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</row>
    <row r="6557" spans="1:20" ht="45.75" customHeight="1" x14ac:dyDescent="0.3">
      <c r="A6557" s="1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</row>
    <row r="6558" spans="1:20" ht="45.75" customHeight="1" x14ac:dyDescent="0.3">
      <c r="A6558" s="1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</row>
    <row r="6559" spans="1:20" ht="45.75" customHeight="1" x14ac:dyDescent="0.3">
      <c r="A6559" s="1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</row>
    <row r="6560" spans="1:20" ht="45.75" customHeight="1" x14ac:dyDescent="0.3">
      <c r="A6560" s="1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</row>
    <row r="6561" spans="1:20" ht="45.75" customHeight="1" x14ac:dyDescent="0.3">
      <c r="A6561" s="1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</row>
    <row r="6562" spans="1:20" ht="45.75" customHeight="1" x14ac:dyDescent="0.3">
      <c r="A6562" s="1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</row>
    <row r="6563" spans="1:20" ht="45.75" customHeight="1" x14ac:dyDescent="0.3">
      <c r="A6563" s="1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</row>
    <row r="6564" spans="1:20" ht="45.75" customHeight="1" x14ac:dyDescent="0.3">
      <c r="A6564" s="1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</row>
    <row r="6565" spans="1:20" ht="45.75" customHeight="1" x14ac:dyDescent="0.3">
      <c r="A6565" s="1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</row>
    <row r="6566" spans="1:20" ht="45.75" customHeight="1" x14ac:dyDescent="0.3">
      <c r="A6566" s="1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</row>
    <row r="6567" spans="1:20" ht="45.75" customHeight="1" x14ac:dyDescent="0.3">
      <c r="A6567" s="1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</row>
    <row r="6568" spans="1:20" ht="45.75" customHeight="1" x14ac:dyDescent="0.3">
      <c r="A6568" s="1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</row>
    <row r="6569" spans="1:20" ht="45.75" customHeight="1" x14ac:dyDescent="0.3">
      <c r="A6569" s="1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</row>
    <row r="6570" spans="1:20" ht="45.75" customHeight="1" x14ac:dyDescent="0.3">
      <c r="A6570" s="1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</row>
    <row r="6571" spans="1:20" ht="45.75" customHeight="1" x14ac:dyDescent="0.3">
      <c r="A6571" s="1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</row>
    <row r="6572" spans="1:20" ht="45.75" customHeight="1" x14ac:dyDescent="0.3">
      <c r="A6572" s="1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</row>
    <row r="6573" spans="1:20" ht="45.75" customHeight="1" x14ac:dyDescent="0.3">
      <c r="A6573" s="1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</row>
    <row r="6574" spans="1:20" ht="45.75" customHeight="1" x14ac:dyDescent="0.3">
      <c r="A6574" s="1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</row>
    <row r="6575" spans="1:20" ht="45.75" customHeight="1" x14ac:dyDescent="0.3">
      <c r="A6575" s="1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</row>
    <row r="6576" spans="1:20" ht="45.75" customHeight="1" x14ac:dyDescent="0.3">
      <c r="A6576" s="1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</row>
    <row r="6577" spans="1:20" ht="45.75" customHeight="1" x14ac:dyDescent="0.3">
      <c r="A6577" s="1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</row>
    <row r="6578" spans="1:20" ht="45.75" customHeight="1" x14ac:dyDescent="0.3">
      <c r="A6578" s="1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</row>
    <row r="6579" spans="1:20" ht="45.75" customHeight="1" x14ac:dyDescent="0.3">
      <c r="A6579" s="1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</row>
    <row r="6580" spans="1:20" ht="45.75" customHeight="1" x14ac:dyDescent="0.3">
      <c r="A6580" s="1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</row>
    <row r="6581" spans="1:20" ht="45.75" customHeight="1" x14ac:dyDescent="0.3">
      <c r="A6581" s="1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</row>
    <row r="6582" spans="1:20" ht="45.75" customHeight="1" x14ac:dyDescent="0.3">
      <c r="A6582" s="1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</row>
    <row r="6583" spans="1:20" ht="45.75" customHeight="1" x14ac:dyDescent="0.3">
      <c r="A6583" s="1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</row>
    <row r="6584" spans="1:20" ht="45.75" customHeight="1" x14ac:dyDescent="0.3">
      <c r="A6584" s="1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</row>
    <row r="6585" spans="1:20" ht="45.75" customHeight="1" x14ac:dyDescent="0.3">
      <c r="A6585" s="1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</row>
    <row r="6586" spans="1:20" ht="45.75" customHeight="1" x14ac:dyDescent="0.3">
      <c r="A6586" s="1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</row>
    <row r="6587" spans="1:20" ht="45.75" customHeight="1" x14ac:dyDescent="0.3">
      <c r="A6587" s="1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</row>
    <row r="6588" spans="1:20" ht="45.75" customHeight="1" x14ac:dyDescent="0.3">
      <c r="A6588" s="1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</row>
    <row r="6589" spans="1:20" ht="45.75" customHeight="1" x14ac:dyDescent="0.3">
      <c r="A6589" s="1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</row>
    <row r="6590" spans="1:20" ht="45.75" customHeight="1" x14ac:dyDescent="0.3">
      <c r="A6590" s="1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</row>
    <row r="6591" spans="1:20" ht="45.75" customHeight="1" x14ac:dyDescent="0.3">
      <c r="A6591" s="1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</row>
    <row r="6592" spans="1:20" ht="45.75" customHeight="1" x14ac:dyDescent="0.3">
      <c r="A6592" s="1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</row>
    <row r="6593" spans="1:20" ht="45.75" customHeight="1" x14ac:dyDescent="0.3">
      <c r="A6593" s="1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</row>
    <row r="6594" spans="1:20" ht="45.75" customHeight="1" x14ac:dyDescent="0.3">
      <c r="A6594" s="1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</row>
    <row r="6595" spans="1:20" ht="45.75" customHeight="1" x14ac:dyDescent="0.3">
      <c r="A6595" s="1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</row>
    <row r="6596" spans="1:20" ht="45.75" customHeight="1" x14ac:dyDescent="0.3">
      <c r="A6596" s="1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</row>
    <row r="6597" spans="1:20" ht="45.75" customHeight="1" x14ac:dyDescent="0.3">
      <c r="A6597" s="1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</row>
    <row r="6598" spans="1:20" ht="45.75" customHeight="1" x14ac:dyDescent="0.3">
      <c r="A6598" s="1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</row>
    <row r="6599" spans="1:20" ht="45.75" customHeight="1" x14ac:dyDescent="0.3">
      <c r="A6599" s="1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</row>
    <row r="6600" spans="1:20" ht="45.75" customHeight="1" x14ac:dyDescent="0.3">
      <c r="A6600" s="1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</row>
    <row r="6601" spans="1:20" ht="45.75" customHeight="1" x14ac:dyDescent="0.3">
      <c r="A6601" s="1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</row>
    <row r="6602" spans="1:20" ht="45.75" customHeight="1" x14ac:dyDescent="0.3">
      <c r="A6602" s="1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</row>
    <row r="6603" spans="1:20" ht="45.75" customHeight="1" x14ac:dyDescent="0.3">
      <c r="A6603" s="1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</row>
    <row r="6604" spans="1:20" ht="45.75" customHeight="1" x14ac:dyDescent="0.3">
      <c r="A6604" s="1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</row>
    <row r="6605" spans="1:20" ht="45.75" customHeight="1" x14ac:dyDescent="0.3">
      <c r="A6605" s="1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</row>
    <row r="6606" spans="1:20" ht="45.75" customHeight="1" x14ac:dyDescent="0.3">
      <c r="A6606" s="1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</row>
    <row r="6607" spans="1:20" ht="45.75" customHeight="1" x14ac:dyDescent="0.3">
      <c r="A6607" s="1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</row>
    <row r="6608" spans="1:20" ht="45.75" customHeight="1" x14ac:dyDescent="0.3">
      <c r="A6608" s="1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</row>
    <row r="6609" spans="1:20" ht="45.75" customHeight="1" x14ac:dyDescent="0.3">
      <c r="A6609" s="1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</row>
    <row r="6610" spans="1:20" ht="45.75" customHeight="1" x14ac:dyDescent="0.3">
      <c r="A6610" s="1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</row>
    <row r="6611" spans="1:20" ht="45.75" customHeight="1" x14ac:dyDescent="0.3">
      <c r="A6611" s="1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</row>
    <row r="6612" spans="1:20" ht="45.75" customHeight="1" x14ac:dyDescent="0.3">
      <c r="A6612" s="1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</row>
    <row r="6613" spans="1:20" ht="45.75" customHeight="1" x14ac:dyDescent="0.3">
      <c r="A6613" s="1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</row>
    <row r="6614" spans="1:20" ht="45.75" customHeight="1" x14ac:dyDescent="0.3">
      <c r="A6614" s="1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</row>
    <row r="6615" spans="1:20" ht="45.75" customHeight="1" x14ac:dyDescent="0.3">
      <c r="A6615" s="1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</row>
    <row r="6616" spans="1:20" ht="45.75" customHeight="1" x14ac:dyDescent="0.3">
      <c r="A6616" s="1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</row>
    <row r="6617" spans="1:20" ht="45.75" customHeight="1" x14ac:dyDescent="0.3">
      <c r="A6617" s="1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</row>
    <row r="6618" spans="1:20" ht="45.75" customHeight="1" x14ac:dyDescent="0.3">
      <c r="A6618" s="1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</row>
    <row r="6619" spans="1:20" ht="45.75" customHeight="1" x14ac:dyDescent="0.3">
      <c r="A6619" s="1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</row>
    <row r="6620" spans="1:20" ht="45.75" customHeight="1" x14ac:dyDescent="0.3">
      <c r="A6620" s="1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</row>
    <row r="6621" spans="1:20" ht="45.75" customHeight="1" x14ac:dyDescent="0.3">
      <c r="A6621" s="1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</row>
    <row r="6622" spans="1:20" ht="45.75" customHeight="1" x14ac:dyDescent="0.3">
      <c r="A6622" s="1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</row>
    <row r="6623" spans="1:20" ht="45.75" customHeight="1" x14ac:dyDescent="0.3">
      <c r="A6623" s="1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</row>
    <row r="6624" spans="1:20" ht="45.75" customHeight="1" x14ac:dyDescent="0.3">
      <c r="A6624" s="1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</row>
    <row r="6625" spans="1:20" ht="45.75" customHeight="1" x14ac:dyDescent="0.3">
      <c r="A6625" s="1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</row>
    <row r="6626" spans="1:20" ht="45.75" customHeight="1" x14ac:dyDescent="0.3">
      <c r="A6626" s="1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</row>
    <row r="6627" spans="1:20" ht="45.75" customHeight="1" x14ac:dyDescent="0.3">
      <c r="A6627" s="1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</row>
    <row r="6628" spans="1:20" ht="45.75" customHeight="1" x14ac:dyDescent="0.3">
      <c r="A6628" s="1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</row>
    <row r="6629" spans="1:20" ht="45.75" customHeight="1" x14ac:dyDescent="0.3">
      <c r="A6629" s="1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</row>
    <row r="6630" spans="1:20" ht="45.75" customHeight="1" x14ac:dyDescent="0.3">
      <c r="A6630" s="1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</row>
    <row r="6631" spans="1:20" ht="45.75" customHeight="1" x14ac:dyDescent="0.3">
      <c r="A6631" s="1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</row>
    <row r="6632" spans="1:20" ht="45.75" customHeight="1" x14ac:dyDescent="0.3">
      <c r="A6632" s="1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</row>
    <row r="6633" spans="1:20" ht="45.75" customHeight="1" x14ac:dyDescent="0.3">
      <c r="A6633" s="1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</row>
    <row r="6634" spans="1:20" ht="45.75" customHeight="1" x14ac:dyDescent="0.3">
      <c r="A6634" s="1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</row>
    <row r="6635" spans="1:20" ht="45.75" customHeight="1" x14ac:dyDescent="0.3">
      <c r="A6635" s="1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</row>
    <row r="6636" spans="1:20" ht="45.75" customHeight="1" x14ac:dyDescent="0.3">
      <c r="A6636" s="1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</row>
    <row r="6637" spans="1:20" ht="45.75" customHeight="1" x14ac:dyDescent="0.3">
      <c r="A6637" s="1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</row>
    <row r="6638" spans="1:20" ht="45.75" customHeight="1" x14ac:dyDescent="0.3">
      <c r="A6638" s="1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</row>
    <row r="6639" spans="1:20" ht="45.75" customHeight="1" x14ac:dyDescent="0.3">
      <c r="A6639" s="1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</row>
    <row r="6640" spans="1:20" ht="45.75" customHeight="1" x14ac:dyDescent="0.3">
      <c r="A6640" s="1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</row>
    <row r="6641" spans="1:20" ht="45.75" customHeight="1" x14ac:dyDescent="0.3">
      <c r="A6641" s="1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</row>
    <row r="6642" spans="1:20" ht="45.75" customHeight="1" x14ac:dyDescent="0.3">
      <c r="A6642" s="1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</row>
    <row r="6643" spans="1:20" ht="45.75" customHeight="1" x14ac:dyDescent="0.3">
      <c r="A6643" s="1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</row>
    <row r="6644" spans="1:20" ht="45.75" customHeight="1" x14ac:dyDescent="0.3">
      <c r="A6644" s="1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</row>
    <row r="6645" spans="1:20" ht="45.75" customHeight="1" x14ac:dyDescent="0.3">
      <c r="A6645" s="1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</row>
    <row r="6646" spans="1:20" ht="45.75" customHeight="1" x14ac:dyDescent="0.3">
      <c r="A6646" s="1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</row>
    <row r="6647" spans="1:20" ht="45.75" customHeight="1" x14ac:dyDescent="0.3">
      <c r="A6647" s="1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</row>
    <row r="6648" spans="1:20" ht="45.75" customHeight="1" x14ac:dyDescent="0.3">
      <c r="A6648" s="1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</row>
    <row r="6649" spans="1:20" ht="45.75" customHeight="1" x14ac:dyDescent="0.3">
      <c r="A6649" s="1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</row>
    <row r="6650" spans="1:20" ht="45.75" customHeight="1" x14ac:dyDescent="0.3">
      <c r="A6650" s="1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</row>
    <row r="6651" spans="1:20" ht="45.75" customHeight="1" x14ac:dyDescent="0.3">
      <c r="A6651" s="1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</row>
    <row r="6652" spans="1:20" ht="45.75" customHeight="1" x14ac:dyDescent="0.3">
      <c r="A6652" s="1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</row>
    <row r="6653" spans="1:20" ht="45.75" customHeight="1" x14ac:dyDescent="0.3">
      <c r="A6653" s="1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</row>
    <row r="6654" spans="1:20" ht="45.75" customHeight="1" x14ac:dyDescent="0.3">
      <c r="A6654" s="1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</row>
    <row r="6655" spans="1:20" ht="45.75" customHeight="1" x14ac:dyDescent="0.3">
      <c r="A6655" s="1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</row>
    <row r="6656" spans="1:20" ht="45.75" customHeight="1" x14ac:dyDescent="0.3">
      <c r="A6656" s="1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</row>
    <row r="6657" spans="1:20" ht="45.75" customHeight="1" x14ac:dyDescent="0.3">
      <c r="A6657" s="1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</row>
    <row r="6658" spans="1:20" ht="45.75" customHeight="1" x14ac:dyDescent="0.3">
      <c r="A6658" s="1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</row>
    <row r="6659" spans="1:20" ht="45.75" customHeight="1" x14ac:dyDescent="0.3">
      <c r="A6659" s="1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</row>
    <row r="6660" spans="1:20" ht="45.75" customHeight="1" x14ac:dyDescent="0.3">
      <c r="A6660" s="1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</row>
    <row r="6661" spans="1:20" ht="45.75" customHeight="1" x14ac:dyDescent="0.3">
      <c r="A6661" s="1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</row>
    <row r="6662" spans="1:20" ht="45.75" customHeight="1" x14ac:dyDescent="0.3">
      <c r="A6662" s="1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</row>
    <row r="6663" spans="1:20" ht="45.75" customHeight="1" x14ac:dyDescent="0.3">
      <c r="A6663" s="1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</row>
    <row r="6664" spans="1:20" ht="45.75" customHeight="1" x14ac:dyDescent="0.3">
      <c r="A6664" s="1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</row>
    <row r="6665" spans="1:20" ht="45.75" customHeight="1" x14ac:dyDescent="0.3">
      <c r="A6665" s="1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</row>
    <row r="6666" spans="1:20" ht="45.75" customHeight="1" x14ac:dyDescent="0.3">
      <c r="A6666" s="1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</row>
    <row r="6667" spans="1:20" ht="45.75" customHeight="1" x14ac:dyDescent="0.3">
      <c r="A6667" s="1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</row>
    <row r="6668" spans="1:20" ht="45.75" customHeight="1" x14ac:dyDescent="0.3">
      <c r="A6668" s="1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</row>
    <row r="6669" spans="1:20" ht="45.75" customHeight="1" x14ac:dyDescent="0.3">
      <c r="A6669" s="1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</row>
    <row r="6670" spans="1:20" ht="45.75" customHeight="1" x14ac:dyDescent="0.3">
      <c r="A6670" s="1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</row>
    <row r="6671" spans="1:20" ht="45.75" customHeight="1" x14ac:dyDescent="0.3">
      <c r="A6671" s="1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</row>
    <row r="6672" spans="1:20" ht="45.75" customHeight="1" x14ac:dyDescent="0.3">
      <c r="A6672" s="1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</row>
    <row r="6673" spans="1:20" ht="45.75" customHeight="1" x14ac:dyDescent="0.3">
      <c r="A6673" s="1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</row>
    <row r="6674" spans="1:20" ht="45.75" customHeight="1" x14ac:dyDescent="0.3">
      <c r="A6674" s="1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</row>
    <row r="6675" spans="1:20" ht="45.75" customHeight="1" x14ac:dyDescent="0.3">
      <c r="A6675" s="1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</row>
    <row r="6676" spans="1:20" ht="45.75" customHeight="1" x14ac:dyDescent="0.3">
      <c r="A6676" s="1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</row>
    <row r="6677" spans="1:20" ht="45.75" customHeight="1" x14ac:dyDescent="0.3">
      <c r="A6677" s="1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</row>
    <row r="6678" spans="1:20" ht="45.75" customHeight="1" x14ac:dyDescent="0.3">
      <c r="A6678" s="1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</row>
    <row r="6679" spans="1:20" ht="45.75" customHeight="1" x14ac:dyDescent="0.3">
      <c r="A6679" s="1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</row>
    <row r="6680" spans="1:20" ht="45.75" customHeight="1" x14ac:dyDescent="0.3">
      <c r="A6680" s="1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</row>
    <row r="6681" spans="1:20" ht="45.75" customHeight="1" x14ac:dyDescent="0.3">
      <c r="A6681" s="1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</row>
    <row r="6682" spans="1:20" ht="45.75" customHeight="1" x14ac:dyDescent="0.3">
      <c r="A6682" s="1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</row>
    <row r="6683" spans="1:20" ht="45.75" customHeight="1" x14ac:dyDescent="0.3">
      <c r="A6683" s="1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</row>
    <row r="6684" spans="1:20" ht="45.75" customHeight="1" x14ac:dyDescent="0.3">
      <c r="A6684" s="1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</row>
    <row r="6685" spans="1:20" ht="45.75" customHeight="1" x14ac:dyDescent="0.3">
      <c r="A6685" s="1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</row>
    <row r="6686" spans="1:20" ht="45.75" customHeight="1" x14ac:dyDescent="0.3">
      <c r="A6686" s="1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</row>
    <row r="6687" spans="1:20" ht="45.75" customHeight="1" x14ac:dyDescent="0.3">
      <c r="A6687" s="1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</row>
    <row r="6688" spans="1:20" ht="45.75" customHeight="1" x14ac:dyDescent="0.3">
      <c r="A6688" s="1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</row>
    <row r="6689" spans="1:20" ht="45.75" customHeight="1" x14ac:dyDescent="0.3">
      <c r="A6689" s="1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</row>
    <row r="6690" spans="1:20" ht="45.75" customHeight="1" x14ac:dyDescent="0.3">
      <c r="A6690" s="1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</row>
    <row r="6691" spans="1:20" ht="45.75" customHeight="1" x14ac:dyDescent="0.3">
      <c r="A6691" s="1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</row>
    <row r="6692" spans="1:20" ht="45.75" customHeight="1" x14ac:dyDescent="0.3">
      <c r="A6692" s="1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</row>
    <row r="6693" spans="1:20" ht="45.75" customHeight="1" x14ac:dyDescent="0.3">
      <c r="A6693" s="1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</row>
    <row r="6694" spans="1:20" ht="45.75" customHeight="1" x14ac:dyDescent="0.3">
      <c r="A6694" s="1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</row>
    <row r="6695" spans="1:20" ht="45.75" customHeight="1" x14ac:dyDescent="0.3">
      <c r="A6695" s="1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</row>
    <row r="6696" spans="1:20" ht="45.75" customHeight="1" x14ac:dyDescent="0.3">
      <c r="A6696" s="1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</row>
    <row r="6697" spans="1:20" ht="45.75" customHeight="1" x14ac:dyDescent="0.3">
      <c r="A6697" s="1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</row>
    <row r="6698" spans="1:20" ht="45.75" customHeight="1" x14ac:dyDescent="0.3">
      <c r="A6698" s="1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</row>
    <row r="6699" spans="1:20" ht="45.75" customHeight="1" x14ac:dyDescent="0.3">
      <c r="A6699" s="1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</row>
    <row r="6700" spans="1:20" ht="45.75" customHeight="1" x14ac:dyDescent="0.3">
      <c r="A6700" s="1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</row>
    <row r="6701" spans="1:20" ht="45.75" customHeight="1" x14ac:dyDescent="0.3">
      <c r="A6701" s="1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</row>
    <row r="6702" spans="1:20" ht="45.75" customHeight="1" x14ac:dyDescent="0.3">
      <c r="A6702" s="1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</row>
    <row r="6703" spans="1:20" ht="45.75" customHeight="1" x14ac:dyDescent="0.3">
      <c r="A6703" s="1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</row>
    <row r="6704" spans="1:20" ht="45.75" customHeight="1" x14ac:dyDescent="0.3">
      <c r="A6704" s="1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</row>
    <row r="6705" spans="1:20" ht="45.75" customHeight="1" x14ac:dyDescent="0.3">
      <c r="A6705" s="1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</row>
    <row r="6706" spans="1:20" ht="45.75" customHeight="1" x14ac:dyDescent="0.3">
      <c r="A6706" s="1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</row>
    <row r="6707" spans="1:20" ht="45.75" customHeight="1" x14ac:dyDescent="0.3">
      <c r="A6707" s="1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</row>
    <row r="6708" spans="1:20" ht="45.75" customHeight="1" x14ac:dyDescent="0.3">
      <c r="A6708" s="1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</row>
    <row r="6709" spans="1:20" ht="45.75" customHeight="1" x14ac:dyDescent="0.3">
      <c r="A6709" s="1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</row>
    <row r="6710" spans="1:20" ht="45.75" customHeight="1" x14ac:dyDescent="0.3">
      <c r="A6710" s="1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</row>
    <row r="6711" spans="1:20" ht="45.75" customHeight="1" x14ac:dyDescent="0.3">
      <c r="A6711" s="1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</row>
    <row r="6712" spans="1:20" ht="45.75" customHeight="1" x14ac:dyDescent="0.3">
      <c r="A6712" s="1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</row>
    <row r="6713" spans="1:20" ht="45.75" customHeight="1" x14ac:dyDescent="0.3">
      <c r="A6713" s="1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</row>
    <row r="6714" spans="1:20" ht="45.75" customHeight="1" x14ac:dyDescent="0.3">
      <c r="A6714" s="1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</row>
    <row r="6715" spans="1:20" ht="45.75" customHeight="1" x14ac:dyDescent="0.3">
      <c r="A6715" s="1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</row>
    <row r="6716" spans="1:20" ht="45.75" customHeight="1" x14ac:dyDescent="0.3">
      <c r="A6716" s="1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</row>
    <row r="6717" spans="1:20" ht="45.75" customHeight="1" x14ac:dyDescent="0.3">
      <c r="A6717" s="1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</row>
    <row r="6718" spans="1:20" ht="45.75" customHeight="1" x14ac:dyDescent="0.3">
      <c r="A6718" s="1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</row>
    <row r="6719" spans="1:20" ht="45.75" customHeight="1" x14ac:dyDescent="0.3">
      <c r="A6719" s="1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</row>
    <row r="6720" spans="1:20" ht="45.75" customHeight="1" x14ac:dyDescent="0.3">
      <c r="A6720" s="1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</row>
    <row r="6721" spans="1:20" ht="45.75" customHeight="1" x14ac:dyDescent="0.3">
      <c r="A6721" s="1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</row>
    <row r="6722" spans="1:20" ht="45.75" customHeight="1" x14ac:dyDescent="0.3">
      <c r="A6722" s="1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</row>
    <row r="6723" spans="1:20" ht="45.75" customHeight="1" x14ac:dyDescent="0.3">
      <c r="A6723" s="1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</row>
    <row r="6724" spans="1:20" ht="45.75" customHeight="1" x14ac:dyDescent="0.3">
      <c r="A6724" s="1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</row>
    <row r="6725" spans="1:20" ht="45.75" customHeight="1" x14ac:dyDescent="0.3">
      <c r="A6725" s="1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</row>
    <row r="6726" spans="1:20" ht="45.75" customHeight="1" x14ac:dyDescent="0.3">
      <c r="A6726" s="1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</row>
    <row r="6727" spans="1:20" ht="45.75" customHeight="1" x14ac:dyDescent="0.3">
      <c r="A6727" s="1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</row>
    <row r="6728" spans="1:20" ht="45.75" customHeight="1" x14ac:dyDescent="0.3">
      <c r="A6728" s="1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</row>
    <row r="6729" spans="1:20" ht="45.75" customHeight="1" x14ac:dyDescent="0.3">
      <c r="A6729" s="1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</row>
    <row r="6730" spans="1:20" ht="45.75" customHeight="1" x14ac:dyDescent="0.3">
      <c r="A6730" s="1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</row>
    <row r="6731" spans="1:20" ht="45.75" customHeight="1" x14ac:dyDescent="0.3">
      <c r="A6731" s="1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</row>
    <row r="6732" spans="1:20" ht="45.75" customHeight="1" x14ac:dyDescent="0.3">
      <c r="A6732" s="1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</row>
    <row r="6733" spans="1:20" ht="45.75" customHeight="1" x14ac:dyDescent="0.3">
      <c r="A6733" s="1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</row>
    <row r="6734" spans="1:20" ht="45.75" customHeight="1" x14ac:dyDescent="0.3">
      <c r="A6734" s="1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</row>
    <row r="6735" spans="1:20" ht="45.75" customHeight="1" x14ac:dyDescent="0.3">
      <c r="A6735" s="1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</row>
    <row r="6736" spans="1:20" ht="45.75" customHeight="1" x14ac:dyDescent="0.3">
      <c r="A6736" s="1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</row>
    <row r="6737" spans="1:20" ht="45.75" customHeight="1" x14ac:dyDescent="0.3">
      <c r="A6737" s="1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</row>
    <row r="6738" spans="1:20" ht="45.75" customHeight="1" x14ac:dyDescent="0.3">
      <c r="A6738" s="1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</row>
    <row r="6739" spans="1:20" ht="45.75" customHeight="1" x14ac:dyDescent="0.3">
      <c r="A6739" s="1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</row>
    <row r="6740" spans="1:20" ht="45.75" customHeight="1" x14ac:dyDescent="0.3">
      <c r="A6740" s="1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</row>
    <row r="6741" spans="1:20" ht="45.75" customHeight="1" x14ac:dyDescent="0.3">
      <c r="A6741" s="1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</row>
    <row r="6742" spans="1:20" ht="45.75" customHeight="1" x14ac:dyDescent="0.3">
      <c r="A6742" s="1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</row>
    <row r="6743" spans="1:20" ht="45.75" customHeight="1" x14ac:dyDescent="0.3">
      <c r="A6743" s="1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</row>
    <row r="6744" spans="1:20" ht="45.75" customHeight="1" x14ac:dyDescent="0.3">
      <c r="A6744" s="1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</row>
    <row r="6745" spans="1:20" ht="45.75" customHeight="1" x14ac:dyDescent="0.3">
      <c r="A6745" s="1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</row>
    <row r="6746" spans="1:20" ht="45.75" customHeight="1" x14ac:dyDescent="0.3">
      <c r="A6746" s="1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</row>
    <row r="6747" spans="1:20" ht="45.75" customHeight="1" x14ac:dyDescent="0.3">
      <c r="A6747" s="1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</row>
    <row r="6748" spans="1:20" ht="45.75" customHeight="1" x14ac:dyDescent="0.3">
      <c r="A6748" s="1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</row>
    <row r="6749" spans="1:20" ht="45.75" customHeight="1" x14ac:dyDescent="0.3">
      <c r="A6749" s="1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</row>
    <row r="6750" spans="1:20" ht="45.75" customHeight="1" x14ac:dyDescent="0.3">
      <c r="A6750" s="1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</row>
    <row r="6751" spans="1:20" ht="45.75" customHeight="1" x14ac:dyDescent="0.3">
      <c r="A6751" s="1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</row>
    <row r="6752" spans="1:20" ht="45.75" customHeight="1" x14ac:dyDescent="0.3">
      <c r="A6752" s="1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</row>
    <row r="6753" spans="1:20" ht="45.75" customHeight="1" x14ac:dyDescent="0.3">
      <c r="A6753" s="1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</row>
    <row r="6754" spans="1:20" ht="45.75" customHeight="1" x14ac:dyDescent="0.3">
      <c r="A6754" s="1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</row>
    <row r="6755" spans="1:20" ht="45.75" customHeight="1" x14ac:dyDescent="0.3">
      <c r="A6755" s="1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</row>
    <row r="6756" spans="1:20" ht="45.75" customHeight="1" x14ac:dyDescent="0.3">
      <c r="A6756" s="1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</row>
    <row r="6757" spans="1:20" ht="45.75" customHeight="1" x14ac:dyDescent="0.3">
      <c r="A6757" s="1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</row>
    <row r="6758" spans="1:20" ht="45.75" customHeight="1" x14ac:dyDescent="0.3">
      <c r="A6758" s="1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</row>
    <row r="6759" spans="1:20" ht="45.75" customHeight="1" x14ac:dyDescent="0.3">
      <c r="A6759" s="1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</row>
    <row r="6760" spans="1:20" ht="45.75" customHeight="1" x14ac:dyDescent="0.3">
      <c r="A6760" s="1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</row>
    <row r="6761" spans="1:20" ht="45.75" customHeight="1" x14ac:dyDescent="0.3">
      <c r="A6761" s="1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</row>
    <row r="6762" spans="1:20" ht="45.75" customHeight="1" x14ac:dyDescent="0.3">
      <c r="A6762" s="1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</row>
    <row r="6763" spans="1:20" ht="45.75" customHeight="1" x14ac:dyDescent="0.3">
      <c r="A6763" s="1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</row>
    <row r="6764" spans="1:20" ht="45.75" customHeight="1" x14ac:dyDescent="0.3">
      <c r="A6764" s="1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</row>
    <row r="6765" spans="1:20" ht="45.75" customHeight="1" x14ac:dyDescent="0.3">
      <c r="A6765" s="1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</row>
    <row r="6766" spans="1:20" ht="45.75" customHeight="1" x14ac:dyDescent="0.3">
      <c r="A6766" s="1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</row>
    <row r="6767" spans="1:20" ht="45.75" customHeight="1" x14ac:dyDescent="0.3">
      <c r="A6767" s="1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</row>
    <row r="6768" spans="1:20" ht="45.75" customHeight="1" x14ac:dyDescent="0.3">
      <c r="A6768" s="1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</row>
    <row r="6769" spans="1:20" ht="45.75" customHeight="1" x14ac:dyDescent="0.3">
      <c r="A6769" s="1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</row>
    <row r="6770" spans="1:20" ht="45.75" customHeight="1" x14ac:dyDescent="0.3">
      <c r="A6770" s="1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</row>
    <row r="6771" spans="1:20" ht="45.75" customHeight="1" x14ac:dyDescent="0.3">
      <c r="A6771" s="1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</row>
    <row r="6772" spans="1:20" ht="45.75" customHeight="1" x14ac:dyDescent="0.3">
      <c r="A6772" s="1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</row>
    <row r="6773" spans="1:20" ht="45.75" customHeight="1" x14ac:dyDescent="0.3">
      <c r="A6773" s="1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</row>
    <row r="6774" spans="1:20" ht="45.75" customHeight="1" x14ac:dyDescent="0.3">
      <c r="A6774" s="1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</row>
    <row r="6775" spans="1:20" ht="45.75" customHeight="1" x14ac:dyDescent="0.3">
      <c r="A6775" s="1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</row>
    <row r="6776" spans="1:20" ht="45.75" customHeight="1" x14ac:dyDescent="0.3">
      <c r="A6776" s="1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</row>
    <row r="6777" spans="1:20" ht="45.75" customHeight="1" x14ac:dyDescent="0.3">
      <c r="A6777" s="1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</row>
    <row r="6778" spans="1:20" ht="45.75" customHeight="1" x14ac:dyDescent="0.3">
      <c r="A6778" s="1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</row>
    <row r="6779" spans="1:20" ht="45.75" customHeight="1" x14ac:dyDescent="0.3">
      <c r="A6779" s="1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</row>
    <row r="6780" spans="1:20" ht="45.75" customHeight="1" x14ac:dyDescent="0.3">
      <c r="A6780" s="1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</row>
    <row r="6781" spans="1:20" ht="45.75" customHeight="1" x14ac:dyDescent="0.3">
      <c r="A6781" s="1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</row>
    <row r="6782" spans="1:20" ht="45.75" customHeight="1" x14ac:dyDescent="0.3">
      <c r="A6782" s="1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</row>
    <row r="6783" spans="1:20" ht="45.75" customHeight="1" x14ac:dyDescent="0.3">
      <c r="A6783" s="1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</row>
    <row r="6784" spans="1:20" ht="45.75" customHeight="1" x14ac:dyDescent="0.3">
      <c r="A6784" s="1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</row>
    <row r="6785" spans="1:20" ht="45.75" customHeight="1" x14ac:dyDescent="0.3">
      <c r="A6785" s="1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</row>
    <row r="6786" spans="1:20" ht="45.75" customHeight="1" x14ac:dyDescent="0.3">
      <c r="A6786" s="1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</row>
    <row r="6787" spans="1:20" ht="45.75" customHeight="1" x14ac:dyDescent="0.3">
      <c r="A6787" s="1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</row>
    <row r="6788" spans="1:20" ht="45.75" customHeight="1" x14ac:dyDescent="0.3">
      <c r="A6788" s="1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</row>
    <row r="6789" spans="1:20" ht="45.75" customHeight="1" x14ac:dyDescent="0.3">
      <c r="A6789" s="1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</row>
    <row r="6790" spans="1:20" ht="45.75" customHeight="1" x14ac:dyDescent="0.3">
      <c r="A6790" s="1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</row>
    <row r="6791" spans="1:20" ht="45.75" customHeight="1" x14ac:dyDescent="0.3">
      <c r="A6791" s="1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</row>
    <row r="6792" spans="1:20" ht="45.75" customHeight="1" x14ac:dyDescent="0.3">
      <c r="A6792" s="1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</row>
    <row r="6793" spans="1:20" ht="45.75" customHeight="1" x14ac:dyDescent="0.3">
      <c r="A6793" s="1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</row>
    <row r="6794" spans="1:20" ht="45.75" customHeight="1" x14ac:dyDescent="0.3">
      <c r="A6794" s="1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</row>
    <row r="6795" spans="1:20" ht="45.75" customHeight="1" x14ac:dyDescent="0.3">
      <c r="A6795" s="1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</row>
    <row r="6796" spans="1:20" ht="45.75" customHeight="1" x14ac:dyDescent="0.3">
      <c r="A6796" s="1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</row>
    <row r="6797" spans="1:20" ht="45.75" customHeight="1" x14ac:dyDescent="0.3">
      <c r="A6797" s="1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</row>
    <row r="6798" spans="1:20" ht="45.75" customHeight="1" x14ac:dyDescent="0.3">
      <c r="A6798" s="1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</row>
    <row r="6799" spans="1:20" ht="45.75" customHeight="1" x14ac:dyDescent="0.3">
      <c r="A6799" s="1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</row>
    <row r="6800" spans="1:20" ht="45.75" customHeight="1" x14ac:dyDescent="0.3">
      <c r="A6800" s="1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</row>
    <row r="6801" spans="1:20" ht="45.75" customHeight="1" x14ac:dyDescent="0.3">
      <c r="A6801" s="1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</row>
    <row r="6802" spans="1:20" ht="45.75" customHeight="1" x14ac:dyDescent="0.3">
      <c r="A6802" s="1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</row>
    <row r="6803" spans="1:20" ht="45.75" customHeight="1" x14ac:dyDescent="0.3">
      <c r="A6803" s="1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</row>
    <row r="6804" spans="1:20" ht="45.75" customHeight="1" x14ac:dyDescent="0.3">
      <c r="A6804" s="1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</row>
    <row r="6805" spans="1:20" ht="45.75" customHeight="1" x14ac:dyDescent="0.3">
      <c r="A6805" s="1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</row>
    <row r="6806" spans="1:20" ht="45.75" customHeight="1" x14ac:dyDescent="0.3">
      <c r="A6806" s="1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</row>
    <row r="6807" spans="1:20" ht="45.75" customHeight="1" x14ac:dyDescent="0.3">
      <c r="A6807" s="1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</row>
    <row r="6808" spans="1:20" ht="45.75" customHeight="1" x14ac:dyDescent="0.3">
      <c r="A6808" s="1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</row>
    <row r="6809" spans="1:20" ht="45.75" customHeight="1" x14ac:dyDescent="0.3">
      <c r="A6809" s="1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</row>
    <row r="6810" spans="1:20" ht="45.75" customHeight="1" x14ac:dyDescent="0.3">
      <c r="A6810" s="1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</row>
    <row r="6811" spans="1:20" ht="45.75" customHeight="1" x14ac:dyDescent="0.3">
      <c r="A6811" s="1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</row>
    <row r="6812" spans="1:20" ht="45.75" customHeight="1" x14ac:dyDescent="0.3">
      <c r="A6812" s="1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</row>
    <row r="6813" spans="1:20" ht="45.75" customHeight="1" x14ac:dyDescent="0.3">
      <c r="A6813" s="1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</row>
    <row r="6814" spans="1:20" ht="45.75" customHeight="1" x14ac:dyDescent="0.3">
      <c r="A6814" s="1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</row>
    <row r="6815" spans="1:20" ht="45.75" customHeight="1" x14ac:dyDescent="0.3">
      <c r="A6815" s="1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</row>
    <row r="6816" spans="1:20" ht="45.75" customHeight="1" x14ac:dyDescent="0.3">
      <c r="A6816" s="1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</row>
    <row r="6817" spans="1:20" ht="45.75" customHeight="1" x14ac:dyDescent="0.3">
      <c r="A6817" s="1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</row>
    <row r="6818" spans="1:20" ht="45.75" customHeight="1" x14ac:dyDescent="0.3">
      <c r="A6818" s="1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</row>
    <row r="6819" spans="1:20" ht="45.75" customHeight="1" x14ac:dyDescent="0.3">
      <c r="A6819" s="1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</row>
    <row r="6820" spans="1:20" ht="45.75" customHeight="1" x14ac:dyDescent="0.3">
      <c r="A6820" s="1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</row>
    <row r="6821" spans="1:20" ht="45.75" customHeight="1" x14ac:dyDescent="0.3">
      <c r="A6821" s="1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</row>
    <row r="6822" spans="1:20" ht="45.75" customHeight="1" x14ac:dyDescent="0.3">
      <c r="A6822" s="1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</row>
    <row r="6823" spans="1:20" ht="45.75" customHeight="1" x14ac:dyDescent="0.3">
      <c r="A6823" s="1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</row>
    <row r="6824" spans="1:20" ht="45.75" customHeight="1" x14ac:dyDescent="0.3">
      <c r="A6824" s="1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</row>
    <row r="6825" spans="1:20" ht="45.75" customHeight="1" x14ac:dyDescent="0.3">
      <c r="A6825" s="1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</row>
    <row r="6826" spans="1:20" ht="45.75" customHeight="1" x14ac:dyDescent="0.3">
      <c r="A6826" s="1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</row>
    <row r="6827" spans="1:20" ht="45.75" customHeight="1" x14ac:dyDescent="0.3">
      <c r="A6827" s="1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</row>
    <row r="6828" spans="1:20" ht="45.75" customHeight="1" x14ac:dyDescent="0.3">
      <c r="A6828" s="1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</row>
    <row r="6829" spans="1:20" ht="45.75" customHeight="1" x14ac:dyDescent="0.3">
      <c r="A6829" s="1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</row>
    <row r="6830" spans="1:20" ht="45.75" customHeight="1" x14ac:dyDescent="0.3">
      <c r="A6830" s="1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</row>
    <row r="6831" spans="1:20" ht="45.75" customHeight="1" x14ac:dyDescent="0.3">
      <c r="A6831" s="1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</row>
    <row r="6832" spans="1:20" ht="45.75" customHeight="1" x14ac:dyDescent="0.3">
      <c r="A6832" s="1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</row>
    <row r="6833" spans="1:20" ht="45.75" customHeight="1" x14ac:dyDescent="0.3">
      <c r="A6833" s="1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</row>
    <row r="6834" spans="1:20" ht="45.75" customHeight="1" x14ac:dyDescent="0.3">
      <c r="A6834" s="1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</row>
    <row r="6835" spans="1:20" ht="45.75" customHeight="1" x14ac:dyDescent="0.3">
      <c r="A6835" s="1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</row>
    <row r="6836" spans="1:20" ht="45.75" customHeight="1" x14ac:dyDescent="0.3">
      <c r="A6836" s="1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</row>
    <row r="6837" spans="1:20" ht="45.75" customHeight="1" x14ac:dyDescent="0.3">
      <c r="A6837" s="1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</row>
    <row r="6838" spans="1:20" ht="45.75" customHeight="1" x14ac:dyDescent="0.3">
      <c r="A6838" s="1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</row>
    <row r="6839" spans="1:20" ht="45.75" customHeight="1" x14ac:dyDescent="0.3">
      <c r="A6839" s="1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</row>
    <row r="6840" spans="1:20" ht="45.75" customHeight="1" x14ac:dyDescent="0.3">
      <c r="A6840" s="1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</row>
    <row r="6841" spans="1:20" ht="45.75" customHeight="1" x14ac:dyDescent="0.3">
      <c r="A6841" s="1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</row>
    <row r="6842" spans="1:20" ht="45.75" customHeight="1" x14ac:dyDescent="0.3">
      <c r="A6842" s="1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</row>
    <row r="6843" spans="1:20" ht="45.75" customHeight="1" x14ac:dyDescent="0.3">
      <c r="A6843" s="1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</row>
    <row r="6844" spans="1:20" ht="45.75" customHeight="1" x14ac:dyDescent="0.3">
      <c r="A6844" s="1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</row>
    <row r="6845" spans="1:20" ht="45.75" customHeight="1" x14ac:dyDescent="0.3">
      <c r="A6845" s="1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</row>
    <row r="6846" spans="1:20" ht="45.75" customHeight="1" x14ac:dyDescent="0.3">
      <c r="A6846" s="1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</row>
    <row r="6847" spans="1:20" ht="45.75" customHeight="1" x14ac:dyDescent="0.3">
      <c r="A6847" s="1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</row>
    <row r="6848" spans="1:20" ht="45.75" customHeight="1" x14ac:dyDescent="0.3">
      <c r="A6848" s="1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</row>
    <row r="6849" spans="1:20" ht="45.75" customHeight="1" x14ac:dyDescent="0.3">
      <c r="A6849" s="1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</row>
    <row r="6850" spans="1:20" ht="45.75" customHeight="1" x14ac:dyDescent="0.3">
      <c r="A6850" s="1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</row>
    <row r="6851" spans="1:20" ht="45.75" customHeight="1" x14ac:dyDescent="0.3">
      <c r="A6851" s="1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</row>
    <row r="6852" spans="1:20" ht="45.75" customHeight="1" x14ac:dyDescent="0.3">
      <c r="A6852" s="1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</row>
    <row r="6853" spans="1:20" ht="45.75" customHeight="1" x14ac:dyDescent="0.3">
      <c r="A6853" s="1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</row>
    <row r="6854" spans="1:20" ht="45.75" customHeight="1" x14ac:dyDescent="0.3">
      <c r="A6854" s="1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</row>
    <row r="6855" spans="1:20" ht="45.75" customHeight="1" x14ac:dyDescent="0.3">
      <c r="A6855" s="1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</row>
    <row r="6856" spans="1:20" ht="45.75" customHeight="1" x14ac:dyDescent="0.3">
      <c r="A6856" s="1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</row>
    <row r="6857" spans="1:20" ht="45.75" customHeight="1" x14ac:dyDescent="0.3">
      <c r="A6857" s="1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</row>
    <row r="6858" spans="1:20" ht="45.75" customHeight="1" x14ac:dyDescent="0.3">
      <c r="A6858" s="1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</row>
    <row r="6859" spans="1:20" ht="45.75" customHeight="1" x14ac:dyDescent="0.3">
      <c r="A6859" s="1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</row>
    <row r="6860" spans="1:20" ht="45.75" customHeight="1" x14ac:dyDescent="0.3">
      <c r="A6860" s="1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</row>
    <row r="6861" spans="1:20" ht="45.75" customHeight="1" x14ac:dyDescent="0.3">
      <c r="A6861" s="1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</row>
    <row r="6862" spans="1:20" ht="45.75" customHeight="1" x14ac:dyDescent="0.3">
      <c r="A6862" s="1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</row>
    <row r="6863" spans="1:20" ht="45.75" customHeight="1" x14ac:dyDescent="0.3">
      <c r="A6863" s="1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</row>
    <row r="6864" spans="1:20" ht="45.75" customHeight="1" x14ac:dyDescent="0.3">
      <c r="A6864" s="1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</row>
    <row r="6865" spans="1:20" ht="45.75" customHeight="1" x14ac:dyDescent="0.3">
      <c r="A6865" s="1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</row>
    <row r="6866" spans="1:20" ht="45.75" customHeight="1" x14ac:dyDescent="0.3">
      <c r="A6866" s="1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</row>
    <row r="6867" spans="1:20" ht="45.75" customHeight="1" x14ac:dyDescent="0.3">
      <c r="A6867" s="1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</row>
    <row r="6868" spans="1:20" ht="45.75" customHeight="1" x14ac:dyDescent="0.3">
      <c r="A6868" s="1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</row>
    <row r="6869" spans="1:20" ht="45.75" customHeight="1" x14ac:dyDescent="0.3">
      <c r="A6869" s="1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</row>
    <row r="6870" spans="1:20" ht="45.75" customHeight="1" x14ac:dyDescent="0.3">
      <c r="A6870" s="1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</row>
    <row r="6871" spans="1:20" ht="45.75" customHeight="1" x14ac:dyDescent="0.3">
      <c r="A6871" s="1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</row>
    <row r="6872" spans="1:20" ht="45.75" customHeight="1" x14ac:dyDescent="0.3">
      <c r="A6872" s="1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</row>
    <row r="6873" spans="1:20" ht="45.75" customHeight="1" x14ac:dyDescent="0.3">
      <c r="A6873" s="1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</row>
    <row r="6874" spans="1:20" ht="45.75" customHeight="1" x14ac:dyDescent="0.3">
      <c r="A6874" s="1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</row>
    <row r="6875" spans="1:20" ht="45.75" customHeight="1" x14ac:dyDescent="0.3">
      <c r="A6875" s="1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</row>
    <row r="6876" spans="1:20" ht="45.75" customHeight="1" x14ac:dyDescent="0.3">
      <c r="A6876" s="1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</row>
    <row r="6877" spans="1:20" ht="45.75" customHeight="1" x14ac:dyDescent="0.3">
      <c r="A6877" s="1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</row>
    <row r="6878" spans="1:20" ht="45.75" customHeight="1" x14ac:dyDescent="0.3">
      <c r="A6878" s="1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</row>
    <row r="6879" spans="1:20" ht="45.75" customHeight="1" x14ac:dyDescent="0.3">
      <c r="A6879" s="1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</row>
    <row r="6880" spans="1:20" ht="45.75" customHeight="1" x14ac:dyDescent="0.3">
      <c r="A6880" s="1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</row>
    <row r="6881" spans="1:20" ht="45.75" customHeight="1" x14ac:dyDescent="0.3">
      <c r="A6881" s="1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</row>
    <row r="6882" spans="1:20" ht="45.75" customHeight="1" x14ac:dyDescent="0.3">
      <c r="A6882" s="1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</row>
    <row r="6883" spans="1:20" ht="45.75" customHeight="1" x14ac:dyDescent="0.3">
      <c r="A6883" s="1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</row>
    <row r="6884" spans="1:20" ht="45.75" customHeight="1" x14ac:dyDescent="0.3">
      <c r="A6884" s="1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</row>
    <row r="6885" spans="1:20" ht="45.75" customHeight="1" x14ac:dyDescent="0.3">
      <c r="A6885" s="1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</row>
    <row r="6886" spans="1:20" ht="45.75" customHeight="1" x14ac:dyDescent="0.3">
      <c r="A6886" s="1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</row>
    <row r="6887" spans="1:20" ht="45.75" customHeight="1" x14ac:dyDescent="0.3">
      <c r="A6887" s="1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</row>
    <row r="6888" spans="1:20" ht="45.75" customHeight="1" x14ac:dyDescent="0.3">
      <c r="A6888" s="1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</row>
    <row r="6889" spans="1:20" ht="45.75" customHeight="1" x14ac:dyDescent="0.3">
      <c r="A6889" s="1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</row>
    <row r="6890" spans="1:20" ht="45.75" customHeight="1" x14ac:dyDescent="0.3">
      <c r="A6890" s="1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</row>
    <row r="6891" spans="1:20" ht="45.75" customHeight="1" x14ac:dyDescent="0.3">
      <c r="A6891" s="1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</row>
    <row r="6892" spans="1:20" ht="45.75" customHeight="1" x14ac:dyDescent="0.3">
      <c r="A6892" s="1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</row>
    <row r="6893" spans="1:20" ht="45.75" customHeight="1" x14ac:dyDescent="0.3">
      <c r="A6893" s="1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</row>
    <row r="6894" spans="1:20" ht="45.75" customHeight="1" x14ac:dyDescent="0.3">
      <c r="A6894" s="1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</row>
    <row r="6895" spans="1:20" ht="45.75" customHeight="1" x14ac:dyDescent="0.3">
      <c r="A6895" s="1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</row>
    <row r="6896" spans="1:20" ht="45.75" customHeight="1" x14ac:dyDescent="0.3">
      <c r="A6896" s="1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</row>
    <row r="6897" spans="1:20" ht="45.75" customHeight="1" x14ac:dyDescent="0.3">
      <c r="A6897" s="1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</row>
    <row r="6898" spans="1:20" ht="45.75" customHeight="1" x14ac:dyDescent="0.3">
      <c r="A6898" s="1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</row>
    <row r="6899" spans="1:20" ht="45.75" customHeight="1" x14ac:dyDescent="0.3">
      <c r="A6899" s="1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</row>
    <row r="6900" spans="1:20" ht="45.75" customHeight="1" x14ac:dyDescent="0.3">
      <c r="A6900" s="1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</row>
    <row r="6901" spans="1:20" ht="45.75" customHeight="1" x14ac:dyDescent="0.3">
      <c r="A6901" s="1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</row>
    <row r="6902" spans="1:20" ht="45.75" customHeight="1" x14ac:dyDescent="0.3">
      <c r="A6902" s="1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</row>
    <row r="6903" spans="1:20" ht="45.75" customHeight="1" x14ac:dyDescent="0.3">
      <c r="A6903" s="1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</row>
    <row r="6904" spans="1:20" ht="45.75" customHeight="1" x14ac:dyDescent="0.3">
      <c r="A6904" s="1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</row>
    <row r="6905" spans="1:20" ht="45.75" customHeight="1" x14ac:dyDescent="0.3">
      <c r="A6905" s="1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</row>
    <row r="6906" spans="1:20" ht="45.75" customHeight="1" x14ac:dyDescent="0.3">
      <c r="A6906" s="1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</row>
    <row r="6907" spans="1:20" ht="45.75" customHeight="1" x14ac:dyDescent="0.3">
      <c r="A6907" s="1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</row>
    <row r="6908" spans="1:20" ht="45.75" customHeight="1" x14ac:dyDescent="0.3">
      <c r="A6908" s="1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</row>
    <row r="6909" spans="1:20" ht="45.75" customHeight="1" x14ac:dyDescent="0.3">
      <c r="A6909" s="1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</row>
    <row r="6910" spans="1:20" ht="45.75" customHeight="1" x14ac:dyDescent="0.3">
      <c r="A6910" s="1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</row>
    <row r="6911" spans="1:20" ht="45.75" customHeight="1" x14ac:dyDescent="0.3">
      <c r="A6911" s="1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</row>
    <row r="6912" spans="1:20" ht="45.75" customHeight="1" x14ac:dyDescent="0.3">
      <c r="A6912" s="1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</row>
    <row r="6913" spans="1:20" ht="45.75" customHeight="1" x14ac:dyDescent="0.3">
      <c r="A6913" s="1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</row>
    <row r="6914" spans="1:20" ht="45.75" customHeight="1" x14ac:dyDescent="0.3">
      <c r="A6914" s="1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</row>
    <row r="6915" spans="1:20" ht="45.75" customHeight="1" x14ac:dyDescent="0.3">
      <c r="A6915" s="1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</row>
    <row r="6916" spans="1:20" ht="45.75" customHeight="1" x14ac:dyDescent="0.3">
      <c r="A6916" s="1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</row>
    <row r="6917" spans="1:20" ht="45.75" customHeight="1" x14ac:dyDescent="0.3">
      <c r="A6917" s="1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</row>
    <row r="6918" spans="1:20" ht="45.75" customHeight="1" x14ac:dyDescent="0.3">
      <c r="A6918" s="1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</row>
    <row r="6919" spans="1:20" ht="45.75" customHeight="1" x14ac:dyDescent="0.3">
      <c r="A6919" s="1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</row>
    <row r="6920" spans="1:20" ht="45.75" customHeight="1" x14ac:dyDescent="0.3">
      <c r="A6920" s="1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</row>
    <row r="6921" spans="1:20" ht="45.75" customHeight="1" x14ac:dyDescent="0.3">
      <c r="A6921" s="1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</row>
    <row r="6922" spans="1:20" ht="45.75" customHeight="1" x14ac:dyDescent="0.3">
      <c r="A6922" s="1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</row>
    <row r="6923" spans="1:20" ht="45.75" customHeight="1" x14ac:dyDescent="0.3">
      <c r="A6923" s="1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</row>
    <row r="6924" spans="1:20" ht="45.75" customHeight="1" x14ac:dyDescent="0.3">
      <c r="A6924" s="1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</row>
    <row r="6925" spans="1:20" ht="45.75" customHeight="1" x14ac:dyDescent="0.3">
      <c r="A6925" s="1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</row>
    <row r="6926" spans="1:20" ht="45.75" customHeight="1" x14ac:dyDescent="0.3">
      <c r="A6926" s="1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</row>
    <row r="6927" spans="1:20" ht="45.75" customHeight="1" x14ac:dyDescent="0.3">
      <c r="A6927" s="1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</row>
    <row r="6928" spans="1:20" ht="45.75" customHeight="1" x14ac:dyDescent="0.3">
      <c r="A6928" s="1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</row>
    <row r="6929" spans="1:20" ht="45.75" customHeight="1" x14ac:dyDescent="0.3">
      <c r="A6929" s="1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</row>
    <row r="6930" spans="1:20" ht="45.75" customHeight="1" x14ac:dyDescent="0.3">
      <c r="A6930" s="1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</row>
    <row r="6931" spans="1:20" ht="45.75" customHeight="1" x14ac:dyDescent="0.3">
      <c r="A6931" s="1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</row>
    <row r="6932" spans="1:20" ht="45.75" customHeight="1" x14ac:dyDescent="0.3">
      <c r="A6932" s="1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</row>
    <row r="6933" spans="1:20" ht="45.75" customHeight="1" x14ac:dyDescent="0.3">
      <c r="A6933" s="1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</row>
    <row r="6934" spans="1:20" ht="45.75" customHeight="1" x14ac:dyDescent="0.3">
      <c r="A6934" s="1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</row>
    <row r="6935" spans="1:20" ht="45.75" customHeight="1" x14ac:dyDescent="0.3">
      <c r="A6935" s="1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</row>
    <row r="6936" spans="1:20" ht="45.75" customHeight="1" x14ac:dyDescent="0.3">
      <c r="A6936" s="1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</row>
    <row r="6937" spans="1:20" ht="45.75" customHeight="1" x14ac:dyDescent="0.3">
      <c r="A6937" s="1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</row>
    <row r="6938" spans="1:20" ht="45.75" customHeight="1" x14ac:dyDescent="0.3">
      <c r="A6938" s="1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</row>
    <row r="6939" spans="1:20" ht="45.75" customHeight="1" x14ac:dyDescent="0.3">
      <c r="A6939" s="1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</row>
    <row r="6940" spans="1:20" ht="45.75" customHeight="1" x14ac:dyDescent="0.3">
      <c r="A6940" s="1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</row>
    <row r="6941" spans="1:20" ht="45.75" customHeight="1" x14ac:dyDescent="0.3">
      <c r="A6941" s="1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</row>
    <row r="6942" spans="1:20" ht="45.75" customHeight="1" x14ac:dyDescent="0.3">
      <c r="A6942" s="1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</row>
    <row r="6943" spans="1:20" ht="45.75" customHeight="1" x14ac:dyDescent="0.3">
      <c r="A6943" s="1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</row>
    <row r="6944" spans="1:20" ht="45.75" customHeight="1" x14ac:dyDescent="0.3">
      <c r="A6944" s="1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</row>
    <row r="6945" spans="1:20" ht="45.75" customHeight="1" x14ac:dyDescent="0.3">
      <c r="A6945" s="1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</row>
    <row r="6946" spans="1:20" ht="45.75" customHeight="1" x14ac:dyDescent="0.3">
      <c r="A6946" s="1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</row>
    <row r="6947" spans="1:20" ht="45.75" customHeight="1" x14ac:dyDescent="0.3">
      <c r="A6947" s="1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</row>
    <row r="6948" spans="1:20" ht="45.75" customHeight="1" x14ac:dyDescent="0.3">
      <c r="A6948" s="1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</row>
    <row r="6949" spans="1:20" ht="45.75" customHeight="1" x14ac:dyDescent="0.3">
      <c r="A6949" s="1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</row>
    <row r="6950" spans="1:20" ht="45.75" customHeight="1" x14ac:dyDescent="0.3">
      <c r="A6950" s="1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</row>
    <row r="6951" spans="1:20" ht="45.75" customHeight="1" x14ac:dyDescent="0.3">
      <c r="A6951" s="1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</row>
    <row r="6952" spans="1:20" ht="45.75" customHeight="1" x14ac:dyDescent="0.3">
      <c r="A6952" s="1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</row>
    <row r="6953" spans="1:20" ht="45.75" customHeight="1" x14ac:dyDescent="0.3">
      <c r="A6953" s="1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</row>
    <row r="6954" spans="1:20" ht="45.75" customHeight="1" x14ac:dyDescent="0.3">
      <c r="A6954" s="1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</row>
    <row r="6955" spans="1:20" ht="45.75" customHeight="1" x14ac:dyDescent="0.3">
      <c r="A6955" s="1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</row>
    <row r="6956" spans="1:20" ht="45.75" customHeight="1" x14ac:dyDescent="0.3">
      <c r="A6956" s="1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</row>
    <row r="6957" spans="1:20" ht="45.75" customHeight="1" x14ac:dyDescent="0.3">
      <c r="A6957" s="1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</row>
    <row r="6958" spans="1:20" ht="45.75" customHeight="1" x14ac:dyDescent="0.3">
      <c r="A6958" s="1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</row>
    <row r="6959" spans="1:20" ht="45.75" customHeight="1" x14ac:dyDescent="0.3">
      <c r="A6959" s="1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</row>
    <row r="6960" spans="1:20" ht="45.75" customHeight="1" x14ac:dyDescent="0.3">
      <c r="A6960" s="1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</row>
    <row r="6961" spans="1:20" ht="45.75" customHeight="1" x14ac:dyDescent="0.3">
      <c r="A6961" s="1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</row>
    <row r="6962" spans="1:20" ht="45.75" customHeight="1" x14ac:dyDescent="0.3">
      <c r="A6962" s="1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</row>
    <row r="6963" spans="1:20" ht="45.75" customHeight="1" x14ac:dyDescent="0.3">
      <c r="A6963" s="1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</row>
    <row r="6964" spans="1:20" ht="45.75" customHeight="1" x14ac:dyDescent="0.3">
      <c r="A6964" s="1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</row>
    <row r="6965" spans="1:20" ht="45.75" customHeight="1" x14ac:dyDescent="0.3">
      <c r="A6965" s="1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</row>
    <row r="6966" spans="1:20" ht="45.75" customHeight="1" x14ac:dyDescent="0.3">
      <c r="A6966" s="1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</row>
    <row r="6967" spans="1:20" ht="45.75" customHeight="1" x14ac:dyDescent="0.3">
      <c r="A6967" s="1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</row>
    <row r="6968" spans="1:20" ht="45.75" customHeight="1" x14ac:dyDescent="0.3">
      <c r="A6968" s="1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</row>
    <row r="6969" spans="1:20" ht="45.75" customHeight="1" x14ac:dyDescent="0.3">
      <c r="A6969" s="1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</row>
    <row r="6970" spans="1:20" ht="45.75" customHeight="1" x14ac:dyDescent="0.3">
      <c r="A6970" s="1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</row>
    <row r="6971" spans="1:20" ht="45.75" customHeight="1" x14ac:dyDescent="0.3">
      <c r="A6971" s="1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</row>
    <row r="6972" spans="1:20" ht="45.75" customHeight="1" x14ac:dyDescent="0.3">
      <c r="A6972" s="1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</row>
    <row r="6973" spans="1:20" ht="45.75" customHeight="1" x14ac:dyDescent="0.3">
      <c r="A6973" s="1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</row>
    <row r="6974" spans="1:20" ht="45.75" customHeight="1" x14ac:dyDescent="0.3">
      <c r="A6974" s="1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</row>
    <row r="6975" spans="1:20" ht="45.75" customHeight="1" x14ac:dyDescent="0.3">
      <c r="A6975" s="1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</row>
    <row r="6976" spans="1:20" ht="45.75" customHeight="1" x14ac:dyDescent="0.3">
      <c r="A6976" s="1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</row>
    <row r="6977" spans="1:20" ht="45.75" customHeight="1" x14ac:dyDescent="0.3">
      <c r="A6977" s="1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</row>
    <row r="6978" spans="1:20" ht="45.75" customHeight="1" x14ac:dyDescent="0.3">
      <c r="A6978" s="1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</row>
    <row r="6979" spans="1:20" ht="45.75" customHeight="1" x14ac:dyDescent="0.3">
      <c r="A6979" s="1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</row>
    <row r="6980" spans="1:20" ht="45.75" customHeight="1" x14ac:dyDescent="0.3">
      <c r="A6980" s="1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</row>
    <row r="6981" spans="1:20" ht="45.75" customHeight="1" x14ac:dyDescent="0.3">
      <c r="A6981" s="1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</row>
    <row r="6982" spans="1:20" ht="45.75" customHeight="1" x14ac:dyDescent="0.3">
      <c r="A6982" s="1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</row>
    <row r="6983" spans="1:20" ht="45.75" customHeight="1" x14ac:dyDescent="0.3">
      <c r="A6983" s="1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</row>
    <row r="6984" spans="1:20" ht="45.75" customHeight="1" x14ac:dyDescent="0.3">
      <c r="A6984" s="1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</row>
    <row r="6985" spans="1:20" ht="45.75" customHeight="1" x14ac:dyDescent="0.3">
      <c r="A6985" s="1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</row>
    <row r="6986" spans="1:20" ht="45.75" customHeight="1" x14ac:dyDescent="0.3">
      <c r="A6986" s="1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</row>
    <row r="6987" spans="1:20" ht="45.75" customHeight="1" x14ac:dyDescent="0.3">
      <c r="A6987" s="1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</row>
    <row r="6988" spans="1:20" ht="45.75" customHeight="1" x14ac:dyDescent="0.3">
      <c r="A6988" s="1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</row>
    <row r="6989" spans="1:20" ht="45.75" customHeight="1" x14ac:dyDescent="0.3">
      <c r="A6989" s="1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</row>
    <row r="6990" spans="1:20" ht="45.75" customHeight="1" x14ac:dyDescent="0.3">
      <c r="A6990" s="1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</row>
    <row r="6991" spans="1:20" ht="45.75" customHeight="1" x14ac:dyDescent="0.3">
      <c r="A6991" s="1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</row>
    <row r="6992" spans="1:20" ht="45.75" customHeight="1" x14ac:dyDescent="0.3">
      <c r="A6992" s="1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</row>
    <row r="6993" spans="1:20" ht="45.75" customHeight="1" x14ac:dyDescent="0.3">
      <c r="A6993" s="1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</row>
    <row r="6994" spans="1:20" ht="45.75" customHeight="1" x14ac:dyDescent="0.3">
      <c r="A6994" s="1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</row>
    <row r="6995" spans="1:20" ht="45.75" customHeight="1" x14ac:dyDescent="0.3">
      <c r="A6995" s="1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</row>
    <row r="6996" spans="1:20" ht="45.75" customHeight="1" x14ac:dyDescent="0.3">
      <c r="A6996" s="1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</row>
    <row r="6997" spans="1:20" ht="45.75" customHeight="1" x14ac:dyDescent="0.3">
      <c r="A6997" s="1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</row>
    <row r="6998" spans="1:20" ht="45.75" customHeight="1" x14ac:dyDescent="0.3">
      <c r="A6998" s="1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</row>
    <row r="6999" spans="1:20" ht="45.75" customHeight="1" x14ac:dyDescent="0.3">
      <c r="A6999" s="1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</row>
    <row r="7000" spans="1:20" ht="45.75" customHeight="1" x14ac:dyDescent="0.3">
      <c r="A7000" s="1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</row>
    <row r="7001" spans="1:20" ht="45.75" customHeight="1" x14ac:dyDescent="0.3">
      <c r="A7001" s="1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</row>
    <row r="7002" spans="1:20" ht="45.75" customHeight="1" x14ac:dyDescent="0.3">
      <c r="A7002" s="1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</row>
    <row r="7003" spans="1:20" ht="45.75" customHeight="1" x14ac:dyDescent="0.3">
      <c r="A7003" s="1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</row>
    <row r="7004" spans="1:20" ht="45.75" customHeight="1" x14ac:dyDescent="0.3">
      <c r="A7004" s="1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</row>
    <row r="7005" spans="1:20" ht="45.75" customHeight="1" x14ac:dyDescent="0.3">
      <c r="A7005" s="1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</row>
    <row r="7006" spans="1:20" ht="45.75" customHeight="1" x14ac:dyDescent="0.3">
      <c r="A7006" s="1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</row>
    <row r="7007" spans="1:20" ht="45.75" customHeight="1" x14ac:dyDescent="0.3">
      <c r="A7007" s="1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</row>
    <row r="7008" spans="1:20" ht="45.75" customHeight="1" x14ac:dyDescent="0.3">
      <c r="A7008" s="1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</row>
    <row r="7009" spans="1:20" ht="45.75" customHeight="1" x14ac:dyDescent="0.3">
      <c r="A7009" s="1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</row>
    <row r="7010" spans="1:20" ht="45.75" customHeight="1" x14ac:dyDescent="0.3">
      <c r="A7010" s="1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</row>
    <row r="7011" spans="1:20" ht="45.75" customHeight="1" x14ac:dyDescent="0.3">
      <c r="A7011" s="1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</row>
    <row r="7012" spans="1:20" ht="45.75" customHeight="1" x14ac:dyDescent="0.3">
      <c r="A7012" s="1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</row>
    <row r="7013" spans="1:20" ht="45.75" customHeight="1" x14ac:dyDescent="0.3">
      <c r="A7013" s="1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</row>
    <row r="7014" spans="1:20" ht="45.75" customHeight="1" x14ac:dyDescent="0.3">
      <c r="A7014" s="1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</row>
    <row r="7015" spans="1:20" ht="45.75" customHeight="1" x14ac:dyDescent="0.3">
      <c r="A7015" s="1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</row>
    <row r="7016" spans="1:20" ht="45.75" customHeight="1" x14ac:dyDescent="0.3">
      <c r="A7016" s="1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</row>
    <row r="7017" spans="1:20" ht="45.75" customHeight="1" x14ac:dyDescent="0.3">
      <c r="A7017" s="1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</row>
    <row r="7018" spans="1:20" ht="45.75" customHeight="1" x14ac:dyDescent="0.3">
      <c r="A7018" s="1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</row>
    <row r="7019" spans="1:20" ht="45.75" customHeight="1" x14ac:dyDescent="0.3">
      <c r="A7019" s="1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</row>
    <row r="7020" spans="1:20" ht="45.75" customHeight="1" x14ac:dyDescent="0.3">
      <c r="A7020" s="1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</row>
    <row r="7021" spans="1:20" ht="45.75" customHeight="1" x14ac:dyDescent="0.3">
      <c r="A7021" s="1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</row>
    <row r="7022" spans="1:20" ht="45.75" customHeight="1" x14ac:dyDescent="0.3">
      <c r="A7022" s="1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</row>
    <row r="7023" spans="1:20" ht="45.75" customHeight="1" x14ac:dyDescent="0.3">
      <c r="A7023" s="1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</row>
    <row r="7024" spans="1:20" ht="45.75" customHeight="1" x14ac:dyDescent="0.3">
      <c r="A7024" s="1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</row>
    <row r="7025" spans="1:20" ht="45.75" customHeight="1" x14ac:dyDescent="0.3">
      <c r="A7025" s="1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</row>
    <row r="7026" spans="1:20" ht="45.75" customHeight="1" x14ac:dyDescent="0.3">
      <c r="A7026" s="1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</row>
    <row r="7027" spans="1:20" ht="45.75" customHeight="1" x14ac:dyDescent="0.3">
      <c r="A7027" s="1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</row>
    <row r="7028" spans="1:20" ht="45.75" customHeight="1" x14ac:dyDescent="0.3">
      <c r="A7028" s="1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</row>
    <row r="7029" spans="1:20" ht="45.75" customHeight="1" x14ac:dyDescent="0.3">
      <c r="A7029" s="1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</row>
    <row r="7030" spans="1:20" ht="45.75" customHeight="1" x14ac:dyDescent="0.3">
      <c r="A7030" s="1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</row>
    <row r="7031" spans="1:20" ht="45.75" customHeight="1" x14ac:dyDescent="0.3">
      <c r="A7031" s="1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</row>
    <row r="7032" spans="1:20" ht="45.75" customHeight="1" x14ac:dyDescent="0.3">
      <c r="A7032" s="1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</row>
    <row r="7033" spans="1:20" ht="45.75" customHeight="1" x14ac:dyDescent="0.3">
      <c r="A7033" s="1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</row>
    <row r="7034" spans="1:20" ht="45.75" customHeight="1" x14ac:dyDescent="0.3">
      <c r="A7034" s="1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</row>
    <row r="7035" spans="1:20" ht="45.75" customHeight="1" x14ac:dyDescent="0.3">
      <c r="A7035" s="1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</row>
    <row r="7036" spans="1:20" ht="45.75" customHeight="1" x14ac:dyDescent="0.3">
      <c r="A7036" s="1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</row>
    <row r="7037" spans="1:20" ht="45.75" customHeight="1" x14ac:dyDescent="0.3">
      <c r="A7037" s="1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</row>
    <row r="7038" spans="1:20" ht="45.75" customHeight="1" x14ac:dyDescent="0.3">
      <c r="A7038" s="1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</row>
    <row r="7039" spans="1:20" ht="45.75" customHeight="1" x14ac:dyDescent="0.3">
      <c r="A7039" s="1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</row>
    <row r="7040" spans="1:20" ht="45.75" customHeight="1" x14ac:dyDescent="0.3">
      <c r="A7040" s="1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</row>
    <row r="7041" spans="1:20" ht="45.75" customHeight="1" x14ac:dyDescent="0.3">
      <c r="A7041" s="1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</row>
    <row r="7042" spans="1:20" ht="45.75" customHeight="1" x14ac:dyDescent="0.3">
      <c r="A7042" s="1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</row>
    <row r="7043" spans="1:20" ht="45.75" customHeight="1" x14ac:dyDescent="0.3">
      <c r="A7043" s="1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</row>
    <row r="7044" spans="1:20" ht="45.75" customHeight="1" x14ac:dyDescent="0.3">
      <c r="A7044" s="1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</row>
    <row r="7045" spans="1:20" ht="45.75" customHeight="1" x14ac:dyDescent="0.3">
      <c r="A7045" s="1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</row>
    <row r="7046" spans="1:20" ht="45.75" customHeight="1" x14ac:dyDescent="0.3">
      <c r="A7046" s="1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</row>
    <row r="7047" spans="1:20" ht="45.75" customHeight="1" x14ac:dyDescent="0.3">
      <c r="A7047" s="1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</row>
    <row r="7048" spans="1:20" ht="45.75" customHeight="1" x14ac:dyDescent="0.3">
      <c r="A7048" s="1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</row>
    <row r="7049" spans="1:20" ht="45.75" customHeight="1" x14ac:dyDescent="0.3">
      <c r="A7049" s="1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</row>
    <row r="7050" spans="1:20" ht="45.75" customHeight="1" x14ac:dyDescent="0.3">
      <c r="A7050" s="1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</row>
    <row r="7051" spans="1:20" ht="45.75" customHeight="1" x14ac:dyDescent="0.3">
      <c r="A7051" s="1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</row>
    <row r="7052" spans="1:20" ht="45.75" customHeight="1" x14ac:dyDescent="0.3">
      <c r="A7052" s="1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</row>
    <row r="7053" spans="1:20" ht="45.75" customHeight="1" x14ac:dyDescent="0.3">
      <c r="A7053" s="1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</row>
    <row r="7054" spans="1:20" ht="45.75" customHeight="1" x14ac:dyDescent="0.3">
      <c r="A7054" s="1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</row>
    <row r="7055" spans="1:20" ht="45.75" customHeight="1" x14ac:dyDescent="0.3">
      <c r="A7055" s="1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</row>
    <row r="7056" spans="1:20" ht="45.75" customHeight="1" x14ac:dyDescent="0.3">
      <c r="A7056" s="1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</row>
    <row r="7057" spans="1:20" ht="45.75" customHeight="1" x14ac:dyDescent="0.3">
      <c r="A7057" s="1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</row>
    <row r="7058" spans="1:20" ht="45.75" customHeight="1" x14ac:dyDescent="0.3">
      <c r="A7058" s="1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</row>
    <row r="7059" spans="1:20" ht="45.75" customHeight="1" x14ac:dyDescent="0.3">
      <c r="A7059" s="1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</row>
    <row r="7060" spans="1:20" ht="45.75" customHeight="1" x14ac:dyDescent="0.3">
      <c r="A7060" s="1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</row>
    <row r="7061" spans="1:20" ht="45.75" customHeight="1" x14ac:dyDescent="0.3">
      <c r="A7061" s="1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</row>
    <row r="7062" spans="1:20" ht="45.75" customHeight="1" x14ac:dyDescent="0.3">
      <c r="A7062" s="1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</row>
    <row r="7063" spans="1:20" ht="45.75" customHeight="1" x14ac:dyDescent="0.3">
      <c r="A7063" s="1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</row>
    <row r="7064" spans="1:20" ht="45.75" customHeight="1" x14ac:dyDescent="0.3">
      <c r="A7064" s="1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</row>
    <row r="7065" spans="1:20" ht="45.75" customHeight="1" x14ac:dyDescent="0.3">
      <c r="A7065" s="1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</row>
    <row r="7066" spans="1:20" ht="45.75" customHeight="1" x14ac:dyDescent="0.3">
      <c r="A7066" s="1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</row>
    <row r="7067" spans="1:20" ht="45.75" customHeight="1" x14ac:dyDescent="0.3">
      <c r="A7067" s="1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</row>
    <row r="7068" spans="1:20" ht="45.75" customHeight="1" x14ac:dyDescent="0.3">
      <c r="A7068" s="1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</row>
    <row r="7069" spans="1:20" ht="45.75" customHeight="1" x14ac:dyDescent="0.3">
      <c r="A7069" s="1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</row>
    <row r="7070" spans="1:20" ht="45.75" customHeight="1" x14ac:dyDescent="0.3">
      <c r="A7070" s="1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</row>
    <row r="7071" spans="1:20" ht="45.75" customHeight="1" x14ac:dyDescent="0.3">
      <c r="A7071" s="1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</row>
    <row r="7072" spans="1:20" ht="45.75" customHeight="1" x14ac:dyDescent="0.3">
      <c r="A7072" s="1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</row>
    <row r="7073" spans="1:20" ht="45.75" customHeight="1" x14ac:dyDescent="0.3">
      <c r="A7073" s="1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</row>
    <row r="7074" spans="1:20" ht="45.75" customHeight="1" x14ac:dyDescent="0.3">
      <c r="A7074" s="1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</row>
    <row r="7075" spans="1:20" ht="45.75" customHeight="1" x14ac:dyDescent="0.3">
      <c r="A7075" s="1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</row>
    <row r="7076" spans="1:20" ht="45.75" customHeight="1" x14ac:dyDescent="0.3">
      <c r="A7076" s="1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</row>
    <row r="7077" spans="1:20" ht="45.75" customHeight="1" x14ac:dyDescent="0.3">
      <c r="A7077" s="1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</row>
    <row r="7078" spans="1:20" ht="45.75" customHeight="1" x14ac:dyDescent="0.3">
      <c r="A7078" s="1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</row>
    <row r="7079" spans="1:20" ht="45.75" customHeight="1" x14ac:dyDescent="0.3">
      <c r="A7079" s="1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</row>
    <row r="7080" spans="1:20" ht="45.75" customHeight="1" x14ac:dyDescent="0.3">
      <c r="A7080" s="1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</row>
    <row r="7081" spans="1:20" ht="45.75" customHeight="1" x14ac:dyDescent="0.3">
      <c r="A7081" s="1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</row>
    <row r="7082" spans="1:20" ht="45.75" customHeight="1" x14ac:dyDescent="0.3">
      <c r="A7082" s="1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</row>
    <row r="7083" spans="1:20" ht="45.75" customHeight="1" x14ac:dyDescent="0.3">
      <c r="A7083" s="1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</row>
    <row r="7084" spans="1:20" ht="45.75" customHeight="1" x14ac:dyDescent="0.3">
      <c r="A7084" s="1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</row>
    <row r="7085" spans="1:20" ht="45.75" customHeight="1" x14ac:dyDescent="0.3">
      <c r="A7085" s="1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</row>
    <row r="7086" spans="1:20" ht="45.75" customHeight="1" x14ac:dyDescent="0.3">
      <c r="A7086" s="1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</row>
    <row r="7087" spans="1:20" ht="45.75" customHeight="1" x14ac:dyDescent="0.3">
      <c r="A7087" s="1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</row>
    <row r="7088" spans="1:20" ht="45.75" customHeight="1" x14ac:dyDescent="0.3">
      <c r="A7088" s="1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</row>
    <row r="7089" spans="1:20" ht="45.75" customHeight="1" x14ac:dyDescent="0.3">
      <c r="A7089" s="1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</row>
    <row r="7090" spans="1:20" ht="45.75" customHeight="1" x14ac:dyDescent="0.3">
      <c r="A7090" s="1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</row>
    <row r="7091" spans="1:20" ht="45.75" customHeight="1" x14ac:dyDescent="0.3">
      <c r="A7091" s="1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</row>
    <row r="7092" spans="1:20" ht="45.75" customHeight="1" x14ac:dyDescent="0.3">
      <c r="A7092" s="1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</row>
    <row r="7093" spans="1:20" ht="45.75" customHeight="1" x14ac:dyDescent="0.3">
      <c r="A7093" s="1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</row>
    <row r="7094" spans="1:20" ht="45.75" customHeight="1" x14ac:dyDescent="0.3">
      <c r="A7094" s="1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</row>
    <row r="7095" spans="1:20" ht="45.75" customHeight="1" x14ac:dyDescent="0.3">
      <c r="A7095" s="1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</row>
    <row r="7096" spans="1:20" ht="45.75" customHeight="1" x14ac:dyDescent="0.3">
      <c r="A7096" s="1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</row>
    <row r="7097" spans="1:20" ht="45.75" customHeight="1" x14ac:dyDescent="0.3">
      <c r="A7097" s="1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</row>
    <row r="7098" spans="1:20" ht="45.75" customHeight="1" x14ac:dyDescent="0.3">
      <c r="A7098" s="1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</row>
    <row r="7099" spans="1:20" ht="45.75" customHeight="1" x14ac:dyDescent="0.3">
      <c r="A7099" s="1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</row>
    <row r="7100" spans="1:20" ht="45.75" customHeight="1" x14ac:dyDescent="0.3">
      <c r="A7100" s="1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</row>
    <row r="7101" spans="1:20" ht="45.75" customHeight="1" x14ac:dyDescent="0.3">
      <c r="A7101" s="1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</row>
    <row r="7102" spans="1:20" ht="45.75" customHeight="1" x14ac:dyDescent="0.3">
      <c r="A7102" s="1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</row>
    <row r="7103" spans="1:20" ht="45.75" customHeight="1" x14ac:dyDescent="0.3">
      <c r="A7103" s="1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</row>
    <row r="7104" spans="1:20" ht="45.75" customHeight="1" x14ac:dyDescent="0.3">
      <c r="A7104" s="1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</row>
    <row r="7105" spans="1:20" ht="45.75" customHeight="1" x14ac:dyDescent="0.3">
      <c r="A7105" s="1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</row>
    <row r="7106" spans="1:20" ht="45.75" customHeight="1" x14ac:dyDescent="0.3">
      <c r="A7106" s="1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</row>
    <row r="7107" spans="1:20" ht="45.75" customHeight="1" x14ac:dyDescent="0.3">
      <c r="A7107" s="1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</row>
    <row r="7108" spans="1:20" ht="45.75" customHeight="1" x14ac:dyDescent="0.3">
      <c r="A7108" s="1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</row>
    <row r="7109" spans="1:20" ht="45.75" customHeight="1" x14ac:dyDescent="0.3">
      <c r="A7109" s="1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</row>
    <row r="7110" spans="1:20" ht="45.75" customHeight="1" x14ac:dyDescent="0.3">
      <c r="A7110" s="1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</row>
    <row r="7111" spans="1:20" ht="45.75" customHeight="1" x14ac:dyDescent="0.3">
      <c r="A7111" s="1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</row>
    <row r="7112" spans="1:20" ht="45.75" customHeight="1" x14ac:dyDescent="0.3">
      <c r="A7112" s="1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</row>
    <row r="7113" spans="1:20" ht="45.75" customHeight="1" x14ac:dyDescent="0.3">
      <c r="A7113" s="1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</row>
    <row r="7114" spans="1:20" ht="45.75" customHeight="1" x14ac:dyDescent="0.3">
      <c r="A7114" s="1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</row>
    <row r="7115" spans="1:20" ht="45.75" customHeight="1" x14ac:dyDescent="0.3">
      <c r="A7115" s="1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</row>
    <row r="7116" spans="1:20" ht="45.75" customHeight="1" x14ac:dyDescent="0.3">
      <c r="A7116" s="1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</row>
    <row r="7117" spans="1:20" ht="45.75" customHeight="1" x14ac:dyDescent="0.3">
      <c r="A7117" s="1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</row>
    <row r="7118" spans="1:20" ht="45.75" customHeight="1" x14ac:dyDescent="0.3">
      <c r="A7118" s="1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</row>
    <row r="7119" spans="1:20" ht="45.75" customHeight="1" x14ac:dyDescent="0.3">
      <c r="A7119" s="1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</row>
    <row r="7120" spans="1:20" ht="45.75" customHeight="1" x14ac:dyDescent="0.3">
      <c r="A7120" s="1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</row>
    <row r="7121" spans="1:20" ht="45.75" customHeight="1" x14ac:dyDescent="0.3">
      <c r="A7121" s="1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</row>
    <row r="7122" spans="1:20" ht="45.75" customHeight="1" x14ac:dyDescent="0.3">
      <c r="A7122" s="1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</row>
    <row r="7123" spans="1:20" ht="45.75" customHeight="1" x14ac:dyDescent="0.3">
      <c r="A7123" s="1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</row>
    <row r="7124" spans="1:20" ht="45.75" customHeight="1" x14ac:dyDescent="0.3">
      <c r="A7124" s="1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</row>
    <row r="7125" spans="1:20" ht="45.75" customHeight="1" x14ac:dyDescent="0.3">
      <c r="A7125" s="1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</row>
    <row r="7126" spans="1:20" ht="45.75" customHeight="1" x14ac:dyDescent="0.3">
      <c r="A7126" s="1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</row>
    <row r="7127" spans="1:20" ht="45.75" customHeight="1" x14ac:dyDescent="0.3">
      <c r="A7127" s="1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</row>
    <row r="7128" spans="1:20" ht="45.75" customHeight="1" x14ac:dyDescent="0.3">
      <c r="A7128" s="1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</row>
    <row r="7129" spans="1:20" ht="45.75" customHeight="1" x14ac:dyDescent="0.3">
      <c r="A7129" s="1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</row>
    <row r="7130" spans="1:20" ht="45.75" customHeight="1" x14ac:dyDescent="0.3">
      <c r="A7130" s="1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</row>
    <row r="7131" spans="1:20" ht="45.75" customHeight="1" x14ac:dyDescent="0.3">
      <c r="A7131" s="1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</row>
    <row r="7132" spans="1:20" ht="45.75" customHeight="1" x14ac:dyDescent="0.3">
      <c r="A7132" s="1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</row>
    <row r="7133" spans="1:20" ht="45.75" customHeight="1" x14ac:dyDescent="0.3">
      <c r="A7133" s="1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</row>
    <row r="7134" spans="1:20" ht="45.75" customHeight="1" x14ac:dyDescent="0.3">
      <c r="A7134" s="1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</row>
    <row r="7135" spans="1:20" ht="45.75" customHeight="1" x14ac:dyDescent="0.3">
      <c r="A7135" s="1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</row>
    <row r="7136" spans="1:20" ht="45.75" customHeight="1" x14ac:dyDescent="0.3">
      <c r="A7136" s="1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</row>
    <row r="7137" spans="1:20" ht="45.75" customHeight="1" x14ac:dyDescent="0.3">
      <c r="A7137" s="1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</row>
    <row r="7138" spans="1:20" ht="45.75" customHeight="1" x14ac:dyDescent="0.3">
      <c r="A7138" s="1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</row>
    <row r="7139" spans="1:20" ht="45.75" customHeight="1" x14ac:dyDescent="0.3">
      <c r="A7139" s="1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</row>
    <row r="7140" spans="1:20" ht="45.75" customHeight="1" x14ac:dyDescent="0.3">
      <c r="A7140" s="1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</row>
    <row r="7141" spans="1:20" ht="45.75" customHeight="1" x14ac:dyDescent="0.3">
      <c r="A7141" s="1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</row>
    <row r="7142" spans="1:20" ht="45.75" customHeight="1" x14ac:dyDescent="0.3">
      <c r="A7142" s="1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</row>
    <row r="7143" spans="1:20" ht="45.75" customHeight="1" x14ac:dyDescent="0.3">
      <c r="A7143" s="1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</row>
    <row r="7144" spans="1:20" ht="45.75" customHeight="1" x14ac:dyDescent="0.3">
      <c r="A7144" s="1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</row>
    <row r="7145" spans="1:20" ht="45.75" customHeight="1" x14ac:dyDescent="0.3">
      <c r="A7145" s="1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</row>
    <row r="7146" spans="1:20" ht="45.75" customHeight="1" x14ac:dyDescent="0.3">
      <c r="A7146" s="1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</row>
    <row r="7147" spans="1:20" ht="45.75" customHeight="1" x14ac:dyDescent="0.3">
      <c r="A7147" s="1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</row>
    <row r="7148" spans="1:20" ht="45.75" customHeight="1" x14ac:dyDescent="0.3">
      <c r="A7148" s="1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</row>
    <row r="7149" spans="1:20" ht="45.75" customHeight="1" x14ac:dyDescent="0.3">
      <c r="A7149" s="1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</row>
    <row r="7150" spans="1:20" ht="45.75" customHeight="1" x14ac:dyDescent="0.3">
      <c r="A7150" s="1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</row>
    <row r="7151" spans="1:20" ht="45.75" customHeight="1" x14ac:dyDescent="0.3">
      <c r="A7151" s="1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</row>
    <row r="7152" spans="1:20" ht="45.75" customHeight="1" x14ac:dyDescent="0.3">
      <c r="A7152" s="1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</row>
    <row r="7153" spans="1:20" ht="45.75" customHeight="1" x14ac:dyDescent="0.3">
      <c r="A7153" s="1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</row>
    <row r="7154" spans="1:20" ht="45.75" customHeight="1" x14ac:dyDescent="0.3">
      <c r="A7154" s="1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</row>
    <row r="7155" spans="1:20" ht="45.75" customHeight="1" x14ac:dyDescent="0.3">
      <c r="A7155" s="1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</row>
    <row r="7156" spans="1:20" ht="45.75" customHeight="1" x14ac:dyDescent="0.3">
      <c r="A7156" s="1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</row>
    <row r="7157" spans="1:20" ht="45.75" customHeight="1" x14ac:dyDescent="0.3">
      <c r="A7157" s="1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</row>
    <row r="7158" spans="1:20" ht="45.75" customHeight="1" x14ac:dyDescent="0.3">
      <c r="A7158" s="1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</row>
    <row r="7159" spans="1:20" ht="45.75" customHeight="1" x14ac:dyDescent="0.3">
      <c r="A7159" s="1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</row>
    <row r="7160" spans="1:20" ht="45.75" customHeight="1" x14ac:dyDescent="0.3">
      <c r="A7160" s="1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</row>
    <row r="7161" spans="1:20" ht="45.75" customHeight="1" x14ac:dyDescent="0.3">
      <c r="A7161" s="1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</row>
    <row r="7162" spans="1:20" ht="45.75" customHeight="1" x14ac:dyDescent="0.3">
      <c r="A7162" s="1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</row>
    <row r="7163" spans="1:20" ht="45.75" customHeight="1" x14ac:dyDescent="0.3">
      <c r="A7163" s="1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</row>
    <row r="7164" spans="1:20" ht="45.75" customHeight="1" x14ac:dyDescent="0.3">
      <c r="A7164" s="1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</row>
    <row r="7165" spans="1:20" ht="45.75" customHeight="1" x14ac:dyDescent="0.3">
      <c r="A7165" s="1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</row>
    <row r="7166" spans="1:20" ht="45.75" customHeight="1" x14ac:dyDescent="0.3">
      <c r="A7166" s="1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</row>
    <row r="7167" spans="1:20" ht="45.75" customHeight="1" x14ac:dyDescent="0.3">
      <c r="A7167" s="1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</row>
    <row r="7168" spans="1:20" ht="45.75" customHeight="1" x14ac:dyDescent="0.3">
      <c r="A7168" s="1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</row>
    <row r="7169" spans="1:20" ht="45.75" customHeight="1" x14ac:dyDescent="0.3">
      <c r="A7169" s="1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</row>
    <row r="7170" spans="1:20" ht="45.75" customHeight="1" x14ac:dyDescent="0.3">
      <c r="A7170" s="1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</row>
    <row r="7171" spans="1:20" ht="45.75" customHeight="1" x14ac:dyDescent="0.3">
      <c r="A7171" s="1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</row>
    <row r="7172" spans="1:20" ht="45.75" customHeight="1" x14ac:dyDescent="0.3">
      <c r="A7172" s="1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</row>
    <row r="7173" spans="1:20" ht="45.75" customHeight="1" x14ac:dyDescent="0.3">
      <c r="A7173" s="1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</row>
    <row r="7174" spans="1:20" ht="45.75" customHeight="1" x14ac:dyDescent="0.3">
      <c r="A7174" s="1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</row>
    <row r="7175" spans="1:20" ht="45.75" customHeight="1" x14ac:dyDescent="0.3">
      <c r="A7175" s="1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</row>
    <row r="7176" spans="1:20" ht="45.75" customHeight="1" x14ac:dyDescent="0.3">
      <c r="A7176" s="1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</row>
    <row r="7177" spans="1:20" ht="45.75" customHeight="1" x14ac:dyDescent="0.3">
      <c r="A7177" s="1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</row>
    <row r="7178" spans="1:20" ht="45.75" customHeight="1" x14ac:dyDescent="0.3">
      <c r="A7178" s="1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</row>
    <row r="7179" spans="1:20" ht="45.75" customHeight="1" x14ac:dyDescent="0.3">
      <c r="A7179" s="1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</row>
    <row r="7180" spans="1:20" ht="45.75" customHeight="1" x14ac:dyDescent="0.3">
      <c r="A7180" s="1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</row>
    <row r="7181" spans="1:20" ht="45.75" customHeight="1" x14ac:dyDescent="0.3">
      <c r="A7181" s="1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</row>
    <row r="7182" spans="1:20" ht="45.75" customHeight="1" x14ac:dyDescent="0.3">
      <c r="A7182" s="1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</row>
    <row r="7183" spans="1:20" ht="45.75" customHeight="1" x14ac:dyDescent="0.3">
      <c r="A7183" s="1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</row>
    <row r="7184" spans="1:20" ht="45.75" customHeight="1" x14ac:dyDescent="0.3">
      <c r="A7184" s="1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</row>
    <row r="7185" spans="1:20" ht="45.75" customHeight="1" x14ac:dyDescent="0.3">
      <c r="A7185" s="1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</row>
    <row r="7186" spans="1:20" ht="45.75" customHeight="1" x14ac:dyDescent="0.3">
      <c r="A7186" s="1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</row>
    <row r="7187" spans="1:20" ht="45.75" customHeight="1" x14ac:dyDescent="0.3">
      <c r="A7187" s="1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</row>
    <row r="7188" spans="1:20" ht="45.75" customHeight="1" x14ac:dyDescent="0.3">
      <c r="A7188" s="1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</row>
    <row r="7189" spans="1:20" ht="45.75" customHeight="1" x14ac:dyDescent="0.3">
      <c r="A7189" s="1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</row>
    <row r="7190" spans="1:20" ht="45.75" customHeight="1" x14ac:dyDescent="0.3">
      <c r="A7190" s="1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</row>
    <row r="7191" spans="1:20" ht="45.75" customHeight="1" x14ac:dyDescent="0.3">
      <c r="A7191" s="1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</row>
    <row r="7192" spans="1:20" ht="45.75" customHeight="1" x14ac:dyDescent="0.3">
      <c r="A7192" s="1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</row>
    <row r="7193" spans="1:20" ht="45.75" customHeight="1" x14ac:dyDescent="0.3">
      <c r="A7193" s="1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</row>
    <row r="7194" spans="1:20" ht="45.75" customHeight="1" x14ac:dyDescent="0.3">
      <c r="A7194" s="1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</row>
    <row r="7195" spans="1:20" ht="45.75" customHeight="1" x14ac:dyDescent="0.3">
      <c r="A7195" s="1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</row>
    <row r="7196" spans="1:20" ht="45.75" customHeight="1" x14ac:dyDescent="0.3">
      <c r="A7196" s="1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</row>
    <row r="7197" spans="1:20" ht="45.75" customHeight="1" x14ac:dyDescent="0.3">
      <c r="A7197" s="1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</row>
    <row r="7198" spans="1:20" ht="45.75" customHeight="1" x14ac:dyDescent="0.3">
      <c r="A7198" s="1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</row>
    <row r="7199" spans="1:20" ht="45.75" customHeight="1" x14ac:dyDescent="0.3">
      <c r="A7199" s="1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</row>
    <row r="7200" spans="1:20" ht="45.75" customHeight="1" x14ac:dyDescent="0.3">
      <c r="A7200" s="1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</row>
    <row r="7201" spans="1:20" ht="45.75" customHeight="1" x14ac:dyDescent="0.3">
      <c r="A7201" s="1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</row>
    <row r="7202" spans="1:20" ht="45.75" customHeight="1" x14ac:dyDescent="0.3">
      <c r="A7202" s="1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</row>
    <row r="7203" spans="1:20" ht="45.75" customHeight="1" x14ac:dyDescent="0.3">
      <c r="A7203" s="1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</row>
    <row r="7204" spans="1:20" ht="45.75" customHeight="1" x14ac:dyDescent="0.3">
      <c r="A7204" s="1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</row>
    <row r="7205" spans="1:20" ht="45.75" customHeight="1" x14ac:dyDescent="0.3">
      <c r="A7205" s="1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</row>
    <row r="7206" spans="1:20" ht="45.75" customHeight="1" x14ac:dyDescent="0.3">
      <c r="A7206" s="1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</row>
    <row r="7207" spans="1:20" ht="45.75" customHeight="1" x14ac:dyDescent="0.3">
      <c r="A7207" s="1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</row>
    <row r="7208" spans="1:20" ht="45.75" customHeight="1" x14ac:dyDescent="0.3">
      <c r="A7208" s="1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</row>
    <row r="7209" spans="1:20" ht="45.75" customHeight="1" x14ac:dyDescent="0.3">
      <c r="A7209" s="1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</row>
    <row r="7210" spans="1:20" ht="45.75" customHeight="1" x14ac:dyDescent="0.3">
      <c r="A7210" s="1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</row>
    <row r="7211" spans="1:20" ht="45.75" customHeight="1" x14ac:dyDescent="0.3">
      <c r="A7211" s="1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</row>
    <row r="7212" spans="1:20" ht="45.75" customHeight="1" x14ac:dyDescent="0.3">
      <c r="A7212" s="1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</row>
    <row r="7213" spans="1:20" ht="45.75" customHeight="1" x14ac:dyDescent="0.3">
      <c r="A7213" s="1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</row>
    <row r="7214" spans="1:20" ht="45.75" customHeight="1" x14ac:dyDescent="0.3">
      <c r="A7214" s="1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</row>
    <row r="7215" spans="1:20" ht="45.75" customHeight="1" x14ac:dyDescent="0.3">
      <c r="A7215" s="1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</row>
    <row r="7216" spans="1:20" ht="45.75" customHeight="1" x14ac:dyDescent="0.3">
      <c r="A7216" s="1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</row>
    <row r="7217" spans="1:20" ht="45.75" customHeight="1" x14ac:dyDescent="0.3">
      <c r="A7217" s="1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</row>
    <row r="7218" spans="1:20" ht="45.75" customHeight="1" x14ac:dyDescent="0.3">
      <c r="A7218" s="1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</row>
    <row r="7219" spans="1:20" ht="45.75" customHeight="1" x14ac:dyDescent="0.3">
      <c r="A7219" s="1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</row>
    <row r="7220" spans="1:20" ht="45.75" customHeight="1" x14ac:dyDescent="0.3">
      <c r="A7220" s="1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</row>
    <row r="7221" spans="1:20" ht="45.75" customHeight="1" x14ac:dyDescent="0.3">
      <c r="A7221" s="1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</row>
    <row r="7222" spans="1:20" ht="45.75" customHeight="1" x14ac:dyDescent="0.3">
      <c r="A7222" s="1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</row>
    <row r="7223" spans="1:20" ht="45.75" customHeight="1" x14ac:dyDescent="0.3">
      <c r="A7223" s="1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</row>
    <row r="7224" spans="1:20" ht="45.75" customHeight="1" x14ac:dyDescent="0.3">
      <c r="A7224" s="1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</row>
    <row r="7225" spans="1:20" ht="45.75" customHeight="1" x14ac:dyDescent="0.3">
      <c r="A7225" s="1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</row>
    <row r="7226" spans="1:20" ht="45.75" customHeight="1" x14ac:dyDescent="0.3">
      <c r="A7226" s="1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</row>
    <row r="7227" spans="1:20" ht="45.75" customHeight="1" x14ac:dyDescent="0.3">
      <c r="A7227" s="1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</row>
    <row r="7228" spans="1:20" ht="45.75" customHeight="1" x14ac:dyDescent="0.3">
      <c r="A7228" s="1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</row>
    <row r="7229" spans="1:20" ht="45.75" customHeight="1" x14ac:dyDescent="0.3">
      <c r="A7229" s="1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</row>
    <row r="7230" spans="1:20" ht="45.75" customHeight="1" x14ac:dyDescent="0.3">
      <c r="A7230" s="1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</row>
    <row r="7231" spans="1:20" ht="45.75" customHeight="1" x14ac:dyDescent="0.3">
      <c r="A7231" s="1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</row>
    <row r="7232" spans="1:20" ht="45.75" customHeight="1" x14ac:dyDescent="0.3">
      <c r="A7232" s="1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</row>
    <row r="7233" spans="1:20" ht="45.75" customHeight="1" x14ac:dyDescent="0.3">
      <c r="A7233" s="1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</row>
    <row r="7234" spans="1:20" ht="45.75" customHeight="1" x14ac:dyDescent="0.3">
      <c r="A7234" s="1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</row>
    <row r="7235" spans="1:20" ht="45.75" customHeight="1" x14ac:dyDescent="0.3">
      <c r="A7235" s="1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</row>
    <row r="7236" spans="1:20" ht="45.75" customHeight="1" x14ac:dyDescent="0.3">
      <c r="A7236" s="1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</row>
    <row r="7237" spans="1:20" ht="45.75" customHeight="1" x14ac:dyDescent="0.3">
      <c r="A7237" s="1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</row>
    <row r="7238" spans="1:20" ht="45.75" customHeight="1" x14ac:dyDescent="0.3">
      <c r="A7238" s="1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</row>
    <row r="7239" spans="1:20" ht="45.75" customHeight="1" x14ac:dyDescent="0.3">
      <c r="A7239" s="1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</row>
    <row r="7240" spans="1:20" ht="45.75" customHeight="1" x14ac:dyDescent="0.3">
      <c r="A7240" s="1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</row>
    <row r="7241" spans="1:20" ht="45.75" customHeight="1" x14ac:dyDescent="0.3">
      <c r="A7241" s="1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</row>
    <row r="7242" spans="1:20" ht="45.75" customHeight="1" x14ac:dyDescent="0.3">
      <c r="A7242" s="1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</row>
    <row r="7243" spans="1:20" ht="45.75" customHeight="1" x14ac:dyDescent="0.3">
      <c r="A7243" s="1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</row>
    <row r="7244" spans="1:20" ht="45.75" customHeight="1" x14ac:dyDescent="0.3">
      <c r="A7244" s="1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</row>
    <row r="7245" spans="1:20" ht="45.75" customHeight="1" x14ac:dyDescent="0.3">
      <c r="A7245" s="1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</row>
    <row r="7246" spans="1:20" ht="45.75" customHeight="1" x14ac:dyDescent="0.3">
      <c r="A7246" s="1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</row>
    <row r="7247" spans="1:20" ht="45.75" customHeight="1" x14ac:dyDescent="0.3">
      <c r="A7247" s="1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</row>
    <row r="7248" spans="1:20" ht="45.75" customHeight="1" x14ac:dyDescent="0.3">
      <c r="A7248" s="1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</row>
    <row r="7249" spans="1:20" ht="45.75" customHeight="1" x14ac:dyDescent="0.3">
      <c r="A7249" s="1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</row>
    <row r="7250" spans="1:20" ht="45.75" customHeight="1" x14ac:dyDescent="0.3">
      <c r="A7250" s="1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</row>
    <row r="7251" spans="1:20" ht="45.75" customHeight="1" x14ac:dyDescent="0.3">
      <c r="A7251" s="1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</row>
    <row r="7252" spans="1:20" ht="45.75" customHeight="1" x14ac:dyDescent="0.3">
      <c r="A7252" s="1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</row>
    <row r="7253" spans="1:20" ht="45.75" customHeight="1" x14ac:dyDescent="0.3">
      <c r="A7253" s="1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</row>
    <row r="7254" spans="1:20" ht="45.75" customHeight="1" x14ac:dyDescent="0.3">
      <c r="A7254" s="1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</row>
    <row r="7255" spans="1:20" ht="45.75" customHeight="1" x14ac:dyDescent="0.3">
      <c r="A7255" s="1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</row>
    <row r="7256" spans="1:20" ht="45.75" customHeight="1" x14ac:dyDescent="0.3">
      <c r="A7256" s="1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</row>
    <row r="7257" spans="1:20" ht="45.75" customHeight="1" x14ac:dyDescent="0.3">
      <c r="A7257" s="1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</row>
    <row r="7258" spans="1:20" ht="45.75" customHeight="1" x14ac:dyDescent="0.3">
      <c r="A7258" s="1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</row>
    <row r="7259" spans="1:20" ht="45.75" customHeight="1" x14ac:dyDescent="0.3">
      <c r="A7259" s="1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</row>
    <row r="7260" spans="1:20" ht="45.75" customHeight="1" x14ac:dyDescent="0.3">
      <c r="A7260" s="1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</row>
    <row r="7261" spans="1:20" ht="45.75" customHeight="1" x14ac:dyDescent="0.3">
      <c r="A7261" s="1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</row>
    <row r="7262" spans="1:20" ht="45.75" customHeight="1" x14ac:dyDescent="0.3">
      <c r="A7262" s="1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</row>
    <row r="7263" spans="1:20" ht="45.75" customHeight="1" x14ac:dyDescent="0.3">
      <c r="A7263" s="1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</row>
    <row r="7264" spans="1:20" ht="45.75" customHeight="1" x14ac:dyDescent="0.3">
      <c r="A7264" s="1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</row>
    <row r="7265" spans="1:20" ht="45.75" customHeight="1" x14ac:dyDescent="0.3">
      <c r="A7265" s="1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</row>
    <row r="7266" spans="1:20" ht="45.75" customHeight="1" x14ac:dyDescent="0.3">
      <c r="A7266" s="1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</row>
    <row r="7267" spans="1:20" ht="45.75" customHeight="1" x14ac:dyDescent="0.3">
      <c r="A7267" s="1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</row>
    <row r="7268" spans="1:20" ht="45.75" customHeight="1" x14ac:dyDescent="0.3">
      <c r="A7268" s="1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</row>
    <row r="7269" spans="1:20" ht="45.75" customHeight="1" x14ac:dyDescent="0.3">
      <c r="A7269" s="1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</row>
    <row r="7270" spans="1:20" ht="45.75" customHeight="1" x14ac:dyDescent="0.3">
      <c r="A7270" s="1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</row>
    <row r="7271" spans="1:20" ht="45.75" customHeight="1" x14ac:dyDescent="0.3">
      <c r="A7271" s="1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</row>
    <row r="7272" spans="1:20" ht="45.75" customHeight="1" x14ac:dyDescent="0.3">
      <c r="A7272" s="1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</row>
    <row r="7273" spans="1:20" ht="45.75" customHeight="1" x14ac:dyDescent="0.3">
      <c r="A7273" s="1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</row>
    <row r="7274" spans="1:20" ht="45.75" customHeight="1" x14ac:dyDescent="0.3">
      <c r="A7274" s="1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</row>
    <row r="7275" spans="1:20" ht="45.75" customHeight="1" x14ac:dyDescent="0.3">
      <c r="A7275" s="1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</row>
    <row r="7276" spans="1:20" ht="45.75" customHeight="1" x14ac:dyDescent="0.3">
      <c r="A7276" s="1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</row>
    <row r="7277" spans="1:20" ht="45.75" customHeight="1" x14ac:dyDescent="0.3">
      <c r="A7277" s="1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</row>
    <row r="7278" spans="1:20" ht="45.75" customHeight="1" x14ac:dyDescent="0.3">
      <c r="A7278" s="1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</row>
    <row r="7279" spans="1:20" ht="45.75" customHeight="1" x14ac:dyDescent="0.3">
      <c r="A7279" s="1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</row>
    <row r="7280" spans="1:20" ht="45.75" customHeight="1" x14ac:dyDescent="0.3">
      <c r="A7280" s="1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</row>
    <row r="7281" spans="1:20" ht="45.75" customHeight="1" x14ac:dyDescent="0.3">
      <c r="A7281" s="1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</row>
    <row r="7282" spans="1:20" ht="45.75" customHeight="1" x14ac:dyDescent="0.3">
      <c r="A7282" s="1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</row>
    <row r="7283" spans="1:20" ht="45.75" customHeight="1" x14ac:dyDescent="0.3">
      <c r="A7283" s="1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</row>
    <row r="7284" spans="1:20" ht="45.75" customHeight="1" x14ac:dyDescent="0.3">
      <c r="A7284" s="1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</row>
    <row r="7285" spans="1:20" ht="45.75" customHeight="1" x14ac:dyDescent="0.3">
      <c r="A7285" s="1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</row>
    <row r="7286" spans="1:20" ht="45.75" customHeight="1" x14ac:dyDescent="0.3">
      <c r="A7286" s="1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</row>
    <row r="7287" spans="1:20" ht="45.75" customHeight="1" x14ac:dyDescent="0.3">
      <c r="A7287" s="1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</row>
    <row r="7288" spans="1:20" ht="45.75" customHeight="1" x14ac:dyDescent="0.3">
      <c r="A7288" s="1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</row>
    <row r="7289" spans="1:20" ht="45.75" customHeight="1" x14ac:dyDescent="0.3">
      <c r="A7289" s="1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</row>
    <row r="7290" spans="1:20" ht="45.75" customHeight="1" x14ac:dyDescent="0.3">
      <c r="A7290" s="1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</row>
    <row r="7291" spans="1:20" ht="45.75" customHeight="1" x14ac:dyDescent="0.3">
      <c r="A7291" s="1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</row>
    <row r="7292" spans="1:20" ht="45.75" customHeight="1" x14ac:dyDescent="0.3">
      <c r="A7292" s="1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</row>
    <row r="7293" spans="1:20" ht="45.75" customHeight="1" x14ac:dyDescent="0.3">
      <c r="A7293" s="1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</row>
    <row r="7294" spans="1:20" ht="45.75" customHeight="1" x14ac:dyDescent="0.3">
      <c r="A7294" s="1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</row>
    <row r="7295" spans="1:20" ht="45.75" customHeight="1" x14ac:dyDescent="0.3">
      <c r="A7295" s="1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</row>
    <row r="7296" spans="1:20" ht="45.75" customHeight="1" x14ac:dyDescent="0.3">
      <c r="A7296" s="1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</row>
    <row r="7297" spans="1:20" ht="45.75" customHeight="1" x14ac:dyDescent="0.3">
      <c r="A7297" s="1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</row>
    <row r="7298" spans="1:20" ht="45.75" customHeight="1" x14ac:dyDescent="0.3">
      <c r="A7298" s="1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</row>
    <row r="7299" spans="1:20" ht="45.75" customHeight="1" x14ac:dyDescent="0.3">
      <c r="A7299" s="1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</row>
    <row r="7300" spans="1:20" ht="45.75" customHeight="1" x14ac:dyDescent="0.3">
      <c r="A7300" s="1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</row>
    <row r="7301" spans="1:20" ht="45.75" customHeight="1" x14ac:dyDescent="0.3">
      <c r="A7301" s="1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</row>
    <row r="7302" spans="1:20" ht="45.75" customHeight="1" x14ac:dyDescent="0.3">
      <c r="A7302" s="1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</row>
    <row r="7303" spans="1:20" ht="45.75" customHeight="1" x14ac:dyDescent="0.3">
      <c r="A7303" s="1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</row>
    <row r="7304" spans="1:20" ht="45.75" customHeight="1" x14ac:dyDescent="0.3">
      <c r="A7304" s="1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</row>
    <row r="7305" spans="1:20" ht="45.75" customHeight="1" x14ac:dyDescent="0.3">
      <c r="A7305" s="1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</row>
    <row r="7306" spans="1:20" ht="45.75" customHeight="1" x14ac:dyDescent="0.3">
      <c r="A7306" s="1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</row>
    <row r="7307" spans="1:20" ht="45.75" customHeight="1" x14ac:dyDescent="0.3">
      <c r="A7307" s="1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</row>
    <row r="7308" spans="1:20" ht="45.75" customHeight="1" x14ac:dyDescent="0.3">
      <c r="A7308" s="1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</row>
    <row r="7309" spans="1:20" ht="45.75" customHeight="1" x14ac:dyDescent="0.3">
      <c r="A7309" s="1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</row>
    <row r="7310" spans="1:20" ht="45.75" customHeight="1" x14ac:dyDescent="0.3">
      <c r="A7310" s="1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</row>
    <row r="7311" spans="1:20" ht="45.75" customHeight="1" x14ac:dyDescent="0.3">
      <c r="A7311" s="1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</row>
    <row r="7312" spans="1:20" ht="45.75" customHeight="1" x14ac:dyDescent="0.3">
      <c r="A7312" s="1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</row>
    <row r="7313" spans="1:20" ht="45.75" customHeight="1" x14ac:dyDescent="0.3">
      <c r="A7313" s="1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</row>
    <row r="7314" spans="1:20" ht="45.75" customHeight="1" x14ac:dyDescent="0.3">
      <c r="A7314" s="1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</row>
    <row r="7315" spans="1:20" ht="45.75" customHeight="1" x14ac:dyDescent="0.3">
      <c r="A7315" s="1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</row>
    <row r="7316" spans="1:20" ht="45.75" customHeight="1" x14ac:dyDescent="0.3">
      <c r="A7316" s="1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</row>
    <row r="7317" spans="1:20" ht="45.75" customHeight="1" x14ac:dyDescent="0.3">
      <c r="A7317" s="1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</row>
    <row r="7318" spans="1:20" ht="45.75" customHeight="1" x14ac:dyDescent="0.3">
      <c r="A7318" s="1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</row>
    <row r="7319" spans="1:20" ht="45.75" customHeight="1" x14ac:dyDescent="0.3">
      <c r="A7319" s="1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</row>
    <row r="7320" spans="1:20" ht="45.75" customHeight="1" x14ac:dyDescent="0.3">
      <c r="A7320" s="1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</row>
    <row r="7321" spans="1:20" ht="45.75" customHeight="1" x14ac:dyDescent="0.3">
      <c r="A7321" s="1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</row>
    <row r="7322" spans="1:20" ht="45.75" customHeight="1" x14ac:dyDescent="0.3">
      <c r="A7322" s="1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</row>
    <row r="7323" spans="1:20" ht="45.75" customHeight="1" x14ac:dyDescent="0.3">
      <c r="A7323" s="1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</row>
    <row r="7324" spans="1:20" ht="45.75" customHeight="1" x14ac:dyDescent="0.3">
      <c r="A7324" s="1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</row>
    <row r="7325" spans="1:20" ht="45.75" customHeight="1" x14ac:dyDescent="0.3">
      <c r="A7325" s="1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</row>
    <row r="7326" spans="1:20" ht="45.75" customHeight="1" x14ac:dyDescent="0.3">
      <c r="A7326" s="1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</row>
    <row r="7327" spans="1:20" ht="45.75" customHeight="1" x14ac:dyDescent="0.3">
      <c r="A7327" s="1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</row>
    <row r="7328" spans="1:20" ht="45.75" customHeight="1" x14ac:dyDescent="0.3">
      <c r="A7328" s="1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</row>
    <row r="7329" spans="1:20" ht="45.75" customHeight="1" x14ac:dyDescent="0.3">
      <c r="A7329" s="1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</row>
    <row r="7330" spans="1:20" ht="45.75" customHeight="1" x14ac:dyDescent="0.3">
      <c r="A7330" s="1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</row>
    <row r="7331" spans="1:20" ht="45.75" customHeight="1" x14ac:dyDescent="0.3">
      <c r="A7331" s="1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</row>
    <row r="7332" spans="1:20" ht="45.75" customHeight="1" x14ac:dyDescent="0.3">
      <c r="A7332" s="1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</row>
    <row r="7333" spans="1:20" ht="45.75" customHeight="1" x14ac:dyDescent="0.3">
      <c r="A7333" s="1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</row>
    <row r="7334" spans="1:20" ht="45.75" customHeight="1" x14ac:dyDescent="0.3">
      <c r="A7334" s="1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</row>
    <row r="7335" spans="1:20" ht="45.75" customHeight="1" x14ac:dyDescent="0.3">
      <c r="A7335" s="1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</row>
    <row r="7336" spans="1:20" ht="45.75" customHeight="1" x14ac:dyDescent="0.3">
      <c r="A7336" s="1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</row>
    <row r="7337" spans="1:20" ht="45.75" customHeight="1" x14ac:dyDescent="0.3">
      <c r="A7337" s="1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</row>
    <row r="7338" spans="1:20" ht="45.75" customHeight="1" x14ac:dyDescent="0.3">
      <c r="A7338" s="1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</row>
    <row r="7339" spans="1:20" ht="45.75" customHeight="1" x14ac:dyDescent="0.3">
      <c r="A7339" s="1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</row>
    <row r="7340" spans="1:20" ht="45.75" customHeight="1" x14ac:dyDescent="0.3">
      <c r="A7340" s="1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</row>
    <row r="7341" spans="1:20" ht="45.75" customHeight="1" x14ac:dyDescent="0.3">
      <c r="A7341" s="1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</row>
    <row r="7342" spans="1:20" ht="45.75" customHeight="1" x14ac:dyDescent="0.3">
      <c r="A7342" s="1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</row>
    <row r="7343" spans="1:20" ht="45.75" customHeight="1" x14ac:dyDescent="0.3">
      <c r="A7343" s="1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</row>
    <row r="7344" spans="1:20" ht="45.75" customHeight="1" x14ac:dyDescent="0.3">
      <c r="A7344" s="1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</row>
    <row r="7345" spans="1:20" ht="45.75" customHeight="1" x14ac:dyDescent="0.3">
      <c r="A7345" s="1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</row>
    <row r="7346" spans="1:20" ht="45.75" customHeight="1" x14ac:dyDescent="0.3">
      <c r="A7346" s="1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</row>
    <row r="7347" spans="1:20" ht="45.75" customHeight="1" x14ac:dyDescent="0.3">
      <c r="A7347" s="1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</row>
    <row r="7348" spans="1:20" ht="45.75" customHeight="1" x14ac:dyDescent="0.3">
      <c r="A7348" s="1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</row>
    <row r="7349" spans="1:20" ht="45.75" customHeight="1" x14ac:dyDescent="0.3">
      <c r="A7349" s="1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</row>
    <row r="7350" spans="1:20" ht="45.75" customHeight="1" x14ac:dyDescent="0.3">
      <c r="A7350" s="1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</row>
    <row r="7351" spans="1:20" ht="45.75" customHeight="1" x14ac:dyDescent="0.3">
      <c r="A7351" s="1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</row>
    <row r="7352" spans="1:20" ht="45.75" customHeight="1" x14ac:dyDescent="0.3">
      <c r="A7352" s="1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</row>
    <row r="7353" spans="1:20" ht="45.75" customHeight="1" x14ac:dyDescent="0.3">
      <c r="A7353" s="1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</row>
    <row r="7354" spans="1:20" ht="45.75" customHeight="1" x14ac:dyDescent="0.3">
      <c r="A7354" s="1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</row>
    <row r="7355" spans="1:20" ht="45.75" customHeight="1" x14ac:dyDescent="0.3">
      <c r="A7355" s="1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</row>
    <row r="7356" spans="1:20" ht="45.75" customHeight="1" x14ac:dyDescent="0.3">
      <c r="A7356" s="1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</row>
    <row r="7357" spans="1:20" ht="45.75" customHeight="1" x14ac:dyDescent="0.3">
      <c r="A7357" s="1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</row>
    <row r="7358" spans="1:20" ht="45.75" customHeight="1" x14ac:dyDescent="0.3">
      <c r="A7358" s="1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</row>
    <row r="7359" spans="1:20" ht="45.75" customHeight="1" x14ac:dyDescent="0.3">
      <c r="A7359" s="1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</row>
    <row r="7360" spans="1:20" ht="45.75" customHeight="1" x14ac:dyDescent="0.3">
      <c r="A7360" s="1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</row>
    <row r="7361" spans="1:20" ht="45.75" customHeight="1" x14ac:dyDescent="0.3">
      <c r="A7361" s="1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</row>
    <row r="7362" spans="1:20" ht="45.75" customHeight="1" x14ac:dyDescent="0.3">
      <c r="A7362" s="1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</row>
    <row r="7363" spans="1:20" ht="45.75" customHeight="1" x14ac:dyDescent="0.3">
      <c r="A7363" s="1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</row>
    <row r="7364" spans="1:20" ht="45.75" customHeight="1" x14ac:dyDescent="0.3">
      <c r="A7364" s="1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</row>
    <row r="7365" spans="1:20" ht="45.75" customHeight="1" x14ac:dyDescent="0.3">
      <c r="A7365" s="1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</row>
    <row r="7366" spans="1:20" ht="45.75" customHeight="1" x14ac:dyDescent="0.3">
      <c r="A7366" s="1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</row>
    <row r="7367" spans="1:20" ht="45.75" customHeight="1" x14ac:dyDescent="0.3">
      <c r="A7367" s="1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</row>
    <row r="7368" spans="1:20" ht="45.75" customHeight="1" x14ac:dyDescent="0.3">
      <c r="A7368" s="1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</row>
    <row r="7369" spans="1:20" ht="45.75" customHeight="1" x14ac:dyDescent="0.3">
      <c r="A7369" s="1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</row>
    <row r="7370" spans="1:20" ht="45.75" customHeight="1" x14ac:dyDescent="0.3">
      <c r="A7370" s="1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</row>
    <row r="7371" spans="1:20" ht="45.75" customHeight="1" x14ac:dyDescent="0.3">
      <c r="A7371" s="1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</row>
    <row r="7372" spans="1:20" ht="45.75" customHeight="1" x14ac:dyDescent="0.3">
      <c r="A7372" s="1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</row>
    <row r="7373" spans="1:20" ht="45.75" customHeight="1" x14ac:dyDescent="0.3">
      <c r="A7373" s="1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</row>
    <row r="7374" spans="1:20" ht="45.75" customHeight="1" x14ac:dyDescent="0.3">
      <c r="A7374" s="1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</row>
    <row r="7375" spans="1:20" ht="45.75" customHeight="1" x14ac:dyDescent="0.3">
      <c r="A7375" s="1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</row>
    <row r="7376" spans="1:20" ht="45.75" customHeight="1" x14ac:dyDescent="0.3">
      <c r="A7376" s="1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</row>
    <row r="7377" spans="1:20" ht="45.75" customHeight="1" x14ac:dyDescent="0.3">
      <c r="A7377" s="1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</row>
    <row r="7378" spans="1:20" ht="45.75" customHeight="1" x14ac:dyDescent="0.3">
      <c r="A7378" s="1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</row>
    <row r="7379" spans="1:20" ht="45.75" customHeight="1" x14ac:dyDescent="0.3">
      <c r="A7379" s="1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</row>
    <row r="7380" spans="1:20" ht="45.75" customHeight="1" x14ac:dyDescent="0.3">
      <c r="A7380" s="1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</row>
    <row r="7381" spans="1:20" ht="45.75" customHeight="1" x14ac:dyDescent="0.3">
      <c r="A7381" s="1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</row>
    <row r="7382" spans="1:20" ht="45.75" customHeight="1" x14ac:dyDescent="0.3">
      <c r="A7382" s="1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</row>
    <row r="7383" spans="1:20" ht="45.75" customHeight="1" x14ac:dyDescent="0.3">
      <c r="A7383" s="1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</row>
    <row r="7384" spans="1:20" ht="45.75" customHeight="1" x14ac:dyDescent="0.3">
      <c r="A7384" s="1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</row>
    <row r="7385" spans="1:20" ht="45.75" customHeight="1" x14ac:dyDescent="0.3">
      <c r="A7385" s="1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</row>
    <row r="7386" spans="1:20" ht="45.75" customHeight="1" x14ac:dyDescent="0.3">
      <c r="A7386" s="1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</row>
    <row r="7387" spans="1:20" ht="45.75" customHeight="1" x14ac:dyDescent="0.3">
      <c r="A7387" s="1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</row>
    <row r="7388" spans="1:20" ht="45.75" customHeight="1" x14ac:dyDescent="0.3">
      <c r="A7388" s="1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</row>
    <row r="7389" spans="1:20" ht="45.75" customHeight="1" x14ac:dyDescent="0.3">
      <c r="A7389" s="1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</row>
    <row r="7390" spans="1:20" ht="45.75" customHeight="1" x14ac:dyDescent="0.3">
      <c r="A7390" s="1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</row>
    <row r="7391" spans="1:20" ht="45.75" customHeight="1" x14ac:dyDescent="0.3">
      <c r="A7391" s="1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</row>
    <row r="7392" spans="1:20" ht="45.75" customHeight="1" x14ac:dyDescent="0.3">
      <c r="A7392" s="1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</row>
    <row r="7393" spans="1:20" ht="45.75" customHeight="1" x14ac:dyDescent="0.3">
      <c r="A7393" s="1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</row>
    <row r="7394" spans="1:20" ht="45.75" customHeight="1" x14ac:dyDescent="0.3">
      <c r="A7394" s="1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</row>
    <row r="7395" spans="1:20" ht="45.75" customHeight="1" x14ac:dyDescent="0.3">
      <c r="A7395" s="1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</row>
    <row r="7396" spans="1:20" ht="45.75" customHeight="1" x14ac:dyDescent="0.3">
      <c r="A7396" s="1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</row>
    <row r="7397" spans="1:20" ht="45.75" customHeight="1" x14ac:dyDescent="0.3">
      <c r="A7397" s="1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</row>
    <row r="7398" spans="1:20" ht="45.75" customHeight="1" x14ac:dyDescent="0.3">
      <c r="A7398" s="1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</row>
    <row r="7399" spans="1:20" ht="45.75" customHeight="1" x14ac:dyDescent="0.3">
      <c r="A7399" s="1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</row>
    <row r="7400" spans="1:20" ht="45.75" customHeight="1" x14ac:dyDescent="0.3">
      <c r="A7400" s="1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</row>
    <row r="7401" spans="1:20" ht="45.75" customHeight="1" x14ac:dyDescent="0.3">
      <c r="A7401" s="1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</row>
    <row r="7402" spans="1:20" ht="45.75" customHeight="1" x14ac:dyDescent="0.3">
      <c r="A7402" s="1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</row>
    <row r="7403" spans="1:20" ht="45.75" customHeight="1" x14ac:dyDescent="0.3">
      <c r="A7403" s="1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</row>
    <row r="7404" spans="1:20" ht="45.75" customHeight="1" x14ac:dyDescent="0.3">
      <c r="A7404" s="1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</row>
    <row r="7405" spans="1:20" ht="45.75" customHeight="1" x14ac:dyDescent="0.3">
      <c r="A7405" s="1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</row>
    <row r="7406" spans="1:20" ht="45.75" customHeight="1" x14ac:dyDescent="0.3">
      <c r="A7406" s="1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</row>
    <row r="7407" spans="1:20" ht="45.75" customHeight="1" x14ac:dyDescent="0.3">
      <c r="A7407" s="1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</row>
    <row r="7408" spans="1:20" ht="45.75" customHeight="1" x14ac:dyDescent="0.3">
      <c r="A7408" s="1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</row>
    <row r="7409" spans="1:20" ht="45.75" customHeight="1" x14ac:dyDescent="0.3">
      <c r="A7409" s="1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</row>
    <row r="7410" spans="1:20" ht="45.75" customHeight="1" x14ac:dyDescent="0.3">
      <c r="A7410" s="1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</row>
    <row r="7411" spans="1:20" ht="45.75" customHeight="1" x14ac:dyDescent="0.3">
      <c r="A7411" s="1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</row>
    <row r="7412" spans="1:20" ht="45.75" customHeight="1" x14ac:dyDescent="0.3">
      <c r="A7412" s="1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</row>
    <row r="7413" spans="1:20" ht="45.75" customHeight="1" x14ac:dyDescent="0.3">
      <c r="A7413" s="1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</row>
    <row r="7414" spans="1:20" ht="45.75" customHeight="1" x14ac:dyDescent="0.3">
      <c r="A7414" s="1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</row>
    <row r="7415" spans="1:20" ht="45.75" customHeight="1" x14ac:dyDescent="0.3">
      <c r="A7415" s="1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</row>
    <row r="7416" spans="1:20" ht="45.75" customHeight="1" x14ac:dyDescent="0.3">
      <c r="A7416" s="1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</row>
    <row r="7417" spans="1:20" ht="45.75" customHeight="1" x14ac:dyDescent="0.3">
      <c r="A7417" s="1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</row>
    <row r="7418" spans="1:20" ht="45.75" customHeight="1" x14ac:dyDescent="0.3">
      <c r="A7418" s="1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</row>
    <row r="7419" spans="1:20" ht="45.75" customHeight="1" x14ac:dyDescent="0.3">
      <c r="A7419" s="1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</row>
    <row r="7420" spans="1:20" ht="45.75" customHeight="1" x14ac:dyDescent="0.3">
      <c r="A7420" s="1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</row>
    <row r="7421" spans="1:20" ht="45.75" customHeight="1" x14ac:dyDescent="0.3">
      <c r="A7421" s="1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</row>
    <row r="7422" spans="1:20" ht="45.75" customHeight="1" x14ac:dyDescent="0.3">
      <c r="A7422" s="1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</row>
    <row r="7423" spans="1:20" ht="45.75" customHeight="1" x14ac:dyDescent="0.3">
      <c r="A7423" s="1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</row>
    <row r="7424" spans="1:20" ht="45.75" customHeight="1" x14ac:dyDescent="0.3">
      <c r="A7424" s="1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</row>
    <row r="7425" spans="1:20" ht="45.75" customHeight="1" x14ac:dyDescent="0.3">
      <c r="A7425" s="1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</row>
    <row r="7426" spans="1:20" ht="45.75" customHeight="1" x14ac:dyDescent="0.3">
      <c r="A7426" s="1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</row>
    <row r="7427" spans="1:20" ht="45.75" customHeight="1" x14ac:dyDescent="0.3">
      <c r="A7427" s="1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</row>
    <row r="7428" spans="1:20" ht="45.75" customHeight="1" x14ac:dyDescent="0.3">
      <c r="A7428" s="1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</row>
    <row r="7429" spans="1:20" ht="45.75" customHeight="1" x14ac:dyDescent="0.3">
      <c r="A7429" s="1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</row>
    <row r="7430" spans="1:20" ht="45.75" customHeight="1" x14ac:dyDescent="0.3">
      <c r="A7430" s="1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</row>
    <row r="7431" spans="1:20" ht="45.75" customHeight="1" x14ac:dyDescent="0.3">
      <c r="A7431" s="1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</row>
    <row r="7432" spans="1:20" ht="45.75" customHeight="1" x14ac:dyDescent="0.3">
      <c r="A7432" s="1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</row>
    <row r="7433" spans="1:20" ht="45.75" customHeight="1" x14ac:dyDescent="0.3">
      <c r="A7433" s="1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</row>
    <row r="7434" spans="1:20" ht="45.75" customHeight="1" x14ac:dyDescent="0.3">
      <c r="A7434" s="1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</row>
    <row r="7435" spans="1:20" ht="45.75" customHeight="1" x14ac:dyDescent="0.3">
      <c r="A7435" s="1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</row>
    <row r="7436" spans="1:20" ht="45.75" customHeight="1" x14ac:dyDescent="0.3">
      <c r="A7436" s="1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</row>
    <row r="7437" spans="1:20" ht="45.75" customHeight="1" x14ac:dyDescent="0.3">
      <c r="A7437" s="1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</row>
    <row r="7438" spans="1:20" ht="45.75" customHeight="1" x14ac:dyDescent="0.3">
      <c r="A7438" s="1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</row>
    <row r="7439" spans="1:20" ht="45.75" customHeight="1" x14ac:dyDescent="0.3">
      <c r="A7439" s="1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</row>
    <row r="7440" spans="1:20" ht="45.75" customHeight="1" x14ac:dyDescent="0.3">
      <c r="A7440" s="1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</row>
    <row r="7441" spans="1:20" ht="45.75" customHeight="1" x14ac:dyDescent="0.3">
      <c r="A7441" s="1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</row>
    <row r="7442" spans="1:20" ht="45.75" customHeight="1" x14ac:dyDescent="0.3">
      <c r="A7442" s="1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</row>
    <row r="7443" spans="1:20" ht="45.75" customHeight="1" x14ac:dyDescent="0.3">
      <c r="A7443" s="1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</row>
    <row r="7444" spans="1:20" ht="45.75" customHeight="1" x14ac:dyDescent="0.3">
      <c r="A7444" s="1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</row>
    <row r="7445" spans="1:20" ht="45.75" customHeight="1" x14ac:dyDescent="0.3">
      <c r="A7445" s="1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</row>
    <row r="7446" spans="1:20" ht="45.75" customHeight="1" x14ac:dyDescent="0.3">
      <c r="A7446" s="1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</row>
    <row r="7447" spans="1:20" ht="45.75" customHeight="1" x14ac:dyDescent="0.3">
      <c r="A7447" s="1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</row>
    <row r="7448" spans="1:20" ht="45.75" customHeight="1" x14ac:dyDescent="0.3">
      <c r="A7448" s="1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</row>
    <row r="7449" spans="1:20" ht="45.75" customHeight="1" x14ac:dyDescent="0.3">
      <c r="A7449" s="1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</row>
    <row r="7450" spans="1:20" ht="45.75" customHeight="1" x14ac:dyDescent="0.3">
      <c r="A7450" s="1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</row>
    <row r="7451" spans="1:20" ht="45.75" customHeight="1" x14ac:dyDescent="0.3">
      <c r="A7451" s="1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</row>
    <row r="7452" spans="1:20" ht="45.75" customHeight="1" x14ac:dyDescent="0.3">
      <c r="A7452" s="1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</row>
    <row r="7453" spans="1:20" ht="45.75" customHeight="1" x14ac:dyDescent="0.3">
      <c r="A7453" s="1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</row>
    <row r="7454" spans="1:20" ht="45.75" customHeight="1" x14ac:dyDescent="0.3">
      <c r="A7454" s="1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</row>
    <row r="7455" spans="1:20" ht="45.75" customHeight="1" x14ac:dyDescent="0.3">
      <c r="A7455" s="1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</row>
    <row r="7456" spans="1:20" ht="45.75" customHeight="1" x14ac:dyDescent="0.3">
      <c r="A7456" s="1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</row>
    <row r="7457" spans="1:20" ht="45.75" customHeight="1" x14ac:dyDescent="0.3">
      <c r="A7457" s="1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</row>
    <row r="7458" spans="1:20" ht="45.75" customHeight="1" x14ac:dyDescent="0.3">
      <c r="A7458" s="1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</row>
    <row r="7459" spans="1:20" ht="45.75" customHeight="1" x14ac:dyDescent="0.3">
      <c r="A7459" s="1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</row>
    <row r="7460" spans="1:20" ht="45.75" customHeight="1" x14ac:dyDescent="0.3">
      <c r="A7460" s="1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</row>
    <row r="7461" spans="1:20" ht="45.75" customHeight="1" x14ac:dyDescent="0.3">
      <c r="A7461" s="1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</row>
    <row r="7462" spans="1:20" ht="45.75" customHeight="1" x14ac:dyDescent="0.3">
      <c r="A7462" s="1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</row>
    <row r="7463" spans="1:20" ht="45.75" customHeight="1" x14ac:dyDescent="0.3">
      <c r="A7463" s="1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</row>
    <row r="7464" spans="1:20" ht="45.75" customHeight="1" x14ac:dyDescent="0.3">
      <c r="A7464" s="1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</row>
    <row r="7465" spans="1:20" ht="45.75" customHeight="1" x14ac:dyDescent="0.3">
      <c r="A7465" s="1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</row>
    <row r="7466" spans="1:20" ht="45.75" customHeight="1" x14ac:dyDescent="0.3">
      <c r="A7466" s="1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</row>
    <row r="7467" spans="1:20" ht="45.75" customHeight="1" x14ac:dyDescent="0.3">
      <c r="A7467" s="1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</row>
    <row r="7468" spans="1:20" ht="45.75" customHeight="1" x14ac:dyDescent="0.3">
      <c r="A7468" s="1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</row>
    <row r="7469" spans="1:20" ht="45.75" customHeight="1" x14ac:dyDescent="0.3">
      <c r="A7469" s="1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</row>
    <row r="7470" spans="1:20" ht="45.75" customHeight="1" x14ac:dyDescent="0.3">
      <c r="A7470" s="1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</row>
    <row r="7471" spans="1:20" ht="45.75" customHeight="1" x14ac:dyDescent="0.3">
      <c r="A7471" s="1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</row>
    <row r="7472" spans="1:20" ht="45.75" customHeight="1" x14ac:dyDescent="0.3">
      <c r="A7472" s="1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</row>
    <row r="7473" spans="1:20" ht="45.75" customHeight="1" x14ac:dyDescent="0.3">
      <c r="A7473" s="1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</row>
    <row r="7474" spans="1:20" ht="45.75" customHeight="1" x14ac:dyDescent="0.3">
      <c r="A7474" s="1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</row>
    <row r="7475" spans="1:20" ht="45.75" customHeight="1" x14ac:dyDescent="0.3">
      <c r="A7475" s="1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</row>
    <row r="7476" spans="1:20" ht="45.75" customHeight="1" x14ac:dyDescent="0.3">
      <c r="A7476" s="1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</row>
    <row r="7477" spans="1:20" ht="45.75" customHeight="1" x14ac:dyDescent="0.3">
      <c r="A7477" s="1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</row>
    <row r="7478" spans="1:20" ht="45.75" customHeight="1" x14ac:dyDescent="0.3">
      <c r="A7478" s="1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</row>
    <row r="7479" spans="1:20" ht="45.75" customHeight="1" x14ac:dyDescent="0.3">
      <c r="A7479" s="1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</row>
    <row r="7480" spans="1:20" ht="45.75" customHeight="1" x14ac:dyDescent="0.3">
      <c r="A7480" s="1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</row>
    <row r="7481" spans="1:20" ht="45.75" customHeight="1" x14ac:dyDescent="0.3">
      <c r="A7481" s="1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</row>
    <row r="7482" spans="1:20" ht="45.75" customHeight="1" x14ac:dyDescent="0.3">
      <c r="A7482" s="1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</row>
    <row r="7483" spans="1:20" ht="45.75" customHeight="1" x14ac:dyDescent="0.3">
      <c r="A7483" s="1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</row>
    <row r="7484" spans="1:20" ht="45.75" customHeight="1" x14ac:dyDescent="0.3">
      <c r="A7484" s="1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</row>
    <row r="7485" spans="1:20" ht="45.75" customHeight="1" x14ac:dyDescent="0.3">
      <c r="A7485" s="1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</row>
    <row r="7486" spans="1:20" ht="45.75" customHeight="1" x14ac:dyDescent="0.3">
      <c r="A7486" s="1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</row>
    <row r="7487" spans="1:20" ht="45.75" customHeight="1" x14ac:dyDescent="0.3">
      <c r="A7487" s="1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</row>
    <row r="7488" spans="1:20" ht="45.75" customHeight="1" x14ac:dyDescent="0.3">
      <c r="A7488" s="1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</row>
    <row r="7489" spans="1:20" ht="45.75" customHeight="1" x14ac:dyDescent="0.3">
      <c r="A7489" s="1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</row>
    <row r="7490" spans="1:20" ht="45.75" customHeight="1" x14ac:dyDescent="0.3">
      <c r="A7490" s="1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</row>
    <row r="7491" spans="1:20" ht="45.75" customHeight="1" x14ac:dyDescent="0.3">
      <c r="A7491" s="1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</row>
    <row r="7492" spans="1:20" ht="45.75" customHeight="1" x14ac:dyDescent="0.3">
      <c r="A7492" s="1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</row>
    <row r="7493" spans="1:20" ht="45.75" customHeight="1" x14ac:dyDescent="0.3">
      <c r="A7493" s="1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</row>
    <row r="7494" spans="1:20" ht="45.75" customHeight="1" x14ac:dyDescent="0.3">
      <c r="A7494" s="1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</row>
    <row r="7495" spans="1:20" ht="45.75" customHeight="1" x14ac:dyDescent="0.3">
      <c r="A7495" s="1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</row>
    <row r="7496" spans="1:20" ht="45.75" customHeight="1" x14ac:dyDescent="0.3">
      <c r="A7496" s="1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</row>
    <row r="7497" spans="1:20" ht="45.75" customHeight="1" x14ac:dyDescent="0.3">
      <c r="A7497" s="1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</row>
    <row r="7498" spans="1:20" ht="45.75" customHeight="1" x14ac:dyDescent="0.3">
      <c r="A7498" s="1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</row>
    <row r="7499" spans="1:20" ht="45.75" customHeight="1" x14ac:dyDescent="0.3">
      <c r="A7499" s="1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</row>
    <row r="7500" spans="1:20" ht="45.75" customHeight="1" x14ac:dyDescent="0.3">
      <c r="A7500" s="1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</row>
    <row r="7501" spans="1:20" ht="45.75" customHeight="1" x14ac:dyDescent="0.3">
      <c r="A7501" s="1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</row>
    <row r="7502" spans="1:20" ht="45.75" customHeight="1" x14ac:dyDescent="0.3">
      <c r="A7502" s="1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</row>
    <row r="7503" spans="1:20" ht="45.75" customHeight="1" x14ac:dyDescent="0.3">
      <c r="A7503" s="1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</row>
    <row r="7504" spans="1:20" ht="45.75" customHeight="1" x14ac:dyDescent="0.3">
      <c r="A7504" s="1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</row>
    <row r="7505" spans="1:20" ht="45.75" customHeight="1" x14ac:dyDescent="0.3">
      <c r="A7505" s="1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</row>
    <row r="7506" spans="1:20" ht="45.75" customHeight="1" x14ac:dyDescent="0.3">
      <c r="A7506" s="1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</row>
    <row r="7507" spans="1:20" ht="45.75" customHeight="1" x14ac:dyDescent="0.3">
      <c r="A7507" s="1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</row>
    <row r="7508" spans="1:20" ht="45.75" customHeight="1" x14ac:dyDescent="0.3">
      <c r="A7508" s="1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</row>
    <row r="7509" spans="1:20" ht="45.75" customHeight="1" x14ac:dyDescent="0.3">
      <c r="A7509" s="1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</row>
    <row r="7510" spans="1:20" ht="45.75" customHeight="1" x14ac:dyDescent="0.3">
      <c r="A7510" s="1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</row>
    <row r="7511" spans="1:20" ht="45.75" customHeight="1" x14ac:dyDescent="0.3">
      <c r="A7511" s="1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</row>
    <row r="7512" spans="1:20" ht="45.75" customHeight="1" x14ac:dyDescent="0.3">
      <c r="A7512" s="1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</row>
    <row r="7513" spans="1:20" ht="45.75" customHeight="1" x14ac:dyDescent="0.3">
      <c r="A7513" s="1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</row>
    <row r="7514" spans="1:20" ht="45.75" customHeight="1" x14ac:dyDescent="0.3">
      <c r="A7514" s="1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</row>
    <row r="7515" spans="1:20" ht="45.75" customHeight="1" x14ac:dyDescent="0.3">
      <c r="A7515" s="1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</row>
    <row r="7516" spans="1:20" ht="45.75" customHeight="1" x14ac:dyDescent="0.3">
      <c r="A7516" s="1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</row>
    <row r="7517" spans="1:20" ht="45.75" customHeight="1" x14ac:dyDescent="0.3">
      <c r="A7517" s="1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</row>
    <row r="7518" spans="1:20" ht="45.75" customHeight="1" x14ac:dyDescent="0.3">
      <c r="A7518" s="1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</row>
    <row r="7519" spans="1:20" ht="45.75" customHeight="1" x14ac:dyDescent="0.3">
      <c r="A7519" s="1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</row>
    <row r="7520" spans="1:20" ht="45.75" customHeight="1" x14ac:dyDescent="0.3">
      <c r="A7520" s="1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</row>
    <row r="7521" spans="1:20" ht="45.75" customHeight="1" x14ac:dyDescent="0.3">
      <c r="A7521" s="1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</row>
    <row r="7522" spans="1:20" ht="45.75" customHeight="1" x14ac:dyDescent="0.3">
      <c r="A7522" s="1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</row>
    <row r="7523" spans="1:20" ht="45.75" customHeight="1" x14ac:dyDescent="0.3">
      <c r="A7523" s="1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</row>
    <row r="7524" spans="1:20" ht="45.75" customHeight="1" x14ac:dyDescent="0.3">
      <c r="A7524" s="1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</row>
    <row r="7525" spans="1:20" ht="45.75" customHeight="1" x14ac:dyDescent="0.3">
      <c r="A7525" s="1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</row>
    <row r="7526" spans="1:20" ht="45.75" customHeight="1" x14ac:dyDescent="0.3">
      <c r="A7526" s="1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</row>
    <row r="7527" spans="1:20" ht="45.75" customHeight="1" x14ac:dyDescent="0.3">
      <c r="A7527" s="1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</row>
    <row r="7528" spans="1:20" ht="45.75" customHeight="1" x14ac:dyDescent="0.3">
      <c r="A7528" s="1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</row>
    <row r="7529" spans="1:20" ht="45.75" customHeight="1" x14ac:dyDescent="0.3">
      <c r="A7529" s="1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</row>
    <row r="7530" spans="1:20" ht="45.75" customHeight="1" x14ac:dyDescent="0.3">
      <c r="A7530" s="1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</row>
    <row r="7531" spans="1:20" ht="45.75" customHeight="1" x14ac:dyDescent="0.3">
      <c r="A7531" s="1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</row>
    <row r="7532" spans="1:20" ht="45.75" customHeight="1" x14ac:dyDescent="0.3">
      <c r="A7532" s="1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</row>
    <row r="7533" spans="1:20" ht="45.75" customHeight="1" x14ac:dyDescent="0.3">
      <c r="A7533" s="1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</row>
    <row r="7534" spans="1:20" ht="45.75" customHeight="1" x14ac:dyDescent="0.3">
      <c r="A7534" s="1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</row>
    <row r="7535" spans="1:20" ht="45.75" customHeight="1" x14ac:dyDescent="0.3">
      <c r="A7535" s="1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</row>
    <row r="7536" spans="1:20" ht="45.75" customHeight="1" x14ac:dyDescent="0.3">
      <c r="A7536" s="1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</row>
    <row r="7537" spans="1:20" ht="45.75" customHeight="1" x14ac:dyDescent="0.3">
      <c r="A7537" s="1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</row>
    <row r="7538" spans="1:20" ht="45.75" customHeight="1" x14ac:dyDescent="0.3">
      <c r="A7538" s="1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</row>
    <row r="7539" spans="1:20" ht="45.75" customHeight="1" x14ac:dyDescent="0.3">
      <c r="A7539" s="1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</row>
    <row r="7540" spans="1:20" ht="45.75" customHeight="1" x14ac:dyDescent="0.3">
      <c r="A7540" s="1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</row>
    <row r="7541" spans="1:20" ht="45.75" customHeight="1" x14ac:dyDescent="0.3">
      <c r="A7541" s="1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</row>
    <row r="7542" spans="1:20" ht="45.75" customHeight="1" x14ac:dyDescent="0.3">
      <c r="A7542" s="1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</row>
    <row r="7543" spans="1:20" ht="45.75" customHeight="1" x14ac:dyDescent="0.3">
      <c r="A7543" s="1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</row>
    <row r="7544" spans="1:20" ht="45.75" customHeight="1" x14ac:dyDescent="0.3">
      <c r="A7544" s="1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</row>
    <row r="7545" spans="1:20" ht="45.75" customHeight="1" x14ac:dyDescent="0.3">
      <c r="A7545" s="1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</row>
    <row r="7546" spans="1:20" ht="45.75" customHeight="1" x14ac:dyDescent="0.3">
      <c r="A7546" s="1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</row>
    <row r="7547" spans="1:20" ht="45.75" customHeight="1" x14ac:dyDescent="0.3">
      <c r="A7547" s="1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</row>
    <row r="7548" spans="1:20" ht="45.75" customHeight="1" x14ac:dyDescent="0.3">
      <c r="A7548" s="1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</row>
    <row r="7549" spans="1:20" ht="45.75" customHeight="1" x14ac:dyDescent="0.3">
      <c r="A7549" s="1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</row>
    <row r="7550" spans="1:20" ht="45.75" customHeight="1" x14ac:dyDescent="0.3">
      <c r="A7550" s="1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</row>
    <row r="7551" spans="1:20" ht="45.75" customHeight="1" x14ac:dyDescent="0.3">
      <c r="A7551" s="1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</row>
    <row r="7552" spans="1:20" ht="45.75" customHeight="1" x14ac:dyDescent="0.3">
      <c r="A7552" s="1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</row>
    <row r="7553" spans="1:20" ht="45.75" customHeight="1" x14ac:dyDescent="0.3">
      <c r="A7553" s="1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</row>
    <row r="7554" spans="1:20" ht="45.75" customHeight="1" x14ac:dyDescent="0.3">
      <c r="A7554" s="1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</row>
    <row r="7555" spans="1:20" ht="45.75" customHeight="1" x14ac:dyDescent="0.3">
      <c r="A7555" s="1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</row>
    <row r="7556" spans="1:20" ht="45.75" customHeight="1" x14ac:dyDescent="0.3">
      <c r="A7556" s="1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</row>
    <row r="7557" spans="1:20" ht="45.75" customHeight="1" x14ac:dyDescent="0.3">
      <c r="A7557" s="1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</row>
    <row r="7558" spans="1:20" ht="45.75" customHeight="1" x14ac:dyDescent="0.3">
      <c r="A7558" s="1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</row>
    <row r="7559" spans="1:20" ht="45.75" customHeight="1" x14ac:dyDescent="0.3">
      <c r="A7559" s="1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</row>
    <row r="7560" spans="1:20" ht="45.75" customHeight="1" x14ac:dyDescent="0.3">
      <c r="A7560" s="1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</row>
    <row r="7561" spans="1:20" ht="45.75" customHeight="1" x14ac:dyDescent="0.3">
      <c r="A7561" s="1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</row>
    <row r="7562" spans="1:20" ht="45.75" customHeight="1" x14ac:dyDescent="0.3">
      <c r="A7562" s="1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</row>
    <row r="7563" spans="1:20" ht="45.75" customHeight="1" x14ac:dyDescent="0.3">
      <c r="A7563" s="1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</row>
    <row r="7564" spans="1:20" ht="45.75" customHeight="1" x14ac:dyDescent="0.3">
      <c r="A7564" s="1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</row>
    <row r="7565" spans="1:20" ht="45.75" customHeight="1" x14ac:dyDescent="0.3">
      <c r="A7565" s="1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</row>
    <row r="7566" spans="1:20" ht="45.75" customHeight="1" x14ac:dyDescent="0.3">
      <c r="A7566" s="1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</row>
    <row r="7567" spans="1:20" ht="45.75" customHeight="1" x14ac:dyDescent="0.3">
      <c r="A7567" s="1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</row>
    <row r="7568" spans="1:20" ht="45.75" customHeight="1" x14ac:dyDescent="0.3">
      <c r="A7568" s="1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</row>
    <row r="7569" spans="1:20" ht="45.75" customHeight="1" x14ac:dyDescent="0.3">
      <c r="A7569" s="1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</row>
    <row r="7570" spans="1:20" ht="45.75" customHeight="1" x14ac:dyDescent="0.3">
      <c r="A7570" s="1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</row>
    <row r="7571" spans="1:20" ht="45.75" customHeight="1" x14ac:dyDescent="0.3">
      <c r="A7571" s="1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</row>
    <row r="7572" spans="1:20" ht="45.75" customHeight="1" x14ac:dyDescent="0.3">
      <c r="A7572" s="1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</row>
    <row r="7573" spans="1:20" ht="45.75" customHeight="1" x14ac:dyDescent="0.3">
      <c r="A7573" s="1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</row>
    <row r="7574" spans="1:20" ht="45.75" customHeight="1" x14ac:dyDescent="0.3">
      <c r="A7574" s="1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</row>
    <row r="7575" spans="1:20" ht="45.75" customHeight="1" x14ac:dyDescent="0.3">
      <c r="A7575" s="1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</row>
    <row r="7576" spans="1:20" ht="45.75" customHeight="1" x14ac:dyDescent="0.3">
      <c r="A7576" s="1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</row>
    <row r="7577" spans="1:20" ht="45.75" customHeight="1" x14ac:dyDescent="0.3">
      <c r="A7577" s="1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</row>
    <row r="7578" spans="1:20" ht="45.75" customHeight="1" x14ac:dyDescent="0.3">
      <c r="A7578" s="1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</row>
    <row r="7579" spans="1:20" ht="45.75" customHeight="1" x14ac:dyDescent="0.3">
      <c r="A7579" s="1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</row>
    <row r="7580" spans="1:20" ht="45.75" customHeight="1" x14ac:dyDescent="0.3">
      <c r="A7580" s="1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</row>
    <row r="7581" spans="1:20" ht="45.75" customHeight="1" x14ac:dyDescent="0.3">
      <c r="A7581" s="1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</row>
    <row r="7582" spans="1:20" ht="45.75" customHeight="1" x14ac:dyDescent="0.3">
      <c r="A7582" s="1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</row>
    <row r="7583" spans="1:20" ht="45.75" customHeight="1" x14ac:dyDescent="0.3">
      <c r="A7583" s="1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</row>
    <row r="7584" spans="1:20" ht="45.75" customHeight="1" x14ac:dyDescent="0.3">
      <c r="A7584" s="1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</row>
    <row r="7585" spans="1:20" ht="45.75" customHeight="1" x14ac:dyDescent="0.3">
      <c r="A7585" s="1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</row>
    <row r="7586" spans="1:20" ht="45.75" customHeight="1" x14ac:dyDescent="0.3">
      <c r="A7586" s="1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</row>
    <row r="7587" spans="1:20" ht="45.75" customHeight="1" x14ac:dyDescent="0.3">
      <c r="A7587" s="1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</row>
    <row r="7588" spans="1:20" ht="45.75" customHeight="1" x14ac:dyDescent="0.3">
      <c r="A7588" s="1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</row>
    <row r="7589" spans="1:20" ht="45.75" customHeight="1" x14ac:dyDescent="0.3">
      <c r="A7589" s="1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</row>
    <row r="7590" spans="1:20" ht="45.75" customHeight="1" x14ac:dyDescent="0.3">
      <c r="A7590" s="1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</row>
    <row r="7591" spans="1:20" ht="45.75" customHeight="1" x14ac:dyDescent="0.3">
      <c r="A7591" s="1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</row>
    <row r="7592" spans="1:20" ht="45.75" customHeight="1" x14ac:dyDescent="0.3">
      <c r="A7592" s="1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</row>
    <row r="7593" spans="1:20" ht="45.75" customHeight="1" x14ac:dyDescent="0.3">
      <c r="A7593" s="1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</row>
    <row r="7594" spans="1:20" ht="45.75" customHeight="1" x14ac:dyDescent="0.3">
      <c r="A7594" s="1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</row>
    <row r="7595" spans="1:20" ht="45.75" customHeight="1" x14ac:dyDescent="0.3">
      <c r="A7595" s="1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</row>
    <row r="7596" spans="1:20" ht="45.75" customHeight="1" x14ac:dyDescent="0.3">
      <c r="A7596" s="1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</row>
    <row r="7597" spans="1:20" ht="45.75" customHeight="1" x14ac:dyDescent="0.3">
      <c r="A7597" s="1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</row>
    <row r="7598" spans="1:20" ht="45.75" customHeight="1" x14ac:dyDescent="0.3">
      <c r="A7598" s="1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</row>
    <row r="7599" spans="1:20" ht="45.75" customHeight="1" x14ac:dyDescent="0.3">
      <c r="A7599" s="1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</row>
    <row r="7600" spans="1:20" ht="45.75" customHeight="1" x14ac:dyDescent="0.3">
      <c r="A7600" s="1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</row>
    <row r="7601" spans="1:20" ht="45.75" customHeight="1" x14ac:dyDescent="0.3">
      <c r="A7601" s="1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</row>
    <row r="7602" spans="1:20" ht="45.75" customHeight="1" x14ac:dyDescent="0.3">
      <c r="A7602" s="1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</row>
    <row r="7603" spans="1:20" ht="45.75" customHeight="1" x14ac:dyDescent="0.3">
      <c r="A7603" s="1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</row>
    <row r="7604" spans="1:20" ht="45.75" customHeight="1" x14ac:dyDescent="0.3">
      <c r="A7604" s="1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</row>
    <row r="7605" spans="1:20" ht="45.75" customHeight="1" x14ac:dyDescent="0.3">
      <c r="A7605" s="1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</row>
    <row r="7606" spans="1:20" ht="45.75" customHeight="1" x14ac:dyDescent="0.3">
      <c r="A7606" s="1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</row>
    <row r="7607" spans="1:20" ht="45.75" customHeight="1" x14ac:dyDescent="0.3">
      <c r="A7607" s="1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</row>
    <row r="7608" spans="1:20" ht="45.75" customHeight="1" x14ac:dyDescent="0.3">
      <c r="A7608" s="1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</row>
    <row r="7609" spans="1:20" ht="45.75" customHeight="1" x14ac:dyDescent="0.3">
      <c r="A7609" s="1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</row>
    <row r="7610" spans="1:20" ht="45.75" customHeight="1" x14ac:dyDescent="0.3">
      <c r="A7610" s="1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</row>
    <row r="7611" spans="1:20" ht="45.75" customHeight="1" x14ac:dyDescent="0.3">
      <c r="A7611" s="1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</row>
    <row r="7612" spans="1:20" ht="45.75" customHeight="1" x14ac:dyDescent="0.3">
      <c r="A7612" s="1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</row>
    <row r="7613" spans="1:20" ht="45.75" customHeight="1" x14ac:dyDescent="0.3">
      <c r="A7613" s="1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</row>
    <row r="7614" spans="1:20" ht="45.75" customHeight="1" x14ac:dyDescent="0.3">
      <c r="A7614" s="1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</row>
    <row r="7615" spans="1:20" ht="45.75" customHeight="1" x14ac:dyDescent="0.3">
      <c r="A7615" s="1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</row>
    <row r="7616" spans="1:20" ht="45.75" customHeight="1" x14ac:dyDescent="0.3">
      <c r="A7616" s="1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</row>
    <row r="7617" spans="1:20" ht="45.75" customHeight="1" x14ac:dyDescent="0.3">
      <c r="A7617" s="1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</row>
    <row r="7618" spans="1:20" ht="45.75" customHeight="1" x14ac:dyDescent="0.3">
      <c r="A7618" s="1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</row>
    <row r="7619" spans="1:20" ht="45.75" customHeight="1" x14ac:dyDescent="0.3">
      <c r="A7619" s="1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</row>
    <row r="7620" spans="1:20" ht="45.75" customHeight="1" x14ac:dyDescent="0.3">
      <c r="A7620" s="1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</row>
    <row r="7621" spans="1:20" ht="45.75" customHeight="1" x14ac:dyDescent="0.3">
      <c r="A7621" s="1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</row>
    <row r="7622" spans="1:20" ht="45.75" customHeight="1" x14ac:dyDescent="0.3">
      <c r="A7622" s="1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</row>
    <row r="7623" spans="1:20" ht="45.75" customHeight="1" x14ac:dyDescent="0.3">
      <c r="A7623" s="1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</row>
    <row r="7624" spans="1:20" ht="45.75" customHeight="1" x14ac:dyDescent="0.3">
      <c r="A7624" s="1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</row>
    <row r="7625" spans="1:20" ht="45.75" customHeight="1" x14ac:dyDescent="0.3">
      <c r="A7625" s="1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</row>
    <row r="7626" spans="1:20" ht="45.75" customHeight="1" x14ac:dyDescent="0.3">
      <c r="A7626" s="1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</row>
    <row r="7627" spans="1:20" ht="45.75" customHeight="1" x14ac:dyDescent="0.3">
      <c r="A7627" s="1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</row>
    <row r="7628" spans="1:20" ht="45.75" customHeight="1" x14ac:dyDescent="0.3">
      <c r="A7628" s="1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</row>
    <row r="7629" spans="1:20" ht="45.75" customHeight="1" x14ac:dyDescent="0.3">
      <c r="A7629" s="1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</row>
    <row r="7630" spans="1:20" ht="45.75" customHeight="1" x14ac:dyDescent="0.3">
      <c r="A7630" s="1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</row>
    <row r="7631" spans="1:20" ht="45.75" customHeight="1" x14ac:dyDescent="0.3">
      <c r="A7631" s="1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</row>
    <row r="7632" spans="1:20" ht="45.75" customHeight="1" x14ac:dyDescent="0.3">
      <c r="A7632" s="1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</row>
    <row r="7633" spans="1:20" ht="45.75" customHeight="1" x14ac:dyDescent="0.3">
      <c r="A7633" s="1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</row>
    <row r="7634" spans="1:20" ht="45.75" customHeight="1" x14ac:dyDescent="0.3">
      <c r="A7634" s="1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</row>
    <row r="7635" spans="1:20" ht="45.75" customHeight="1" x14ac:dyDescent="0.3">
      <c r="A7635" s="1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</row>
    <row r="7636" spans="1:20" ht="45.75" customHeight="1" x14ac:dyDescent="0.3">
      <c r="A7636" s="1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</row>
    <row r="7637" spans="1:20" ht="45.75" customHeight="1" x14ac:dyDescent="0.3">
      <c r="A7637" s="1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</row>
    <row r="7638" spans="1:20" ht="45.75" customHeight="1" x14ac:dyDescent="0.3">
      <c r="A7638" s="1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</row>
    <row r="7639" spans="1:20" ht="45.75" customHeight="1" x14ac:dyDescent="0.3">
      <c r="A7639" s="1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</row>
    <row r="7640" spans="1:20" ht="45.75" customHeight="1" x14ac:dyDescent="0.3">
      <c r="A7640" s="1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</row>
    <row r="7641" spans="1:20" ht="45.75" customHeight="1" x14ac:dyDescent="0.3">
      <c r="A7641" s="1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</row>
    <row r="7642" spans="1:20" ht="45.75" customHeight="1" x14ac:dyDescent="0.3">
      <c r="A7642" s="1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</row>
    <row r="7643" spans="1:20" ht="45.75" customHeight="1" x14ac:dyDescent="0.3">
      <c r="A7643" s="1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</row>
    <row r="7644" spans="1:20" ht="45.75" customHeight="1" x14ac:dyDescent="0.3">
      <c r="A7644" s="1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</row>
    <row r="7645" spans="1:20" ht="45.75" customHeight="1" x14ac:dyDescent="0.3">
      <c r="A7645" s="1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</row>
    <row r="7646" spans="1:20" ht="45.75" customHeight="1" x14ac:dyDescent="0.3">
      <c r="A7646" s="1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</row>
    <row r="7647" spans="1:20" ht="45.75" customHeight="1" x14ac:dyDescent="0.3">
      <c r="A7647" s="1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</row>
    <row r="7648" spans="1:20" ht="45.75" customHeight="1" x14ac:dyDescent="0.3">
      <c r="A7648" s="1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</row>
    <row r="7649" spans="1:20" ht="45.75" customHeight="1" x14ac:dyDescent="0.3">
      <c r="A7649" s="1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</row>
    <row r="7650" spans="1:20" ht="45.75" customHeight="1" x14ac:dyDescent="0.3">
      <c r="A7650" s="1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</row>
    <row r="7651" spans="1:20" ht="45.75" customHeight="1" x14ac:dyDescent="0.3">
      <c r="A7651" s="1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</row>
    <row r="7652" spans="1:20" ht="45.75" customHeight="1" x14ac:dyDescent="0.3">
      <c r="A7652" s="1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</row>
    <row r="7653" spans="1:20" ht="45.75" customHeight="1" x14ac:dyDescent="0.3">
      <c r="A7653" s="1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</row>
    <row r="7654" spans="1:20" ht="45.75" customHeight="1" x14ac:dyDescent="0.3">
      <c r="A7654" s="1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</row>
    <row r="7655" spans="1:20" ht="45.75" customHeight="1" x14ac:dyDescent="0.3">
      <c r="A7655" s="1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</row>
    <row r="7656" spans="1:20" ht="45.75" customHeight="1" x14ac:dyDescent="0.3">
      <c r="A7656" s="1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</row>
    <row r="7657" spans="1:20" ht="45.75" customHeight="1" x14ac:dyDescent="0.3">
      <c r="A7657" s="1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</row>
    <row r="7658" spans="1:20" ht="45.75" customHeight="1" x14ac:dyDescent="0.3">
      <c r="A7658" s="1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</row>
    <row r="7659" spans="1:20" ht="45.75" customHeight="1" x14ac:dyDescent="0.3">
      <c r="A7659" s="1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</row>
    <row r="7660" spans="1:20" ht="45.75" customHeight="1" x14ac:dyDescent="0.3">
      <c r="A7660" s="1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</row>
    <row r="7661" spans="1:20" ht="45.75" customHeight="1" x14ac:dyDescent="0.3">
      <c r="A7661" s="1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</row>
    <row r="7662" spans="1:20" ht="45.75" customHeight="1" x14ac:dyDescent="0.3">
      <c r="A7662" s="1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</row>
    <row r="7663" spans="1:20" ht="45.75" customHeight="1" x14ac:dyDescent="0.3">
      <c r="A7663" s="1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</row>
    <row r="7664" spans="1:20" ht="45.75" customHeight="1" x14ac:dyDescent="0.3">
      <c r="A7664" s="1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</row>
    <row r="7665" spans="1:20" ht="45.75" customHeight="1" x14ac:dyDescent="0.3">
      <c r="A7665" s="1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</row>
    <row r="7666" spans="1:20" ht="45.75" customHeight="1" x14ac:dyDescent="0.3">
      <c r="A7666" s="1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</row>
    <row r="7667" spans="1:20" ht="45.75" customHeight="1" x14ac:dyDescent="0.3">
      <c r="A7667" s="1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</row>
    <row r="7668" spans="1:20" ht="45.75" customHeight="1" x14ac:dyDescent="0.3">
      <c r="A7668" s="1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</row>
    <row r="7669" spans="1:20" ht="45.75" customHeight="1" x14ac:dyDescent="0.3">
      <c r="A7669" s="1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</row>
    <row r="7670" spans="1:20" ht="45.75" customHeight="1" x14ac:dyDescent="0.3">
      <c r="A7670" s="1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</row>
    <row r="7671" spans="1:20" ht="45.75" customHeight="1" x14ac:dyDescent="0.3">
      <c r="A7671" s="1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</row>
    <row r="7672" spans="1:20" ht="45.75" customHeight="1" x14ac:dyDescent="0.3">
      <c r="A7672" s="1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</row>
    <row r="7673" spans="1:20" ht="45.75" customHeight="1" x14ac:dyDescent="0.3">
      <c r="A7673" s="1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</row>
    <row r="7674" spans="1:20" ht="45.75" customHeight="1" x14ac:dyDescent="0.3">
      <c r="A7674" s="1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</row>
    <row r="7675" spans="1:20" ht="45.75" customHeight="1" x14ac:dyDescent="0.3">
      <c r="A7675" s="1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</row>
    <row r="7676" spans="1:20" ht="45.75" customHeight="1" x14ac:dyDescent="0.3">
      <c r="A7676" s="1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</row>
    <row r="7677" spans="1:20" ht="45.75" customHeight="1" x14ac:dyDescent="0.3">
      <c r="A7677" s="1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</row>
    <row r="7678" spans="1:20" ht="45.75" customHeight="1" x14ac:dyDescent="0.3">
      <c r="A7678" s="1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</row>
    <row r="7679" spans="1:20" ht="45.75" customHeight="1" x14ac:dyDescent="0.3">
      <c r="A7679" s="1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</row>
    <row r="7680" spans="1:20" ht="45.75" customHeight="1" x14ac:dyDescent="0.3">
      <c r="A7680" s="1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</row>
    <row r="7681" spans="1:20" ht="45.75" customHeight="1" x14ac:dyDescent="0.3">
      <c r="A7681" s="1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</row>
    <row r="7682" spans="1:20" ht="45.75" customHeight="1" x14ac:dyDescent="0.3">
      <c r="A7682" s="1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</row>
    <row r="7683" spans="1:20" ht="45.75" customHeight="1" x14ac:dyDescent="0.3">
      <c r="A7683" s="1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</row>
    <row r="7684" spans="1:20" ht="45.75" customHeight="1" x14ac:dyDescent="0.3">
      <c r="A7684" s="1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</row>
    <row r="7685" spans="1:20" ht="45.75" customHeight="1" x14ac:dyDescent="0.3">
      <c r="A7685" s="1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</row>
    <row r="7686" spans="1:20" ht="45.75" customHeight="1" x14ac:dyDescent="0.3">
      <c r="A7686" s="1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</row>
    <row r="7687" spans="1:20" ht="45.75" customHeight="1" x14ac:dyDescent="0.3">
      <c r="A7687" s="1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</row>
    <row r="7688" spans="1:20" ht="45.75" customHeight="1" x14ac:dyDescent="0.3">
      <c r="A7688" s="1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</row>
    <row r="7689" spans="1:20" ht="45.75" customHeight="1" x14ac:dyDescent="0.3">
      <c r="A7689" s="1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</row>
    <row r="7690" spans="1:20" ht="45.75" customHeight="1" x14ac:dyDescent="0.3">
      <c r="A7690" s="1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</row>
    <row r="7691" spans="1:20" ht="45.75" customHeight="1" x14ac:dyDescent="0.3">
      <c r="A7691" s="1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</row>
    <row r="7692" spans="1:20" ht="45.75" customHeight="1" x14ac:dyDescent="0.3">
      <c r="A7692" s="1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</row>
    <row r="7693" spans="1:20" ht="45.75" customHeight="1" x14ac:dyDescent="0.3">
      <c r="A7693" s="1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</row>
    <row r="7694" spans="1:20" ht="45.75" customHeight="1" x14ac:dyDescent="0.3">
      <c r="A7694" s="1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</row>
    <row r="7695" spans="1:20" ht="45.75" customHeight="1" x14ac:dyDescent="0.3">
      <c r="A7695" s="1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</row>
    <row r="7696" spans="1:20" ht="45.75" customHeight="1" x14ac:dyDescent="0.3">
      <c r="A7696" s="1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</row>
    <row r="7697" spans="1:20" ht="45.75" customHeight="1" x14ac:dyDescent="0.3">
      <c r="A7697" s="1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</row>
    <row r="7698" spans="1:20" ht="45.75" customHeight="1" x14ac:dyDescent="0.3">
      <c r="A7698" s="1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</row>
    <row r="7699" spans="1:20" ht="45.75" customHeight="1" x14ac:dyDescent="0.3">
      <c r="A7699" s="1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</row>
    <row r="7700" spans="1:20" ht="45.75" customHeight="1" x14ac:dyDescent="0.3">
      <c r="A7700" s="1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</row>
    <row r="7701" spans="1:20" ht="45.75" customHeight="1" x14ac:dyDescent="0.3">
      <c r="A7701" s="1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</row>
    <row r="7702" spans="1:20" ht="45.75" customHeight="1" x14ac:dyDescent="0.3">
      <c r="A7702" s="1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</row>
    <row r="7703" spans="1:20" ht="45.75" customHeight="1" x14ac:dyDescent="0.3">
      <c r="A7703" s="1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</row>
    <row r="7704" spans="1:20" ht="45.75" customHeight="1" x14ac:dyDescent="0.3">
      <c r="A7704" s="1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</row>
    <row r="7705" spans="1:20" ht="45.75" customHeight="1" x14ac:dyDescent="0.3">
      <c r="A7705" s="1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</row>
    <row r="7706" spans="1:20" ht="45.75" customHeight="1" x14ac:dyDescent="0.3">
      <c r="A7706" s="1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</row>
    <row r="7707" spans="1:20" ht="45.75" customHeight="1" x14ac:dyDescent="0.3">
      <c r="A7707" s="1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</row>
    <row r="7708" spans="1:20" ht="45.75" customHeight="1" x14ac:dyDescent="0.3">
      <c r="A7708" s="1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</row>
    <row r="7709" spans="1:20" ht="45.75" customHeight="1" x14ac:dyDescent="0.3">
      <c r="A7709" s="1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</row>
    <row r="7710" spans="1:20" ht="45.75" customHeight="1" x14ac:dyDescent="0.3">
      <c r="A7710" s="1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</row>
    <row r="7711" spans="1:20" ht="45.75" customHeight="1" x14ac:dyDescent="0.3">
      <c r="A7711" s="1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</row>
    <row r="7712" spans="1:20" ht="45.75" customHeight="1" x14ac:dyDescent="0.3">
      <c r="A7712" s="1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</row>
    <row r="7713" spans="1:20" ht="45.75" customHeight="1" x14ac:dyDescent="0.3">
      <c r="A7713" s="1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</row>
    <row r="7714" spans="1:20" ht="45.75" customHeight="1" x14ac:dyDescent="0.3">
      <c r="A7714" s="1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</row>
    <row r="7715" spans="1:20" ht="45.75" customHeight="1" x14ac:dyDescent="0.3">
      <c r="A7715" s="1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</row>
    <row r="7716" spans="1:20" ht="45.75" customHeight="1" x14ac:dyDescent="0.3">
      <c r="A7716" s="1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</row>
    <row r="7717" spans="1:20" ht="45.75" customHeight="1" x14ac:dyDescent="0.3">
      <c r="A7717" s="1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</row>
    <row r="7718" spans="1:20" ht="45.75" customHeight="1" x14ac:dyDescent="0.3">
      <c r="A7718" s="1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</row>
    <row r="7719" spans="1:20" ht="45.75" customHeight="1" x14ac:dyDescent="0.3">
      <c r="A7719" s="1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</row>
    <row r="7720" spans="1:20" ht="45.75" customHeight="1" x14ac:dyDescent="0.3">
      <c r="A7720" s="1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</row>
    <row r="7721" spans="1:20" ht="45.75" customHeight="1" x14ac:dyDescent="0.3">
      <c r="A7721" s="1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</row>
    <row r="7722" spans="1:20" ht="45.75" customHeight="1" x14ac:dyDescent="0.3">
      <c r="A7722" s="1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</row>
    <row r="7723" spans="1:20" ht="45.75" customHeight="1" x14ac:dyDescent="0.3">
      <c r="A7723" s="1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</row>
    <row r="7724" spans="1:20" ht="45.75" customHeight="1" x14ac:dyDescent="0.3">
      <c r="A7724" s="1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</row>
    <row r="7725" spans="1:20" ht="45.75" customHeight="1" x14ac:dyDescent="0.3">
      <c r="A7725" s="1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</row>
    <row r="7726" spans="1:20" ht="45.75" customHeight="1" x14ac:dyDescent="0.3">
      <c r="A7726" s="1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</row>
    <row r="7727" spans="1:20" ht="45.75" customHeight="1" x14ac:dyDescent="0.3">
      <c r="A7727" s="1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</row>
    <row r="7728" spans="1:20" ht="45.75" customHeight="1" x14ac:dyDescent="0.3">
      <c r="A7728" s="1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</row>
    <row r="7729" spans="1:20" ht="45.75" customHeight="1" x14ac:dyDescent="0.3">
      <c r="A7729" s="1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</row>
    <row r="7730" spans="1:20" ht="45.75" customHeight="1" x14ac:dyDescent="0.3">
      <c r="A7730" s="1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</row>
    <row r="7731" spans="1:20" ht="45.75" customHeight="1" x14ac:dyDescent="0.3">
      <c r="A7731" s="1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</row>
    <row r="7732" spans="1:20" ht="45.75" customHeight="1" x14ac:dyDescent="0.3">
      <c r="A7732" s="1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</row>
    <row r="7733" spans="1:20" ht="45.75" customHeight="1" x14ac:dyDescent="0.3">
      <c r="A7733" s="1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</row>
    <row r="7734" spans="1:20" ht="45.75" customHeight="1" x14ac:dyDescent="0.3">
      <c r="A7734" s="1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</row>
    <row r="7735" spans="1:20" ht="45.75" customHeight="1" x14ac:dyDescent="0.3">
      <c r="A7735" s="1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</row>
    <row r="7736" spans="1:20" ht="45.75" customHeight="1" x14ac:dyDescent="0.3">
      <c r="A7736" s="1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</row>
    <row r="7737" spans="1:20" ht="45.75" customHeight="1" x14ac:dyDescent="0.3">
      <c r="A7737" s="1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</row>
    <row r="7738" spans="1:20" ht="45.75" customHeight="1" x14ac:dyDescent="0.3">
      <c r="A7738" s="1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</row>
    <row r="7739" spans="1:20" ht="45.75" customHeight="1" x14ac:dyDescent="0.3">
      <c r="A7739" s="1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</row>
    <row r="7740" spans="1:20" ht="45.75" customHeight="1" x14ac:dyDescent="0.3">
      <c r="A7740" s="1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</row>
    <row r="7741" spans="1:20" ht="45.75" customHeight="1" x14ac:dyDescent="0.3">
      <c r="A7741" s="1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</row>
    <row r="7742" spans="1:20" ht="45.75" customHeight="1" x14ac:dyDescent="0.3">
      <c r="A7742" s="1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</row>
    <row r="7743" spans="1:20" ht="45.75" customHeight="1" x14ac:dyDescent="0.3">
      <c r="A7743" s="1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</row>
    <row r="7744" spans="1:20" ht="45.75" customHeight="1" x14ac:dyDescent="0.3">
      <c r="A7744" s="1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</row>
    <row r="7745" spans="1:20" ht="45.75" customHeight="1" x14ac:dyDescent="0.3">
      <c r="A7745" s="1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</row>
    <row r="7746" spans="1:20" ht="45.75" customHeight="1" x14ac:dyDescent="0.3">
      <c r="A7746" s="1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</row>
    <row r="7747" spans="1:20" ht="45.75" customHeight="1" x14ac:dyDescent="0.3">
      <c r="A7747" s="1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</row>
    <row r="7748" spans="1:20" ht="45.75" customHeight="1" x14ac:dyDescent="0.3">
      <c r="A7748" s="1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</row>
    <row r="7749" spans="1:20" ht="45.75" customHeight="1" x14ac:dyDescent="0.3">
      <c r="A7749" s="1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</row>
    <row r="7750" spans="1:20" ht="45.75" customHeight="1" x14ac:dyDescent="0.3">
      <c r="A7750" s="1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</row>
    <row r="7751" spans="1:20" ht="45.75" customHeight="1" x14ac:dyDescent="0.3">
      <c r="A7751" s="1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</row>
    <row r="7752" spans="1:20" ht="45.75" customHeight="1" x14ac:dyDescent="0.3">
      <c r="A7752" s="1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</row>
    <row r="7753" spans="1:20" ht="45.75" customHeight="1" x14ac:dyDescent="0.3">
      <c r="A7753" s="1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</row>
    <row r="7754" spans="1:20" ht="45.75" customHeight="1" x14ac:dyDescent="0.3">
      <c r="A7754" s="1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</row>
    <row r="7755" spans="1:20" ht="45.75" customHeight="1" x14ac:dyDescent="0.3">
      <c r="A7755" s="1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</row>
    <row r="7756" spans="1:20" ht="45.75" customHeight="1" x14ac:dyDescent="0.3">
      <c r="A7756" s="1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</row>
    <row r="7757" spans="1:20" ht="45.75" customHeight="1" x14ac:dyDescent="0.3">
      <c r="A7757" s="1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</row>
    <row r="7758" spans="1:20" ht="45.75" customHeight="1" x14ac:dyDescent="0.3">
      <c r="A7758" s="1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</row>
    <row r="7759" spans="1:20" ht="45.75" customHeight="1" x14ac:dyDescent="0.3">
      <c r="A7759" s="1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</row>
    <row r="7760" spans="1:20" ht="45.75" customHeight="1" x14ac:dyDescent="0.3">
      <c r="A7760" s="1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</row>
    <row r="7761" spans="1:20" ht="45.75" customHeight="1" x14ac:dyDescent="0.3">
      <c r="A7761" s="1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</row>
    <row r="7762" spans="1:20" ht="45.75" customHeight="1" x14ac:dyDescent="0.3">
      <c r="A7762" s="1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</row>
    <row r="7763" spans="1:20" ht="45.75" customHeight="1" x14ac:dyDescent="0.3">
      <c r="A7763" s="1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</row>
    <row r="7764" spans="1:20" ht="45.75" customHeight="1" x14ac:dyDescent="0.3">
      <c r="A7764" s="1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</row>
    <row r="7765" spans="1:20" ht="45.75" customHeight="1" x14ac:dyDescent="0.3">
      <c r="A7765" s="1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</row>
    <row r="7766" spans="1:20" ht="45.75" customHeight="1" x14ac:dyDescent="0.3">
      <c r="A7766" s="1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</row>
    <row r="7767" spans="1:20" ht="45.75" customHeight="1" x14ac:dyDescent="0.3">
      <c r="A7767" s="1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</row>
    <row r="7768" spans="1:20" ht="45.75" customHeight="1" x14ac:dyDescent="0.3">
      <c r="A7768" s="1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</row>
    <row r="7769" spans="1:20" ht="45.75" customHeight="1" x14ac:dyDescent="0.3">
      <c r="A7769" s="1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</row>
    <row r="7770" spans="1:20" ht="45.75" customHeight="1" x14ac:dyDescent="0.3">
      <c r="A7770" s="1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</row>
    <row r="7771" spans="1:20" ht="45.75" customHeight="1" x14ac:dyDescent="0.3">
      <c r="A7771" s="1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</row>
    <row r="7772" spans="1:20" ht="45.75" customHeight="1" x14ac:dyDescent="0.3">
      <c r="A7772" s="1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</row>
    <row r="7773" spans="1:20" ht="45.75" customHeight="1" x14ac:dyDescent="0.3">
      <c r="A7773" s="1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</row>
    <row r="7774" spans="1:20" ht="45.75" customHeight="1" x14ac:dyDescent="0.3">
      <c r="A7774" s="1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</row>
    <row r="7775" spans="1:20" ht="45.75" customHeight="1" x14ac:dyDescent="0.3">
      <c r="A7775" s="1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</row>
    <row r="7776" spans="1:20" ht="45.75" customHeight="1" x14ac:dyDescent="0.3">
      <c r="A7776" s="1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</row>
    <row r="7777" spans="1:20" ht="45.75" customHeight="1" x14ac:dyDescent="0.3">
      <c r="A7777" s="1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</row>
    <row r="7778" spans="1:20" ht="45.75" customHeight="1" x14ac:dyDescent="0.3">
      <c r="A7778" s="1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</row>
    <row r="7779" spans="1:20" ht="45.75" customHeight="1" x14ac:dyDescent="0.3">
      <c r="A7779" s="1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</row>
    <row r="7780" spans="1:20" ht="45.75" customHeight="1" x14ac:dyDescent="0.3">
      <c r="A7780" s="1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</row>
    <row r="7781" spans="1:20" ht="45.75" customHeight="1" x14ac:dyDescent="0.3">
      <c r="A7781" s="1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</row>
    <row r="7782" spans="1:20" ht="45.75" customHeight="1" x14ac:dyDescent="0.3">
      <c r="A7782" s="1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</row>
    <row r="7783" spans="1:20" ht="45.75" customHeight="1" x14ac:dyDescent="0.3">
      <c r="A7783" s="1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</row>
    <row r="7784" spans="1:20" ht="45.75" customHeight="1" x14ac:dyDescent="0.3">
      <c r="A7784" s="1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</row>
    <row r="7785" spans="1:20" ht="45.75" customHeight="1" x14ac:dyDescent="0.3">
      <c r="A7785" s="1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</row>
    <row r="7786" spans="1:20" ht="45.75" customHeight="1" x14ac:dyDescent="0.3">
      <c r="A7786" s="1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</row>
    <row r="7787" spans="1:20" ht="45.75" customHeight="1" x14ac:dyDescent="0.3">
      <c r="A7787" s="1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</row>
    <row r="7788" spans="1:20" ht="45.75" customHeight="1" x14ac:dyDescent="0.3">
      <c r="A7788" s="1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</row>
    <row r="7789" spans="1:20" ht="45.75" customHeight="1" x14ac:dyDescent="0.3">
      <c r="A7789" s="1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</row>
    <row r="7790" spans="1:20" ht="45.75" customHeight="1" x14ac:dyDescent="0.3">
      <c r="A7790" s="1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</row>
    <row r="7791" spans="1:20" ht="45.75" customHeight="1" x14ac:dyDescent="0.3">
      <c r="A7791" s="1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</row>
    <row r="7792" spans="1:20" ht="45.75" customHeight="1" x14ac:dyDescent="0.3">
      <c r="A7792" s="1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</row>
    <row r="7793" spans="1:20" ht="45.75" customHeight="1" x14ac:dyDescent="0.3">
      <c r="A7793" s="1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</row>
    <row r="7794" spans="1:20" ht="45.75" customHeight="1" x14ac:dyDescent="0.3">
      <c r="A7794" s="1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</row>
    <row r="7795" spans="1:20" ht="45.75" customHeight="1" x14ac:dyDescent="0.3">
      <c r="A7795" s="1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</row>
    <row r="7796" spans="1:20" ht="45.75" customHeight="1" x14ac:dyDescent="0.3">
      <c r="A7796" s="1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</row>
    <row r="7797" spans="1:20" ht="45.75" customHeight="1" x14ac:dyDescent="0.3">
      <c r="A7797" s="1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</row>
    <row r="7798" spans="1:20" ht="45.75" customHeight="1" x14ac:dyDescent="0.3">
      <c r="A7798" s="1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</row>
    <row r="7799" spans="1:20" ht="45.75" customHeight="1" x14ac:dyDescent="0.3">
      <c r="A7799" s="1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</row>
    <row r="7800" spans="1:20" ht="45.75" customHeight="1" x14ac:dyDescent="0.3">
      <c r="A7800" s="1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</row>
    <row r="7801" spans="1:20" ht="45.75" customHeight="1" x14ac:dyDescent="0.3">
      <c r="A7801" s="1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</row>
    <row r="7802" spans="1:20" ht="45.75" customHeight="1" x14ac:dyDescent="0.3">
      <c r="A7802" s="1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</row>
    <row r="7803" spans="1:20" ht="45.75" customHeight="1" x14ac:dyDescent="0.3">
      <c r="A7803" s="1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</row>
    <row r="7804" spans="1:20" ht="45.75" customHeight="1" x14ac:dyDescent="0.3">
      <c r="A7804" s="1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</row>
    <row r="7805" spans="1:20" ht="45.75" customHeight="1" x14ac:dyDescent="0.3">
      <c r="A7805" s="1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</row>
    <row r="7806" spans="1:20" ht="45.75" customHeight="1" x14ac:dyDescent="0.3">
      <c r="A7806" s="1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</row>
    <row r="7807" spans="1:20" ht="45.75" customHeight="1" x14ac:dyDescent="0.3">
      <c r="A7807" s="1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</row>
    <row r="7808" spans="1:20" ht="45.75" customHeight="1" x14ac:dyDescent="0.3">
      <c r="A7808" s="1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</row>
    <row r="7809" spans="1:20" ht="45.75" customHeight="1" x14ac:dyDescent="0.3">
      <c r="A7809" s="1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</row>
    <row r="7810" spans="1:20" ht="45.75" customHeight="1" x14ac:dyDescent="0.3">
      <c r="A7810" s="1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</row>
    <row r="7811" spans="1:20" ht="45.75" customHeight="1" x14ac:dyDescent="0.3">
      <c r="A7811" s="1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</row>
    <row r="7812" spans="1:20" ht="45.75" customHeight="1" x14ac:dyDescent="0.3">
      <c r="A7812" s="1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</row>
    <row r="7813" spans="1:20" ht="45.75" customHeight="1" x14ac:dyDescent="0.3">
      <c r="A7813" s="1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</row>
    <row r="7814" spans="1:20" ht="45.75" customHeight="1" x14ac:dyDescent="0.3">
      <c r="A7814" s="1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</row>
    <row r="7815" spans="1:20" ht="45.75" customHeight="1" x14ac:dyDescent="0.3">
      <c r="A7815" s="1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</row>
    <row r="7816" spans="1:20" ht="45.75" customHeight="1" x14ac:dyDescent="0.3">
      <c r="A7816" s="1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</row>
    <row r="7817" spans="1:20" ht="45.75" customHeight="1" x14ac:dyDescent="0.3">
      <c r="A7817" s="1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</row>
    <row r="7818" spans="1:20" ht="45.75" customHeight="1" x14ac:dyDescent="0.3">
      <c r="A7818" s="1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</row>
    <row r="7819" spans="1:20" ht="45.75" customHeight="1" x14ac:dyDescent="0.3">
      <c r="A7819" s="1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</row>
    <row r="7820" spans="1:20" ht="45.75" customHeight="1" x14ac:dyDescent="0.3">
      <c r="A7820" s="1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</row>
    <row r="7821" spans="1:20" ht="45.75" customHeight="1" x14ac:dyDescent="0.3">
      <c r="A7821" s="1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</row>
    <row r="7822" spans="1:20" ht="45.75" customHeight="1" x14ac:dyDescent="0.3">
      <c r="A7822" s="1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</row>
    <row r="7823" spans="1:20" ht="45.75" customHeight="1" x14ac:dyDescent="0.3">
      <c r="A7823" s="1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</row>
    <row r="7824" spans="1:20" ht="45.75" customHeight="1" x14ac:dyDescent="0.3">
      <c r="A7824" s="1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</row>
    <row r="7825" spans="1:20" ht="45.75" customHeight="1" x14ac:dyDescent="0.3">
      <c r="A7825" s="1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</row>
    <row r="7826" spans="1:20" ht="45.75" customHeight="1" x14ac:dyDescent="0.3">
      <c r="A7826" s="1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</row>
    <row r="7827" spans="1:20" ht="45.75" customHeight="1" x14ac:dyDescent="0.3">
      <c r="A7827" s="1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</row>
    <row r="7828" spans="1:20" ht="45.75" customHeight="1" x14ac:dyDescent="0.3">
      <c r="A7828" s="1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</row>
    <row r="7829" spans="1:20" ht="45.75" customHeight="1" x14ac:dyDescent="0.3">
      <c r="A7829" s="1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</row>
    <row r="7830" spans="1:20" ht="45.75" customHeight="1" x14ac:dyDescent="0.3">
      <c r="A7830" s="1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</row>
    <row r="7831" spans="1:20" ht="45.75" customHeight="1" x14ac:dyDescent="0.3">
      <c r="A7831" s="1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</row>
    <row r="7832" spans="1:20" ht="45.75" customHeight="1" x14ac:dyDescent="0.3">
      <c r="A7832" s="1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</row>
    <row r="7833" spans="1:20" ht="45.75" customHeight="1" x14ac:dyDescent="0.3">
      <c r="A7833" s="1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</row>
    <row r="7834" spans="1:20" ht="45.75" customHeight="1" x14ac:dyDescent="0.3">
      <c r="A7834" s="1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</row>
    <row r="7835" spans="1:20" ht="45.75" customHeight="1" x14ac:dyDescent="0.3">
      <c r="A7835" s="1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</row>
    <row r="7836" spans="1:20" ht="45.75" customHeight="1" x14ac:dyDescent="0.3">
      <c r="A7836" s="1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</row>
    <row r="7837" spans="1:20" ht="45.75" customHeight="1" x14ac:dyDescent="0.3">
      <c r="A7837" s="1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</row>
    <row r="7838" spans="1:20" ht="45.75" customHeight="1" x14ac:dyDescent="0.3">
      <c r="A7838" s="1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</row>
    <row r="7839" spans="1:20" ht="45.75" customHeight="1" x14ac:dyDescent="0.3">
      <c r="A7839" s="1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</row>
    <row r="7840" spans="1:20" ht="45.75" customHeight="1" x14ac:dyDescent="0.3">
      <c r="A7840" s="1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</row>
    <row r="7841" spans="1:20" ht="45.75" customHeight="1" x14ac:dyDescent="0.3">
      <c r="A7841" s="1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</row>
    <row r="7842" spans="1:20" ht="45.75" customHeight="1" x14ac:dyDescent="0.3">
      <c r="A7842" s="1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</row>
    <row r="7843" spans="1:20" ht="45.75" customHeight="1" x14ac:dyDescent="0.3">
      <c r="A7843" s="1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</row>
    <row r="7844" spans="1:20" ht="45.75" customHeight="1" x14ac:dyDescent="0.3">
      <c r="A7844" s="1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</row>
    <row r="7845" spans="1:20" ht="45.75" customHeight="1" x14ac:dyDescent="0.3">
      <c r="A7845" s="1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</row>
    <row r="7846" spans="1:20" ht="45.75" customHeight="1" x14ac:dyDescent="0.3">
      <c r="A7846" s="1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</row>
    <row r="7847" spans="1:20" ht="45.75" customHeight="1" x14ac:dyDescent="0.3">
      <c r="A7847" s="1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</row>
    <row r="7848" spans="1:20" ht="45.75" customHeight="1" x14ac:dyDescent="0.3">
      <c r="A7848" s="1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</row>
    <row r="7849" spans="1:20" ht="45.75" customHeight="1" x14ac:dyDescent="0.3">
      <c r="A7849" s="1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</row>
    <row r="7850" spans="1:20" ht="45.75" customHeight="1" x14ac:dyDescent="0.3">
      <c r="A7850" s="1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</row>
    <row r="7851" spans="1:20" ht="45.75" customHeight="1" x14ac:dyDescent="0.3">
      <c r="A7851" s="1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</row>
    <row r="7852" spans="1:20" ht="45.75" customHeight="1" x14ac:dyDescent="0.3">
      <c r="A7852" s="1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</row>
    <row r="7853" spans="1:20" ht="45.75" customHeight="1" x14ac:dyDescent="0.3">
      <c r="A7853" s="1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</row>
    <row r="7854" spans="1:20" ht="45.75" customHeight="1" x14ac:dyDescent="0.3">
      <c r="A7854" s="1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</row>
    <row r="7855" spans="1:20" ht="45.75" customHeight="1" x14ac:dyDescent="0.3">
      <c r="A7855" s="1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</row>
    <row r="7856" spans="1:20" ht="45.75" customHeight="1" x14ac:dyDescent="0.3">
      <c r="A7856" s="1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</row>
    <row r="7857" spans="1:20" ht="45.75" customHeight="1" x14ac:dyDescent="0.3">
      <c r="A7857" s="1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</row>
    <row r="7858" spans="1:20" ht="45.75" customHeight="1" x14ac:dyDescent="0.3">
      <c r="A7858" s="1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</row>
    <row r="7859" spans="1:20" ht="45.75" customHeight="1" x14ac:dyDescent="0.3">
      <c r="A7859" s="1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</row>
    <row r="7860" spans="1:20" ht="45.75" customHeight="1" x14ac:dyDescent="0.3">
      <c r="A7860" s="1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</row>
    <row r="7861" spans="1:20" ht="45.75" customHeight="1" x14ac:dyDescent="0.3">
      <c r="A7861" s="1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</row>
    <row r="7862" spans="1:20" ht="45.75" customHeight="1" x14ac:dyDescent="0.3">
      <c r="A7862" s="1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</row>
    <row r="7863" spans="1:20" ht="45.75" customHeight="1" x14ac:dyDescent="0.3">
      <c r="A7863" s="1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</row>
    <row r="7864" spans="1:20" ht="45.75" customHeight="1" x14ac:dyDescent="0.3">
      <c r="A7864" s="1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</row>
    <row r="7865" spans="1:20" ht="45.75" customHeight="1" x14ac:dyDescent="0.3">
      <c r="A7865" s="1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</row>
    <row r="7866" spans="1:20" ht="45.75" customHeight="1" x14ac:dyDescent="0.3">
      <c r="A7866" s="1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</row>
    <row r="7867" spans="1:20" ht="45.75" customHeight="1" x14ac:dyDescent="0.3">
      <c r="A7867" s="1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</row>
    <row r="7868" spans="1:20" ht="45.75" customHeight="1" x14ac:dyDescent="0.3">
      <c r="A7868" s="1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</row>
    <row r="7869" spans="1:20" ht="45.75" customHeight="1" x14ac:dyDescent="0.3">
      <c r="A7869" s="1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</row>
    <row r="7870" spans="1:20" ht="45.75" customHeight="1" x14ac:dyDescent="0.3">
      <c r="A7870" s="1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</row>
    <row r="7871" spans="1:20" ht="45.75" customHeight="1" x14ac:dyDescent="0.3">
      <c r="A7871" s="1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</row>
    <row r="7872" spans="1:20" ht="45.75" customHeight="1" x14ac:dyDescent="0.3">
      <c r="A7872" s="1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</row>
    <row r="7873" spans="1:20" ht="45.75" customHeight="1" x14ac:dyDescent="0.3">
      <c r="A7873" s="1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</row>
    <row r="7874" spans="1:20" ht="45.75" customHeight="1" x14ac:dyDescent="0.3">
      <c r="A7874" s="1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</row>
    <row r="7875" spans="1:20" ht="45.75" customHeight="1" x14ac:dyDescent="0.3">
      <c r="A7875" s="1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</row>
    <row r="7876" spans="1:20" ht="45.75" customHeight="1" x14ac:dyDescent="0.3">
      <c r="A7876" s="1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</row>
    <row r="7877" spans="1:20" ht="45.75" customHeight="1" x14ac:dyDescent="0.3">
      <c r="A7877" s="1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</row>
    <row r="7878" spans="1:20" ht="45.75" customHeight="1" x14ac:dyDescent="0.3">
      <c r="A7878" s="1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</row>
    <row r="7879" spans="1:20" ht="45.75" customHeight="1" x14ac:dyDescent="0.3">
      <c r="A7879" s="1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</row>
    <row r="7880" spans="1:20" ht="45.75" customHeight="1" x14ac:dyDescent="0.3">
      <c r="A7880" s="1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</row>
    <row r="7881" spans="1:20" ht="45.75" customHeight="1" x14ac:dyDescent="0.3">
      <c r="A7881" s="1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</row>
    <row r="7882" spans="1:20" ht="45.75" customHeight="1" x14ac:dyDescent="0.3">
      <c r="A7882" s="1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</row>
    <row r="7883" spans="1:20" ht="45.75" customHeight="1" x14ac:dyDescent="0.3">
      <c r="A7883" s="1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</row>
    <row r="7884" spans="1:20" ht="45.75" customHeight="1" x14ac:dyDescent="0.3">
      <c r="A7884" s="1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</row>
    <row r="7885" spans="1:20" ht="45.75" customHeight="1" x14ac:dyDescent="0.3">
      <c r="A7885" s="1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</row>
    <row r="7886" spans="1:20" ht="45.75" customHeight="1" x14ac:dyDescent="0.3">
      <c r="A7886" s="1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</row>
    <row r="7887" spans="1:20" ht="45.75" customHeight="1" x14ac:dyDescent="0.3">
      <c r="A7887" s="1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</row>
    <row r="7888" spans="1:20" ht="45.75" customHeight="1" x14ac:dyDescent="0.3">
      <c r="A7888" s="1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</row>
    <row r="7889" spans="1:20" ht="45.75" customHeight="1" x14ac:dyDescent="0.3">
      <c r="A7889" s="1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</row>
    <row r="7890" spans="1:20" ht="45.75" customHeight="1" x14ac:dyDescent="0.3">
      <c r="A7890" s="1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</row>
    <row r="7891" spans="1:20" ht="45.75" customHeight="1" x14ac:dyDescent="0.3">
      <c r="A7891" s="1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</row>
    <row r="7892" spans="1:20" ht="45.75" customHeight="1" x14ac:dyDescent="0.3">
      <c r="A7892" s="1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</row>
    <row r="7893" spans="1:20" ht="45.75" customHeight="1" x14ac:dyDescent="0.3">
      <c r="A7893" s="1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</row>
    <row r="7894" spans="1:20" ht="45.75" customHeight="1" x14ac:dyDescent="0.3">
      <c r="A7894" s="1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</row>
    <row r="7895" spans="1:20" ht="45.75" customHeight="1" x14ac:dyDescent="0.3">
      <c r="A7895" s="1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</row>
    <row r="7896" spans="1:20" ht="45.75" customHeight="1" x14ac:dyDescent="0.3">
      <c r="A7896" s="1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</row>
    <row r="7897" spans="1:20" ht="45.75" customHeight="1" x14ac:dyDescent="0.3">
      <c r="A7897" s="1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</row>
    <row r="7898" spans="1:20" ht="45.75" customHeight="1" x14ac:dyDescent="0.3">
      <c r="A7898" s="1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</row>
    <row r="7899" spans="1:20" ht="45.75" customHeight="1" x14ac:dyDescent="0.3">
      <c r="A7899" s="1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</row>
    <row r="7900" spans="1:20" ht="45.75" customHeight="1" x14ac:dyDescent="0.3">
      <c r="A7900" s="1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</row>
    <row r="7901" spans="1:20" ht="45.75" customHeight="1" x14ac:dyDescent="0.3">
      <c r="A7901" s="1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</row>
    <row r="7902" spans="1:20" ht="45.75" customHeight="1" x14ac:dyDescent="0.3">
      <c r="A7902" s="1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</row>
    <row r="7903" spans="1:20" ht="45.75" customHeight="1" x14ac:dyDescent="0.3">
      <c r="A7903" s="1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</row>
    <row r="7904" spans="1:20" ht="45.75" customHeight="1" x14ac:dyDescent="0.3">
      <c r="A7904" s="1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</row>
    <row r="7905" spans="1:20" ht="45.75" customHeight="1" x14ac:dyDescent="0.3">
      <c r="A7905" s="1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</row>
    <row r="7906" spans="1:20" ht="45.75" customHeight="1" x14ac:dyDescent="0.3">
      <c r="A7906" s="1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</row>
    <row r="7907" spans="1:20" ht="45.75" customHeight="1" x14ac:dyDescent="0.3">
      <c r="A7907" s="1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</row>
    <row r="7908" spans="1:20" ht="45.75" customHeight="1" x14ac:dyDescent="0.3">
      <c r="A7908" s="1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</row>
    <row r="7909" spans="1:20" ht="45.75" customHeight="1" x14ac:dyDescent="0.3">
      <c r="A7909" s="1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</row>
    <row r="7910" spans="1:20" ht="45.75" customHeight="1" x14ac:dyDescent="0.3">
      <c r="A7910" s="1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</row>
    <row r="7911" spans="1:20" ht="45.75" customHeight="1" x14ac:dyDescent="0.3">
      <c r="A7911" s="1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</row>
    <row r="7912" spans="1:20" ht="45.75" customHeight="1" x14ac:dyDescent="0.3">
      <c r="A7912" s="1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</row>
    <row r="7913" spans="1:20" ht="45.75" customHeight="1" x14ac:dyDescent="0.3">
      <c r="A7913" s="1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</row>
    <row r="7914" spans="1:20" ht="45.75" customHeight="1" x14ac:dyDescent="0.3">
      <c r="A7914" s="1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</row>
    <row r="7915" spans="1:20" ht="45.75" customHeight="1" x14ac:dyDescent="0.3">
      <c r="A7915" s="1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</row>
    <row r="7916" spans="1:20" ht="45.75" customHeight="1" x14ac:dyDescent="0.3">
      <c r="A7916" s="1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</row>
    <row r="7917" spans="1:20" ht="45.75" customHeight="1" x14ac:dyDescent="0.3">
      <c r="A7917" s="1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</row>
    <row r="7918" spans="1:20" ht="45.75" customHeight="1" x14ac:dyDescent="0.3">
      <c r="A7918" s="1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</row>
    <row r="7919" spans="1:20" ht="45.75" customHeight="1" x14ac:dyDescent="0.3">
      <c r="A7919" s="1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</row>
    <row r="7920" spans="1:20" ht="45.75" customHeight="1" x14ac:dyDescent="0.3">
      <c r="A7920" s="1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</row>
    <row r="7921" spans="1:20" ht="45.75" customHeight="1" x14ac:dyDescent="0.3">
      <c r="A7921" s="1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</row>
    <row r="7922" spans="1:20" ht="45.75" customHeight="1" x14ac:dyDescent="0.3">
      <c r="A7922" s="1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</row>
    <row r="7923" spans="1:20" ht="45.75" customHeight="1" x14ac:dyDescent="0.3">
      <c r="A7923" s="1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</row>
    <row r="7924" spans="1:20" ht="45.75" customHeight="1" x14ac:dyDescent="0.3">
      <c r="A7924" s="1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</row>
    <row r="7925" spans="1:20" ht="45.75" customHeight="1" x14ac:dyDescent="0.3">
      <c r="A7925" s="1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</row>
    <row r="7926" spans="1:20" ht="45.75" customHeight="1" x14ac:dyDescent="0.3">
      <c r="A7926" s="1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</row>
    <row r="7927" spans="1:20" ht="45.75" customHeight="1" x14ac:dyDescent="0.3">
      <c r="A7927" s="1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</row>
    <row r="7928" spans="1:20" ht="45.75" customHeight="1" x14ac:dyDescent="0.3">
      <c r="A7928" s="1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</row>
    <row r="7929" spans="1:20" ht="45.75" customHeight="1" x14ac:dyDescent="0.3">
      <c r="A7929" s="1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</row>
    <row r="7930" spans="1:20" ht="45.75" customHeight="1" x14ac:dyDescent="0.3">
      <c r="A7930" s="1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</row>
    <row r="7931" spans="1:20" ht="45.75" customHeight="1" x14ac:dyDescent="0.3">
      <c r="A7931" s="1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</row>
    <row r="7932" spans="1:20" ht="45.75" customHeight="1" x14ac:dyDescent="0.3">
      <c r="A7932" s="1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</row>
    <row r="7933" spans="1:20" ht="45.75" customHeight="1" x14ac:dyDescent="0.3">
      <c r="A7933" s="1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</row>
    <row r="7934" spans="1:20" ht="45.75" customHeight="1" x14ac:dyDescent="0.3">
      <c r="A7934" s="1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</row>
    <row r="7935" spans="1:20" ht="45.75" customHeight="1" x14ac:dyDescent="0.3">
      <c r="A7935" s="1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</row>
    <row r="7936" spans="1:20" ht="45.75" customHeight="1" x14ac:dyDescent="0.3">
      <c r="A7936" s="1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</row>
    <row r="7937" spans="1:20" ht="45.75" customHeight="1" x14ac:dyDescent="0.3">
      <c r="A7937" s="1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</row>
    <row r="7938" spans="1:20" ht="45.75" customHeight="1" x14ac:dyDescent="0.3">
      <c r="A7938" s="1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</row>
    <row r="7939" spans="1:20" ht="45.75" customHeight="1" x14ac:dyDescent="0.3">
      <c r="A7939" s="1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</row>
    <row r="7940" spans="1:20" ht="45.75" customHeight="1" x14ac:dyDescent="0.3">
      <c r="A7940" s="1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</row>
    <row r="7941" spans="1:20" ht="45.75" customHeight="1" x14ac:dyDescent="0.3">
      <c r="A7941" s="1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</row>
    <row r="7942" spans="1:20" ht="45.75" customHeight="1" x14ac:dyDescent="0.3">
      <c r="A7942" s="1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</row>
    <row r="7943" spans="1:20" ht="45.75" customHeight="1" x14ac:dyDescent="0.3">
      <c r="A7943" s="1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</row>
    <row r="7944" spans="1:20" ht="45.75" customHeight="1" x14ac:dyDescent="0.3">
      <c r="A7944" s="1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</row>
    <row r="7945" spans="1:20" ht="45.75" customHeight="1" x14ac:dyDescent="0.3">
      <c r="A7945" s="1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</row>
    <row r="7946" spans="1:20" ht="45.75" customHeight="1" x14ac:dyDescent="0.3">
      <c r="A7946" s="1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</row>
    <row r="7947" spans="1:20" ht="45.75" customHeight="1" x14ac:dyDescent="0.3">
      <c r="A7947" s="1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</row>
    <row r="7948" spans="1:20" ht="45.75" customHeight="1" x14ac:dyDescent="0.3">
      <c r="A7948" s="1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</row>
    <row r="7949" spans="1:20" ht="45.75" customHeight="1" x14ac:dyDescent="0.3">
      <c r="A7949" s="1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</row>
    <row r="7950" spans="1:20" ht="45.75" customHeight="1" x14ac:dyDescent="0.3">
      <c r="A7950" s="1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</row>
    <row r="7951" spans="1:20" ht="45.75" customHeight="1" x14ac:dyDescent="0.3">
      <c r="A7951" s="1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</row>
    <row r="7952" spans="1:20" ht="45.75" customHeight="1" x14ac:dyDescent="0.3">
      <c r="A7952" s="1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</row>
    <row r="7953" spans="1:20" ht="45.75" customHeight="1" x14ac:dyDescent="0.3">
      <c r="A7953" s="1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</row>
    <row r="7954" spans="1:20" ht="45.75" customHeight="1" x14ac:dyDescent="0.3">
      <c r="A7954" s="1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</row>
    <row r="7955" spans="1:20" ht="45.75" customHeight="1" x14ac:dyDescent="0.3">
      <c r="A7955" s="1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</row>
    <row r="7956" spans="1:20" ht="45.75" customHeight="1" x14ac:dyDescent="0.3">
      <c r="A7956" s="1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</row>
    <row r="7957" spans="1:20" ht="45.75" customHeight="1" x14ac:dyDescent="0.3">
      <c r="A7957" s="1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</row>
    <row r="7958" spans="1:20" ht="45.75" customHeight="1" x14ac:dyDescent="0.3">
      <c r="A7958" s="1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</row>
    <row r="7959" spans="1:20" ht="45.75" customHeight="1" x14ac:dyDescent="0.3">
      <c r="A7959" s="1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</row>
    <row r="7960" spans="1:20" ht="45.75" customHeight="1" x14ac:dyDescent="0.3">
      <c r="A7960" s="1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</row>
    <row r="7961" spans="1:20" ht="45.75" customHeight="1" x14ac:dyDescent="0.3">
      <c r="A7961" s="1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</row>
    <row r="7962" spans="1:20" ht="45.75" customHeight="1" x14ac:dyDescent="0.3">
      <c r="A7962" s="1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</row>
    <row r="7963" spans="1:20" ht="45.75" customHeight="1" x14ac:dyDescent="0.3">
      <c r="A7963" s="1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</row>
    <row r="7964" spans="1:20" ht="45.75" customHeight="1" x14ac:dyDescent="0.3">
      <c r="A7964" s="1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</row>
    <row r="7965" spans="1:20" ht="45.75" customHeight="1" x14ac:dyDescent="0.3">
      <c r="A7965" s="1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</row>
    <row r="7966" spans="1:20" ht="45.75" customHeight="1" x14ac:dyDescent="0.3">
      <c r="A7966" s="1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</row>
    <row r="7967" spans="1:20" ht="45.75" customHeight="1" x14ac:dyDescent="0.3">
      <c r="A7967" s="1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</row>
    <row r="7968" spans="1:20" ht="45.75" customHeight="1" x14ac:dyDescent="0.3">
      <c r="A7968" s="1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</row>
    <row r="7969" spans="1:20" ht="45.75" customHeight="1" x14ac:dyDescent="0.3">
      <c r="A7969" s="1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</row>
    <row r="7970" spans="1:20" ht="45.75" customHeight="1" x14ac:dyDescent="0.3">
      <c r="A7970" s="1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</row>
    <row r="7971" spans="1:20" ht="45.75" customHeight="1" x14ac:dyDescent="0.3">
      <c r="A7971" s="1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</row>
    <row r="7972" spans="1:20" ht="45.75" customHeight="1" x14ac:dyDescent="0.3">
      <c r="A7972" s="1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</row>
    <row r="7973" spans="1:20" ht="45.75" customHeight="1" x14ac:dyDescent="0.3">
      <c r="A7973" s="1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</row>
    <row r="7974" spans="1:20" ht="45.75" customHeight="1" x14ac:dyDescent="0.3">
      <c r="A7974" s="1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</row>
    <row r="7975" spans="1:20" ht="45.75" customHeight="1" x14ac:dyDescent="0.3">
      <c r="A7975" s="1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</row>
    <row r="7976" spans="1:20" ht="45.75" customHeight="1" x14ac:dyDescent="0.3">
      <c r="A7976" s="1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</row>
    <row r="7977" spans="1:20" ht="45.75" customHeight="1" x14ac:dyDescent="0.3">
      <c r="A7977" s="1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</row>
    <row r="7978" spans="1:20" ht="45.75" customHeight="1" x14ac:dyDescent="0.3">
      <c r="A7978" s="1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</row>
    <row r="7979" spans="1:20" ht="45.75" customHeight="1" x14ac:dyDescent="0.3">
      <c r="A7979" s="1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</row>
    <row r="7980" spans="1:20" ht="45.75" customHeight="1" x14ac:dyDescent="0.3">
      <c r="A7980" s="1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</row>
    <row r="7981" spans="1:20" ht="45.75" customHeight="1" x14ac:dyDescent="0.3">
      <c r="A7981" s="1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</row>
    <row r="7982" spans="1:20" ht="45.75" customHeight="1" x14ac:dyDescent="0.3">
      <c r="A7982" s="1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</row>
    <row r="7983" spans="1:20" ht="45.75" customHeight="1" x14ac:dyDescent="0.3">
      <c r="A7983" s="1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</row>
    <row r="7984" spans="1:20" ht="45.75" customHeight="1" x14ac:dyDescent="0.3">
      <c r="A7984" s="1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</row>
    <row r="7985" spans="1:20" ht="45.75" customHeight="1" x14ac:dyDescent="0.3">
      <c r="A7985" s="1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</row>
    <row r="7986" spans="1:20" ht="45.75" customHeight="1" x14ac:dyDescent="0.3">
      <c r="A7986" s="1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</row>
    <row r="7987" spans="1:20" ht="45.75" customHeight="1" x14ac:dyDescent="0.3">
      <c r="A7987" s="1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</row>
    <row r="7988" spans="1:20" ht="45.75" customHeight="1" x14ac:dyDescent="0.3">
      <c r="A7988" s="1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</row>
    <row r="7989" spans="1:20" ht="45.75" customHeight="1" x14ac:dyDescent="0.3">
      <c r="A7989" s="1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</row>
    <row r="7990" spans="1:20" ht="45.75" customHeight="1" x14ac:dyDescent="0.3">
      <c r="A7990" s="1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</row>
    <row r="7991" spans="1:20" ht="45.75" customHeight="1" x14ac:dyDescent="0.3">
      <c r="A7991" s="1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</row>
    <row r="7992" spans="1:20" ht="45.75" customHeight="1" x14ac:dyDescent="0.3">
      <c r="A7992" s="1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</row>
    <row r="7993" spans="1:20" ht="45.75" customHeight="1" x14ac:dyDescent="0.3">
      <c r="A7993" s="1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</row>
    <row r="7994" spans="1:20" ht="45.75" customHeight="1" x14ac:dyDescent="0.3">
      <c r="A7994" s="1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</row>
    <row r="7995" spans="1:20" ht="45.75" customHeight="1" x14ac:dyDescent="0.3">
      <c r="A7995" s="1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</row>
    <row r="7996" spans="1:20" ht="45.75" customHeight="1" x14ac:dyDescent="0.3">
      <c r="A7996" s="1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</row>
    <row r="7997" spans="1:20" ht="45.75" customHeight="1" x14ac:dyDescent="0.3">
      <c r="A7997" s="1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</row>
    <row r="7998" spans="1:20" ht="45.75" customHeight="1" x14ac:dyDescent="0.3">
      <c r="A7998" s="1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</row>
    <row r="7999" spans="1:20" ht="45.75" customHeight="1" x14ac:dyDescent="0.3">
      <c r="A7999" s="1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</row>
    <row r="8000" spans="1:20" ht="45.75" customHeight="1" x14ac:dyDescent="0.3">
      <c r="A8000" s="1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</row>
    <row r="8001" spans="1:20" ht="45.75" customHeight="1" x14ac:dyDescent="0.3">
      <c r="A8001" s="1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</row>
    <row r="8002" spans="1:20" ht="45.75" customHeight="1" x14ac:dyDescent="0.3">
      <c r="A8002" s="1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</row>
    <row r="8003" spans="1:20" ht="45.75" customHeight="1" x14ac:dyDescent="0.3">
      <c r="A8003" s="1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</row>
    <row r="8004" spans="1:20" ht="45.75" customHeight="1" x14ac:dyDescent="0.3">
      <c r="A8004" s="1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</row>
    <row r="8005" spans="1:20" ht="45.75" customHeight="1" x14ac:dyDescent="0.3">
      <c r="A8005" s="1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</row>
    <row r="8006" spans="1:20" ht="45.75" customHeight="1" x14ac:dyDescent="0.3">
      <c r="A8006" s="1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</row>
    <row r="8007" spans="1:20" ht="45.75" customHeight="1" x14ac:dyDescent="0.3">
      <c r="A8007" s="1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</row>
    <row r="8008" spans="1:20" ht="45.75" customHeight="1" x14ac:dyDescent="0.3">
      <c r="A8008" s="1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</row>
    <row r="8009" spans="1:20" ht="45.75" customHeight="1" x14ac:dyDescent="0.3">
      <c r="A8009" s="1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</row>
    <row r="8010" spans="1:20" ht="45.75" customHeight="1" x14ac:dyDescent="0.3">
      <c r="A8010" s="1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</row>
    <row r="8011" spans="1:20" ht="45.75" customHeight="1" x14ac:dyDescent="0.3">
      <c r="A8011" s="1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</row>
    <row r="8012" spans="1:20" ht="45.75" customHeight="1" x14ac:dyDescent="0.3">
      <c r="A8012" s="1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</row>
    <row r="8013" spans="1:20" ht="45.75" customHeight="1" x14ac:dyDescent="0.3">
      <c r="A8013" s="1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</row>
    <row r="8014" spans="1:20" ht="45.75" customHeight="1" x14ac:dyDescent="0.3">
      <c r="A8014" s="1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</row>
    <row r="8015" spans="1:20" ht="45.75" customHeight="1" x14ac:dyDescent="0.3">
      <c r="A8015" s="1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</row>
    <row r="8016" spans="1:20" ht="45.75" customHeight="1" x14ac:dyDescent="0.3">
      <c r="A8016" s="1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</row>
    <row r="8017" spans="1:20" ht="45.75" customHeight="1" x14ac:dyDescent="0.3">
      <c r="A8017" s="1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</row>
    <row r="8018" spans="1:20" ht="45.75" customHeight="1" x14ac:dyDescent="0.3">
      <c r="A8018" s="1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</row>
    <row r="8019" spans="1:20" ht="45.75" customHeight="1" x14ac:dyDescent="0.3">
      <c r="A8019" s="1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</row>
    <row r="8020" spans="1:20" ht="45.75" customHeight="1" x14ac:dyDescent="0.3">
      <c r="A8020" s="1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</row>
    <row r="8021" spans="1:20" ht="45.75" customHeight="1" x14ac:dyDescent="0.3">
      <c r="A8021" s="1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</row>
    <row r="8022" spans="1:20" ht="45.75" customHeight="1" x14ac:dyDescent="0.3">
      <c r="A8022" s="1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</row>
    <row r="8023" spans="1:20" ht="45.75" customHeight="1" x14ac:dyDescent="0.3">
      <c r="A8023" s="1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</row>
    <row r="8024" spans="1:20" ht="45.75" customHeight="1" x14ac:dyDescent="0.3">
      <c r="A8024" s="1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</row>
    <row r="8025" spans="1:20" ht="45.75" customHeight="1" x14ac:dyDescent="0.3">
      <c r="A8025" s="1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</row>
    <row r="8026" spans="1:20" ht="45.75" customHeight="1" x14ac:dyDescent="0.3">
      <c r="A8026" s="1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</row>
    <row r="8027" spans="1:20" ht="45.75" customHeight="1" x14ac:dyDescent="0.3">
      <c r="A8027" s="1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</row>
    <row r="8028" spans="1:20" ht="45.75" customHeight="1" x14ac:dyDescent="0.3">
      <c r="A8028" s="1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</row>
    <row r="8029" spans="1:20" ht="45.75" customHeight="1" x14ac:dyDescent="0.3">
      <c r="A8029" s="1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</row>
    <row r="8030" spans="1:20" ht="45.75" customHeight="1" x14ac:dyDescent="0.3">
      <c r="A8030" s="1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</row>
    <row r="8031" spans="1:20" ht="45.75" customHeight="1" x14ac:dyDescent="0.3">
      <c r="A8031" s="1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</row>
    <row r="8032" spans="1:20" ht="45.75" customHeight="1" x14ac:dyDescent="0.3">
      <c r="A8032" s="1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</row>
    <row r="8033" spans="1:20" ht="45.75" customHeight="1" x14ac:dyDescent="0.3">
      <c r="A8033" s="1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</row>
    <row r="8034" spans="1:20" ht="45.75" customHeight="1" x14ac:dyDescent="0.3">
      <c r="A8034" s="1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</row>
    <row r="8035" spans="1:20" ht="45.75" customHeight="1" x14ac:dyDescent="0.3">
      <c r="A8035" s="1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</row>
    <row r="8036" spans="1:20" ht="45.75" customHeight="1" x14ac:dyDescent="0.3">
      <c r="A8036" s="1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</row>
    <row r="8037" spans="1:20" ht="45.75" customHeight="1" x14ac:dyDescent="0.3">
      <c r="A8037" s="1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</row>
    <row r="8038" spans="1:20" ht="45.75" customHeight="1" x14ac:dyDescent="0.3">
      <c r="A8038" s="1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</row>
    <row r="8039" spans="1:20" ht="45.75" customHeight="1" x14ac:dyDescent="0.3">
      <c r="A8039" s="1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</row>
    <row r="8040" spans="1:20" ht="45.75" customHeight="1" x14ac:dyDescent="0.3">
      <c r="A8040" s="1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</row>
    <row r="8041" spans="1:20" ht="45.75" customHeight="1" x14ac:dyDescent="0.3">
      <c r="A8041" s="1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</row>
    <row r="8042" spans="1:20" ht="45.75" customHeight="1" x14ac:dyDescent="0.3">
      <c r="A8042" s="1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</row>
    <row r="8043" spans="1:20" ht="45.75" customHeight="1" x14ac:dyDescent="0.3">
      <c r="A8043" s="1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</row>
    <row r="8044" spans="1:20" ht="45.75" customHeight="1" x14ac:dyDescent="0.3">
      <c r="A8044" s="1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</row>
    <row r="8045" spans="1:20" ht="45.75" customHeight="1" x14ac:dyDescent="0.3">
      <c r="A8045" s="1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</row>
    <row r="8046" spans="1:20" ht="45.75" customHeight="1" x14ac:dyDescent="0.3">
      <c r="A8046" s="1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</row>
    <row r="8047" spans="1:20" ht="45.75" customHeight="1" x14ac:dyDescent="0.3">
      <c r="A8047" s="1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</row>
    <row r="8048" spans="1:20" ht="45.75" customHeight="1" x14ac:dyDescent="0.3">
      <c r="A8048" s="1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</row>
    <row r="8049" spans="1:20" ht="45.75" customHeight="1" x14ac:dyDescent="0.3">
      <c r="A8049" s="1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</row>
    <row r="8050" spans="1:20" ht="45.75" customHeight="1" x14ac:dyDescent="0.3">
      <c r="A8050" s="1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</row>
    <row r="8051" spans="1:20" ht="45.75" customHeight="1" x14ac:dyDescent="0.3">
      <c r="A8051" s="1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</row>
    <row r="8052" spans="1:20" ht="45.75" customHeight="1" x14ac:dyDescent="0.3">
      <c r="A8052" s="1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</row>
    <row r="8053" spans="1:20" ht="45.75" customHeight="1" x14ac:dyDescent="0.3">
      <c r="A8053" s="1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</row>
    <row r="8054" spans="1:20" ht="45.75" customHeight="1" x14ac:dyDescent="0.3">
      <c r="A8054" s="1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</row>
    <row r="8055" spans="1:20" ht="45.75" customHeight="1" x14ac:dyDescent="0.3">
      <c r="A8055" s="1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</row>
    <row r="8056" spans="1:20" ht="45.75" customHeight="1" x14ac:dyDescent="0.3">
      <c r="A8056" s="1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</row>
    <row r="8057" spans="1:20" ht="45.75" customHeight="1" x14ac:dyDescent="0.3">
      <c r="A8057" s="1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</row>
    <row r="8058" spans="1:20" ht="45.75" customHeight="1" x14ac:dyDescent="0.3">
      <c r="A8058" s="1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</row>
    <row r="8059" spans="1:20" ht="45.75" customHeight="1" x14ac:dyDescent="0.3">
      <c r="A8059" s="1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</row>
    <row r="8060" spans="1:20" ht="45.75" customHeight="1" x14ac:dyDescent="0.3">
      <c r="A8060" s="1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</row>
    <row r="8061" spans="1:20" ht="45.75" customHeight="1" x14ac:dyDescent="0.3">
      <c r="A8061" s="1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</row>
    <row r="8062" spans="1:20" ht="45.75" customHeight="1" x14ac:dyDescent="0.3">
      <c r="A8062" s="1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</row>
    <row r="8063" spans="1:20" ht="45.75" customHeight="1" x14ac:dyDescent="0.3">
      <c r="A8063" s="1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</row>
    <row r="8064" spans="1:20" ht="45.75" customHeight="1" x14ac:dyDescent="0.3">
      <c r="A8064" s="1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</row>
    <row r="8065" spans="1:20" ht="45.75" customHeight="1" x14ac:dyDescent="0.3">
      <c r="A8065" s="1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</row>
    <row r="8066" spans="1:20" ht="45.75" customHeight="1" x14ac:dyDescent="0.3">
      <c r="A8066" s="1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</row>
    <row r="8067" spans="1:20" ht="45.75" customHeight="1" x14ac:dyDescent="0.3">
      <c r="A8067" s="1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</row>
    <row r="8068" spans="1:20" ht="45.75" customHeight="1" x14ac:dyDescent="0.3">
      <c r="A8068" s="1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</row>
    <row r="8069" spans="1:20" ht="45.75" customHeight="1" x14ac:dyDescent="0.3">
      <c r="A8069" s="1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</row>
    <row r="8070" spans="1:20" ht="45.75" customHeight="1" x14ac:dyDescent="0.3">
      <c r="A8070" s="1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</row>
    <row r="8071" spans="1:20" ht="45.75" customHeight="1" x14ac:dyDescent="0.3">
      <c r="A8071" s="1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</row>
    <row r="8072" spans="1:20" ht="45.75" customHeight="1" x14ac:dyDescent="0.3">
      <c r="A8072" s="1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</row>
    <row r="8073" spans="1:20" ht="45.75" customHeight="1" x14ac:dyDescent="0.3">
      <c r="A8073" s="1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</row>
    <row r="8074" spans="1:20" ht="45.75" customHeight="1" x14ac:dyDescent="0.3">
      <c r="A8074" s="1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</row>
    <row r="8075" spans="1:20" ht="45.75" customHeight="1" x14ac:dyDescent="0.3">
      <c r="A8075" s="1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</row>
    <row r="8076" spans="1:20" ht="45.75" customHeight="1" x14ac:dyDescent="0.3">
      <c r="A8076" s="1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</row>
    <row r="8077" spans="1:20" ht="45.75" customHeight="1" x14ac:dyDescent="0.3">
      <c r="A8077" s="1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</row>
    <row r="8078" spans="1:20" ht="45.75" customHeight="1" x14ac:dyDescent="0.3">
      <c r="A8078" s="1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</row>
    <row r="8079" spans="1:20" ht="45.75" customHeight="1" x14ac:dyDescent="0.3">
      <c r="A8079" s="1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</row>
    <row r="8080" spans="1:20" ht="45.75" customHeight="1" x14ac:dyDescent="0.3">
      <c r="A8080" s="1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</row>
    <row r="8081" spans="1:20" ht="45.75" customHeight="1" x14ac:dyDescent="0.3">
      <c r="A8081" s="1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</row>
    <row r="8082" spans="1:20" ht="45.75" customHeight="1" x14ac:dyDescent="0.3">
      <c r="A8082" s="1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</row>
    <row r="8083" spans="1:20" ht="45.75" customHeight="1" x14ac:dyDescent="0.3">
      <c r="A8083" s="1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</row>
    <row r="8084" spans="1:20" ht="45.75" customHeight="1" x14ac:dyDescent="0.3">
      <c r="A8084" s="1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</row>
    <row r="8085" spans="1:20" ht="45.75" customHeight="1" x14ac:dyDescent="0.3">
      <c r="A8085" s="1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</row>
    <row r="8086" spans="1:20" ht="45.75" customHeight="1" x14ac:dyDescent="0.3">
      <c r="A8086" s="1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</row>
    <row r="8087" spans="1:20" ht="45.75" customHeight="1" x14ac:dyDescent="0.3">
      <c r="A8087" s="1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</row>
    <row r="8088" spans="1:20" ht="45.75" customHeight="1" x14ac:dyDescent="0.3">
      <c r="A8088" s="1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</row>
    <row r="8089" spans="1:20" ht="45.75" customHeight="1" x14ac:dyDescent="0.3">
      <c r="A8089" s="1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</row>
    <row r="8090" spans="1:20" ht="45.75" customHeight="1" x14ac:dyDescent="0.3">
      <c r="A8090" s="1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</row>
    <row r="8091" spans="1:20" ht="45.75" customHeight="1" x14ac:dyDescent="0.3">
      <c r="A8091" s="1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</row>
    <row r="8092" spans="1:20" ht="45.75" customHeight="1" x14ac:dyDescent="0.3">
      <c r="A8092" s="1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</row>
    <row r="8093" spans="1:20" ht="45.75" customHeight="1" x14ac:dyDescent="0.3">
      <c r="A8093" s="1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</row>
    <row r="8094" spans="1:20" ht="45.75" customHeight="1" x14ac:dyDescent="0.3">
      <c r="A8094" s="1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</row>
    <row r="8095" spans="1:20" ht="45.75" customHeight="1" x14ac:dyDescent="0.3">
      <c r="A8095" s="1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</row>
    <row r="8096" spans="1:20" ht="45.75" customHeight="1" x14ac:dyDescent="0.3">
      <c r="A8096" s="1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</row>
    <row r="8097" spans="1:20" ht="45.75" customHeight="1" x14ac:dyDescent="0.3">
      <c r="A8097" s="1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</row>
    <row r="8098" spans="1:20" ht="45.75" customHeight="1" x14ac:dyDescent="0.3">
      <c r="A8098" s="1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</row>
    <row r="8099" spans="1:20" ht="45.75" customHeight="1" x14ac:dyDescent="0.3">
      <c r="A8099" s="1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</row>
    <row r="8100" spans="1:20" ht="45.75" customHeight="1" x14ac:dyDescent="0.3">
      <c r="A8100" s="1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</row>
    <row r="8101" spans="1:20" ht="45.75" customHeight="1" x14ac:dyDescent="0.3">
      <c r="A8101" s="1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</row>
    <row r="8102" spans="1:20" ht="45.75" customHeight="1" x14ac:dyDescent="0.3">
      <c r="A8102" s="1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</row>
    <row r="8103" spans="1:20" ht="45.75" customHeight="1" x14ac:dyDescent="0.3">
      <c r="A8103" s="1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</row>
    <row r="8104" spans="1:20" ht="45.75" customHeight="1" x14ac:dyDescent="0.3">
      <c r="A8104" s="1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</row>
    <row r="8105" spans="1:20" ht="45.75" customHeight="1" x14ac:dyDescent="0.3">
      <c r="A8105" s="1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</row>
    <row r="8106" spans="1:20" ht="45.75" customHeight="1" x14ac:dyDescent="0.3">
      <c r="A8106" s="1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</row>
    <row r="8107" spans="1:20" ht="45.75" customHeight="1" x14ac:dyDescent="0.3">
      <c r="A8107" s="1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</row>
    <row r="8108" spans="1:20" ht="45.75" customHeight="1" x14ac:dyDescent="0.3">
      <c r="A8108" s="1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</row>
    <row r="8109" spans="1:20" ht="45.75" customHeight="1" x14ac:dyDescent="0.3">
      <c r="A8109" s="1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</row>
    <row r="8110" spans="1:20" ht="45.75" customHeight="1" x14ac:dyDescent="0.3">
      <c r="A8110" s="1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</row>
    <row r="8111" spans="1:20" ht="45.75" customHeight="1" x14ac:dyDescent="0.3">
      <c r="A8111" s="1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</row>
    <row r="8112" spans="1:20" ht="45.75" customHeight="1" x14ac:dyDescent="0.3">
      <c r="A8112" s="1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</row>
    <row r="8113" spans="1:20" ht="45.75" customHeight="1" x14ac:dyDescent="0.3">
      <c r="A8113" s="1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</row>
    <row r="8114" spans="1:20" ht="45.75" customHeight="1" x14ac:dyDescent="0.3">
      <c r="A8114" s="1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</row>
    <row r="8115" spans="1:20" ht="45.75" customHeight="1" x14ac:dyDescent="0.3">
      <c r="A8115" s="1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</row>
    <row r="8116" spans="1:20" ht="45.75" customHeight="1" x14ac:dyDescent="0.3">
      <c r="A8116" s="1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</row>
    <row r="8117" spans="1:20" ht="45.75" customHeight="1" x14ac:dyDescent="0.3">
      <c r="A8117" s="1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</row>
    <row r="8118" spans="1:20" ht="45.75" customHeight="1" x14ac:dyDescent="0.3">
      <c r="A8118" s="1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</row>
    <row r="8119" spans="1:20" ht="45.75" customHeight="1" x14ac:dyDescent="0.3">
      <c r="A8119" s="1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</row>
    <row r="8120" spans="1:20" ht="45.75" customHeight="1" x14ac:dyDescent="0.3">
      <c r="A8120" s="1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</row>
    <row r="8121" spans="1:20" ht="45.75" customHeight="1" x14ac:dyDescent="0.3">
      <c r="A8121" s="1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</row>
    <row r="8122" spans="1:20" ht="45.75" customHeight="1" x14ac:dyDescent="0.3">
      <c r="A8122" s="1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</row>
    <row r="8123" spans="1:20" ht="45.75" customHeight="1" x14ac:dyDescent="0.3">
      <c r="A8123" s="1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</row>
    <row r="8124" spans="1:20" ht="45.75" customHeight="1" x14ac:dyDescent="0.3">
      <c r="A8124" s="1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</row>
    <row r="8125" spans="1:20" ht="45.75" customHeight="1" x14ac:dyDescent="0.3">
      <c r="A8125" s="1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</row>
    <row r="8126" spans="1:20" ht="45.75" customHeight="1" x14ac:dyDescent="0.3">
      <c r="A8126" s="1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</row>
    <row r="8127" spans="1:20" ht="45.75" customHeight="1" x14ac:dyDescent="0.3">
      <c r="A8127" s="1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</row>
    <row r="8128" spans="1:20" ht="45.75" customHeight="1" x14ac:dyDescent="0.3">
      <c r="A8128" s="1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</row>
    <row r="8129" spans="1:20" ht="45.75" customHeight="1" x14ac:dyDescent="0.3">
      <c r="A8129" s="1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</row>
    <row r="8130" spans="1:20" ht="45.75" customHeight="1" x14ac:dyDescent="0.3">
      <c r="A8130" s="1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</row>
    <row r="8131" spans="1:20" ht="45.75" customHeight="1" x14ac:dyDescent="0.3">
      <c r="A8131" s="1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</row>
    <row r="8132" spans="1:20" ht="45.75" customHeight="1" x14ac:dyDescent="0.3">
      <c r="A8132" s="1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</row>
    <row r="8133" spans="1:20" ht="45.75" customHeight="1" x14ac:dyDescent="0.3">
      <c r="A8133" s="1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</row>
    <row r="8134" spans="1:20" ht="45.75" customHeight="1" x14ac:dyDescent="0.3">
      <c r="A8134" s="1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</row>
    <row r="8135" spans="1:20" ht="45.75" customHeight="1" x14ac:dyDescent="0.3">
      <c r="A8135" s="1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</row>
    <row r="8136" spans="1:20" ht="45.75" customHeight="1" x14ac:dyDescent="0.3">
      <c r="A8136" s="1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</row>
    <row r="8137" spans="1:20" ht="45.75" customHeight="1" x14ac:dyDescent="0.3">
      <c r="A8137" s="1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</row>
    <row r="8138" spans="1:20" ht="45.75" customHeight="1" x14ac:dyDescent="0.3">
      <c r="A8138" s="1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</row>
    <row r="8139" spans="1:20" ht="45.75" customHeight="1" x14ac:dyDescent="0.3">
      <c r="A8139" s="1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</row>
    <row r="8140" spans="1:20" ht="45.75" customHeight="1" x14ac:dyDescent="0.3">
      <c r="A8140" s="1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</row>
    <row r="8141" spans="1:20" ht="45.75" customHeight="1" x14ac:dyDescent="0.3">
      <c r="A8141" s="1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</row>
    <row r="8142" spans="1:20" ht="45.75" customHeight="1" x14ac:dyDescent="0.3">
      <c r="A8142" s="1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</row>
    <row r="8143" spans="1:20" ht="45.75" customHeight="1" x14ac:dyDescent="0.3">
      <c r="A8143" s="1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</row>
    <row r="8144" spans="1:20" ht="45.75" customHeight="1" x14ac:dyDescent="0.3">
      <c r="A8144" s="1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</row>
    <row r="8145" spans="1:20" ht="45.75" customHeight="1" x14ac:dyDescent="0.3">
      <c r="A8145" s="1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</row>
    <row r="8146" spans="1:20" ht="45.75" customHeight="1" x14ac:dyDescent="0.3">
      <c r="A8146" s="1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</row>
    <row r="8147" spans="1:20" ht="45.75" customHeight="1" x14ac:dyDescent="0.3">
      <c r="A8147" s="1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</row>
    <row r="8148" spans="1:20" ht="45.75" customHeight="1" x14ac:dyDescent="0.3">
      <c r="A8148" s="1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</row>
    <row r="8149" spans="1:20" ht="45.75" customHeight="1" x14ac:dyDescent="0.3">
      <c r="A8149" s="1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</row>
    <row r="8150" spans="1:20" ht="45.75" customHeight="1" x14ac:dyDescent="0.3">
      <c r="A8150" s="1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</row>
    <row r="8151" spans="1:20" ht="45.75" customHeight="1" x14ac:dyDescent="0.3">
      <c r="A8151" s="1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</row>
    <row r="8152" spans="1:20" ht="45.75" customHeight="1" x14ac:dyDescent="0.3">
      <c r="A8152" s="1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</row>
    <row r="8153" spans="1:20" ht="45.75" customHeight="1" x14ac:dyDescent="0.3">
      <c r="A8153" s="1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</row>
    <row r="8154" spans="1:20" ht="45.75" customHeight="1" x14ac:dyDescent="0.3">
      <c r="A8154" s="1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</row>
    <row r="8155" spans="1:20" ht="45.75" customHeight="1" x14ac:dyDescent="0.3">
      <c r="A8155" s="1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</row>
    <row r="8156" spans="1:20" ht="45.75" customHeight="1" x14ac:dyDescent="0.3">
      <c r="A8156" s="1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</row>
    <row r="8157" spans="1:20" ht="45.75" customHeight="1" x14ac:dyDescent="0.3">
      <c r="A8157" s="1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</row>
    <row r="8158" spans="1:20" ht="45.75" customHeight="1" x14ac:dyDescent="0.3">
      <c r="A8158" s="1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</row>
    <row r="8159" spans="1:20" ht="45.75" customHeight="1" x14ac:dyDescent="0.3">
      <c r="A8159" s="1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</row>
    <row r="8160" spans="1:20" ht="45.75" customHeight="1" x14ac:dyDescent="0.3">
      <c r="A8160" s="1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</row>
    <row r="8161" spans="1:20" ht="45.75" customHeight="1" x14ac:dyDescent="0.3">
      <c r="A8161" s="1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</row>
    <row r="8162" spans="1:20" ht="45.75" customHeight="1" x14ac:dyDescent="0.3">
      <c r="A8162" s="1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</row>
    <row r="8163" spans="1:20" ht="45.75" customHeight="1" x14ac:dyDescent="0.3">
      <c r="A8163" s="1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</row>
    <row r="8164" spans="1:20" ht="45.75" customHeight="1" x14ac:dyDescent="0.3">
      <c r="A8164" s="1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</row>
    <row r="8165" spans="1:20" ht="45.75" customHeight="1" x14ac:dyDescent="0.3">
      <c r="A8165" s="1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</row>
    <row r="8166" spans="1:20" ht="45.75" customHeight="1" x14ac:dyDescent="0.3">
      <c r="A8166" s="1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</row>
    <row r="8167" spans="1:20" ht="45.75" customHeight="1" x14ac:dyDescent="0.3">
      <c r="A8167" s="1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</row>
    <row r="8168" spans="1:20" ht="45.75" customHeight="1" x14ac:dyDescent="0.3">
      <c r="A8168" s="1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</row>
    <row r="8169" spans="1:20" ht="45.75" customHeight="1" x14ac:dyDescent="0.3">
      <c r="A8169" s="1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</row>
    <row r="8170" spans="1:20" ht="45.75" customHeight="1" x14ac:dyDescent="0.3">
      <c r="A8170" s="1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</row>
    <row r="8171" spans="1:20" ht="45.75" customHeight="1" x14ac:dyDescent="0.3">
      <c r="A8171" s="1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</row>
    <row r="8172" spans="1:20" ht="45.75" customHeight="1" x14ac:dyDescent="0.3">
      <c r="A8172" s="1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</row>
    <row r="8173" spans="1:20" ht="45.75" customHeight="1" x14ac:dyDescent="0.3">
      <c r="A8173" s="1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</row>
    <row r="8174" spans="1:20" ht="45.75" customHeight="1" x14ac:dyDescent="0.3">
      <c r="A8174" s="1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</row>
    <row r="8175" spans="1:20" ht="45.75" customHeight="1" x14ac:dyDescent="0.3">
      <c r="A8175" s="1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</row>
    <row r="8176" spans="1:20" ht="45.75" customHeight="1" x14ac:dyDescent="0.3">
      <c r="A8176" s="1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</row>
    <row r="8177" spans="1:20" ht="45.75" customHeight="1" x14ac:dyDescent="0.3">
      <c r="A8177" s="1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</row>
    <row r="8178" spans="1:20" ht="45.75" customHeight="1" x14ac:dyDescent="0.3">
      <c r="A8178" s="1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</row>
    <row r="8179" spans="1:20" ht="45.75" customHeight="1" x14ac:dyDescent="0.3">
      <c r="A8179" s="1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</row>
    <row r="8180" spans="1:20" ht="45.75" customHeight="1" x14ac:dyDescent="0.3">
      <c r="A8180" s="1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</row>
    <row r="8181" spans="1:20" ht="45.75" customHeight="1" x14ac:dyDescent="0.3">
      <c r="A8181" s="1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</row>
    <row r="8182" spans="1:20" ht="45.75" customHeight="1" x14ac:dyDescent="0.3">
      <c r="A8182" s="1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</row>
    <row r="8183" spans="1:20" ht="45.75" customHeight="1" x14ac:dyDescent="0.3">
      <c r="A8183" s="1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</row>
    <row r="8184" spans="1:20" ht="45.75" customHeight="1" x14ac:dyDescent="0.3">
      <c r="A8184" s="1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</row>
    <row r="8185" spans="1:20" ht="45.75" customHeight="1" x14ac:dyDescent="0.3">
      <c r="A8185" s="1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</row>
    <row r="8186" spans="1:20" ht="45.75" customHeight="1" x14ac:dyDescent="0.3">
      <c r="A8186" s="1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</row>
    <row r="8187" spans="1:20" ht="45.75" customHeight="1" x14ac:dyDescent="0.3">
      <c r="A8187" s="1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</row>
    <row r="8188" spans="1:20" ht="45.75" customHeight="1" x14ac:dyDescent="0.3">
      <c r="A8188" s="1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</row>
    <row r="8189" spans="1:20" ht="45.75" customHeight="1" x14ac:dyDescent="0.3">
      <c r="A8189" s="1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</row>
    <row r="8190" spans="1:20" ht="45.75" customHeight="1" x14ac:dyDescent="0.3">
      <c r="A8190" s="1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</row>
    <row r="8191" spans="1:20" ht="45.75" customHeight="1" x14ac:dyDescent="0.3">
      <c r="A8191" s="1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</row>
    <row r="8192" spans="1:20" ht="45.75" customHeight="1" x14ac:dyDescent="0.3">
      <c r="A8192" s="1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</row>
    <row r="8193" spans="1:20" ht="45.75" customHeight="1" x14ac:dyDescent="0.3">
      <c r="A8193" s="1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</row>
    <row r="8194" spans="1:20" ht="45.75" customHeight="1" x14ac:dyDescent="0.3">
      <c r="A8194" s="1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</row>
    <row r="8195" spans="1:20" ht="45.75" customHeight="1" x14ac:dyDescent="0.3">
      <c r="A8195" s="1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</row>
    <row r="8196" spans="1:20" ht="45.75" customHeight="1" x14ac:dyDescent="0.3">
      <c r="A8196" s="1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</row>
    <row r="8197" spans="1:20" ht="45.75" customHeight="1" x14ac:dyDescent="0.3">
      <c r="A8197" s="1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</row>
    <row r="8198" spans="1:20" ht="45.75" customHeight="1" x14ac:dyDescent="0.3">
      <c r="A8198" s="1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</row>
    <row r="8199" spans="1:20" ht="45.75" customHeight="1" x14ac:dyDescent="0.3">
      <c r="A8199" s="1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</row>
    <row r="8200" spans="1:20" ht="45.75" customHeight="1" x14ac:dyDescent="0.3">
      <c r="A8200" s="1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</row>
    <row r="8201" spans="1:20" ht="45.75" customHeight="1" x14ac:dyDescent="0.3">
      <c r="A8201" s="1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</row>
    <row r="8202" spans="1:20" ht="45.75" customHeight="1" x14ac:dyDescent="0.3">
      <c r="A8202" s="1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</row>
    <row r="8203" spans="1:20" ht="45.75" customHeight="1" x14ac:dyDescent="0.3">
      <c r="A8203" s="1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</row>
    <row r="8204" spans="1:20" ht="45.75" customHeight="1" x14ac:dyDescent="0.3">
      <c r="A8204" s="1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</row>
    <row r="8205" spans="1:20" ht="45.75" customHeight="1" x14ac:dyDescent="0.3">
      <c r="A8205" s="1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</row>
    <row r="8206" spans="1:20" ht="45.75" customHeight="1" x14ac:dyDescent="0.3">
      <c r="A8206" s="1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</row>
    <row r="8207" spans="1:20" ht="45.75" customHeight="1" x14ac:dyDescent="0.3">
      <c r="A8207" s="1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</row>
    <row r="8208" spans="1:20" ht="45.75" customHeight="1" x14ac:dyDescent="0.3">
      <c r="A8208" s="1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</row>
    <row r="8209" spans="1:20" ht="45.75" customHeight="1" x14ac:dyDescent="0.3">
      <c r="A8209" s="1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</row>
    <row r="8210" spans="1:20" ht="45.75" customHeight="1" x14ac:dyDescent="0.3">
      <c r="A8210" s="1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</row>
    <row r="8211" spans="1:20" ht="45.75" customHeight="1" x14ac:dyDescent="0.3">
      <c r="A8211" s="1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</row>
    <row r="8212" spans="1:20" ht="45.75" customHeight="1" x14ac:dyDescent="0.3">
      <c r="A8212" s="1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</row>
    <row r="8213" spans="1:20" ht="45.75" customHeight="1" x14ac:dyDescent="0.3">
      <c r="A8213" s="1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</row>
    <row r="8214" spans="1:20" ht="45.75" customHeight="1" x14ac:dyDescent="0.3">
      <c r="A8214" s="1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</row>
    <row r="8215" spans="1:20" ht="45.75" customHeight="1" x14ac:dyDescent="0.3">
      <c r="A8215" s="1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</row>
    <row r="8216" spans="1:20" ht="45.75" customHeight="1" x14ac:dyDescent="0.3">
      <c r="A8216" s="1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</row>
    <row r="8217" spans="1:20" ht="45.75" customHeight="1" x14ac:dyDescent="0.3">
      <c r="A8217" s="1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</row>
    <row r="8218" spans="1:20" ht="45.75" customHeight="1" x14ac:dyDescent="0.3">
      <c r="A8218" s="1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</row>
    <row r="8219" spans="1:20" ht="45.75" customHeight="1" x14ac:dyDescent="0.3">
      <c r="A8219" s="1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</row>
    <row r="8220" spans="1:20" ht="45.75" customHeight="1" x14ac:dyDescent="0.3">
      <c r="A8220" s="1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</row>
    <row r="8221" spans="1:20" ht="45.75" customHeight="1" x14ac:dyDescent="0.3">
      <c r="A8221" s="1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</row>
    <row r="8222" spans="1:20" ht="45.75" customHeight="1" x14ac:dyDescent="0.3">
      <c r="A8222" s="1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</row>
    <row r="8223" spans="1:20" ht="45.75" customHeight="1" x14ac:dyDescent="0.3">
      <c r="A8223" s="1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</row>
    <row r="8224" spans="1:20" ht="45.75" customHeight="1" x14ac:dyDescent="0.3">
      <c r="A8224" s="1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</row>
    <row r="8225" spans="1:20" ht="45.75" customHeight="1" x14ac:dyDescent="0.3">
      <c r="A8225" s="1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</row>
    <row r="8226" spans="1:20" ht="45.75" customHeight="1" x14ac:dyDescent="0.3">
      <c r="A8226" s="1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</row>
    <row r="8227" spans="1:20" ht="45.75" customHeight="1" x14ac:dyDescent="0.3">
      <c r="A8227" s="1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</row>
    <row r="8228" spans="1:20" ht="45.75" customHeight="1" x14ac:dyDescent="0.3">
      <c r="A8228" s="1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</row>
    <row r="8229" spans="1:20" ht="45.75" customHeight="1" x14ac:dyDescent="0.3">
      <c r="A8229" s="1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</row>
    <row r="8230" spans="1:20" ht="45.75" customHeight="1" x14ac:dyDescent="0.3">
      <c r="A8230" s="1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</row>
    <row r="8231" spans="1:20" ht="45.75" customHeight="1" x14ac:dyDescent="0.3">
      <c r="A8231" s="1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</row>
    <row r="8232" spans="1:20" ht="45.75" customHeight="1" x14ac:dyDescent="0.3">
      <c r="A8232" s="1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</row>
    <row r="8233" spans="1:20" ht="45.75" customHeight="1" x14ac:dyDescent="0.3">
      <c r="A8233" s="1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</row>
    <row r="8234" spans="1:20" ht="45.75" customHeight="1" x14ac:dyDescent="0.3">
      <c r="A8234" s="1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</row>
    <row r="8235" spans="1:20" ht="45.75" customHeight="1" x14ac:dyDescent="0.3">
      <c r="A8235" s="1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</row>
    <row r="8236" spans="1:20" ht="45.75" customHeight="1" x14ac:dyDescent="0.3">
      <c r="A8236" s="1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</row>
    <row r="8237" spans="1:20" ht="45.75" customHeight="1" x14ac:dyDescent="0.3">
      <c r="A8237" s="1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</row>
    <row r="8238" spans="1:20" ht="45.75" customHeight="1" x14ac:dyDescent="0.3">
      <c r="A8238" s="1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</row>
    <row r="8239" spans="1:20" ht="45.75" customHeight="1" x14ac:dyDescent="0.3">
      <c r="A8239" s="1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</row>
    <row r="8240" spans="1:20" ht="45.75" customHeight="1" x14ac:dyDescent="0.3">
      <c r="A8240" s="1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</row>
    <row r="8241" spans="1:20" ht="45.75" customHeight="1" x14ac:dyDescent="0.3">
      <c r="A8241" s="1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</row>
    <row r="8242" spans="1:20" ht="45.75" customHeight="1" x14ac:dyDescent="0.3">
      <c r="A8242" s="1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</row>
    <row r="8243" spans="1:20" ht="45.75" customHeight="1" x14ac:dyDescent="0.3">
      <c r="A8243" s="1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</row>
    <row r="8244" spans="1:20" ht="45.75" customHeight="1" x14ac:dyDescent="0.3">
      <c r="A8244" s="1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</row>
    <row r="8245" spans="1:20" ht="45.75" customHeight="1" x14ac:dyDescent="0.3">
      <c r="A8245" s="1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</row>
    <row r="8246" spans="1:20" ht="45.75" customHeight="1" x14ac:dyDescent="0.3">
      <c r="A8246" s="1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</row>
    <row r="8247" spans="1:20" ht="45.75" customHeight="1" x14ac:dyDescent="0.3">
      <c r="A8247" s="1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</row>
    <row r="8248" spans="1:20" ht="45.75" customHeight="1" x14ac:dyDescent="0.3">
      <c r="A8248" s="1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</row>
    <row r="8249" spans="1:20" ht="45.75" customHeight="1" x14ac:dyDescent="0.3">
      <c r="A8249" s="1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</row>
    <row r="8250" spans="1:20" ht="45.75" customHeight="1" x14ac:dyDescent="0.3">
      <c r="A8250" s="1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</row>
    <row r="8251" spans="1:20" ht="45.75" customHeight="1" x14ac:dyDescent="0.3">
      <c r="A8251" s="1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</row>
    <row r="8252" spans="1:20" ht="45.75" customHeight="1" x14ac:dyDescent="0.3">
      <c r="A8252" s="1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</row>
    <row r="8253" spans="1:20" ht="45.75" customHeight="1" x14ac:dyDescent="0.3">
      <c r="A8253" s="1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</row>
    <row r="8254" spans="1:20" ht="45.75" customHeight="1" x14ac:dyDescent="0.3">
      <c r="A8254" s="1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</row>
    <row r="8255" spans="1:20" ht="45.75" customHeight="1" x14ac:dyDescent="0.3">
      <c r="A8255" s="1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</row>
    <row r="8256" spans="1:20" ht="45.75" customHeight="1" x14ac:dyDescent="0.3">
      <c r="A8256" s="1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</row>
    <row r="8257" spans="1:20" ht="45.75" customHeight="1" x14ac:dyDescent="0.3">
      <c r="A8257" s="1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</row>
    <row r="8258" spans="1:20" ht="45.75" customHeight="1" x14ac:dyDescent="0.3">
      <c r="A8258" s="1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</row>
    <row r="8259" spans="1:20" ht="45.75" customHeight="1" x14ac:dyDescent="0.3">
      <c r="A8259" s="1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</row>
    <row r="8260" spans="1:20" ht="45.75" customHeight="1" x14ac:dyDescent="0.3">
      <c r="A8260" s="1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</row>
    <row r="8261" spans="1:20" ht="45.75" customHeight="1" x14ac:dyDescent="0.3">
      <c r="A8261" s="1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</row>
    <row r="8262" spans="1:20" ht="45.75" customHeight="1" x14ac:dyDescent="0.3">
      <c r="A8262" s="1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</row>
    <row r="8263" spans="1:20" ht="45.75" customHeight="1" x14ac:dyDescent="0.3">
      <c r="A8263" s="1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</row>
    <row r="8264" spans="1:20" ht="45.75" customHeight="1" x14ac:dyDescent="0.3">
      <c r="A8264" s="1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</row>
    <row r="8265" spans="1:20" ht="45.75" customHeight="1" x14ac:dyDescent="0.3">
      <c r="A8265" s="1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</row>
    <row r="8266" spans="1:20" ht="45.75" customHeight="1" x14ac:dyDescent="0.3">
      <c r="A8266" s="1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</row>
    <row r="8267" spans="1:20" ht="45.75" customHeight="1" x14ac:dyDescent="0.3">
      <c r="A8267" s="1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</row>
    <row r="8268" spans="1:20" ht="45.75" customHeight="1" x14ac:dyDescent="0.3">
      <c r="A8268" s="1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</row>
    <row r="8269" spans="1:20" ht="45.75" customHeight="1" x14ac:dyDescent="0.3">
      <c r="A8269" s="1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</row>
    <row r="8270" spans="1:20" ht="45.75" customHeight="1" x14ac:dyDescent="0.3">
      <c r="A8270" s="1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</row>
    <row r="8271" spans="1:20" ht="45.75" customHeight="1" x14ac:dyDescent="0.3">
      <c r="A8271" s="1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</row>
    <row r="8272" spans="1:20" ht="45.75" customHeight="1" x14ac:dyDescent="0.3">
      <c r="A8272" s="1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</row>
    <row r="8273" spans="1:20" ht="45.75" customHeight="1" x14ac:dyDescent="0.3">
      <c r="A8273" s="1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</row>
    <row r="8274" spans="1:20" ht="45.75" customHeight="1" x14ac:dyDescent="0.3">
      <c r="A8274" s="1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</row>
    <row r="8275" spans="1:20" ht="45.75" customHeight="1" x14ac:dyDescent="0.3">
      <c r="A8275" s="1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</row>
    <row r="8276" spans="1:20" ht="45.75" customHeight="1" x14ac:dyDescent="0.3">
      <c r="A8276" s="1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</row>
    <row r="8277" spans="1:20" ht="45.75" customHeight="1" x14ac:dyDescent="0.3">
      <c r="A8277" s="1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</row>
    <row r="8278" spans="1:20" ht="45.75" customHeight="1" x14ac:dyDescent="0.3">
      <c r="A8278" s="1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</row>
    <row r="8279" spans="1:20" ht="45.75" customHeight="1" x14ac:dyDescent="0.3">
      <c r="A8279" s="1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</row>
    <row r="8280" spans="1:20" ht="45.75" customHeight="1" x14ac:dyDescent="0.3">
      <c r="A8280" s="1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</row>
    <row r="8281" spans="1:20" ht="45.75" customHeight="1" x14ac:dyDescent="0.3">
      <c r="A8281" s="1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</row>
    <row r="8282" spans="1:20" ht="45.75" customHeight="1" x14ac:dyDescent="0.3">
      <c r="A8282" s="1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</row>
    <row r="8283" spans="1:20" ht="45.75" customHeight="1" x14ac:dyDescent="0.3">
      <c r="A8283" s="1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</row>
    <row r="8284" spans="1:20" ht="45.75" customHeight="1" x14ac:dyDescent="0.3">
      <c r="A8284" s="1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</row>
    <row r="8285" spans="1:20" ht="45.75" customHeight="1" x14ac:dyDescent="0.3">
      <c r="A8285" s="1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</row>
    <row r="8286" spans="1:20" ht="45.75" customHeight="1" x14ac:dyDescent="0.3">
      <c r="A8286" s="1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</row>
    <row r="8287" spans="1:20" ht="45.75" customHeight="1" x14ac:dyDescent="0.3">
      <c r="A8287" s="1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</row>
    <row r="8288" spans="1:20" ht="45.75" customHeight="1" x14ac:dyDescent="0.3">
      <c r="A8288" s="1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</row>
    <row r="8289" spans="1:20" ht="45.75" customHeight="1" x14ac:dyDescent="0.3">
      <c r="A8289" s="1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</row>
    <row r="8290" spans="1:20" ht="45.75" customHeight="1" x14ac:dyDescent="0.3">
      <c r="A8290" s="1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</row>
    <row r="8291" spans="1:20" ht="45.75" customHeight="1" x14ac:dyDescent="0.3">
      <c r="A8291" s="1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</row>
    <row r="8292" spans="1:20" ht="45.75" customHeight="1" x14ac:dyDescent="0.3">
      <c r="A8292" s="1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</row>
    <row r="8293" spans="1:20" ht="45.75" customHeight="1" x14ac:dyDescent="0.3">
      <c r="A8293" s="1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</row>
    <row r="8294" spans="1:20" ht="45.75" customHeight="1" x14ac:dyDescent="0.3">
      <c r="A8294" s="1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</row>
    <row r="8295" spans="1:20" ht="45.75" customHeight="1" x14ac:dyDescent="0.3">
      <c r="A8295" s="1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</row>
    <row r="8296" spans="1:20" ht="45.75" customHeight="1" x14ac:dyDescent="0.3">
      <c r="A8296" s="1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</row>
    <row r="8297" spans="1:20" ht="45.75" customHeight="1" x14ac:dyDescent="0.3">
      <c r="A8297" s="1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</row>
    <row r="8298" spans="1:20" ht="45.75" customHeight="1" x14ac:dyDescent="0.3">
      <c r="A8298" s="1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</row>
    <row r="8299" spans="1:20" ht="45.75" customHeight="1" x14ac:dyDescent="0.3">
      <c r="A8299" s="1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</row>
    <row r="8300" spans="1:20" ht="45.75" customHeight="1" x14ac:dyDescent="0.3">
      <c r="A8300" s="1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</row>
    <row r="8301" spans="1:20" ht="45.75" customHeight="1" x14ac:dyDescent="0.3">
      <c r="A8301" s="1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</row>
    <row r="8302" spans="1:20" ht="45.75" customHeight="1" x14ac:dyDescent="0.3">
      <c r="A8302" s="1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</row>
    <row r="8303" spans="1:20" ht="45.75" customHeight="1" x14ac:dyDescent="0.3">
      <c r="A8303" s="1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</row>
    <row r="8304" spans="1:20" ht="45.75" customHeight="1" x14ac:dyDescent="0.3">
      <c r="A8304" s="1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</row>
    <row r="8305" spans="1:20" ht="45.75" customHeight="1" x14ac:dyDescent="0.3">
      <c r="A8305" s="1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</row>
    <row r="8306" spans="1:20" ht="45.75" customHeight="1" x14ac:dyDescent="0.3">
      <c r="A8306" s="1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</row>
    <row r="8307" spans="1:20" ht="45.75" customHeight="1" x14ac:dyDescent="0.3">
      <c r="A8307" s="1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</row>
    <row r="8308" spans="1:20" ht="45.75" customHeight="1" x14ac:dyDescent="0.3">
      <c r="A8308" s="1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</row>
    <row r="8309" spans="1:20" ht="45.75" customHeight="1" x14ac:dyDescent="0.3">
      <c r="A8309" s="1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</row>
    <row r="8310" spans="1:20" ht="45.75" customHeight="1" x14ac:dyDescent="0.3">
      <c r="A8310" s="1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</row>
    <row r="8311" spans="1:20" ht="45.75" customHeight="1" x14ac:dyDescent="0.3">
      <c r="A8311" s="1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</row>
    <row r="8312" spans="1:20" ht="45.75" customHeight="1" x14ac:dyDescent="0.3">
      <c r="A8312" s="1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</row>
    <row r="8313" spans="1:20" ht="45.75" customHeight="1" x14ac:dyDescent="0.3">
      <c r="A8313" s="1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</row>
    <row r="8314" spans="1:20" ht="45.75" customHeight="1" x14ac:dyDescent="0.3">
      <c r="A8314" s="1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</row>
    <row r="8315" spans="1:20" ht="45.75" customHeight="1" x14ac:dyDescent="0.3">
      <c r="A8315" s="1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</row>
    <row r="8316" spans="1:20" ht="45.75" customHeight="1" x14ac:dyDescent="0.3">
      <c r="A8316" s="1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</row>
    <row r="8317" spans="1:20" ht="45.75" customHeight="1" x14ac:dyDescent="0.3">
      <c r="A8317" s="1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</row>
    <row r="8318" spans="1:20" ht="45.75" customHeight="1" x14ac:dyDescent="0.3">
      <c r="A8318" s="1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</row>
    <row r="8319" spans="1:20" ht="45.75" customHeight="1" x14ac:dyDescent="0.3">
      <c r="A8319" s="1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</row>
    <row r="8320" spans="1:20" ht="45.75" customHeight="1" x14ac:dyDescent="0.3">
      <c r="A8320" s="1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</row>
    <row r="8321" spans="1:20" ht="45.75" customHeight="1" x14ac:dyDescent="0.3">
      <c r="A8321" s="1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</row>
    <row r="8322" spans="1:20" ht="45.75" customHeight="1" x14ac:dyDescent="0.3">
      <c r="A8322" s="1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</row>
    <row r="8323" spans="1:20" ht="45.75" customHeight="1" x14ac:dyDescent="0.3">
      <c r="A8323" s="1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</row>
    <row r="8324" spans="1:20" ht="45.75" customHeight="1" x14ac:dyDescent="0.3">
      <c r="A8324" s="1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</row>
    <row r="8325" spans="1:20" ht="45.75" customHeight="1" x14ac:dyDescent="0.3">
      <c r="A8325" s="1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</row>
    <row r="8326" spans="1:20" ht="45.75" customHeight="1" x14ac:dyDescent="0.3">
      <c r="A8326" s="1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</row>
    <row r="8327" spans="1:20" ht="45.75" customHeight="1" x14ac:dyDescent="0.3">
      <c r="A8327" s="1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</row>
    <row r="8328" spans="1:20" ht="45.75" customHeight="1" x14ac:dyDescent="0.3">
      <c r="A8328" s="1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</row>
    <row r="8329" spans="1:20" ht="45.75" customHeight="1" x14ac:dyDescent="0.3">
      <c r="A8329" s="1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</row>
    <row r="8330" spans="1:20" ht="45.75" customHeight="1" x14ac:dyDescent="0.3">
      <c r="A8330" s="1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</row>
    <row r="8331" spans="1:20" ht="45.75" customHeight="1" x14ac:dyDescent="0.3">
      <c r="A8331" s="1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</row>
    <row r="8332" spans="1:20" ht="45.75" customHeight="1" x14ac:dyDescent="0.3">
      <c r="A8332" s="1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</row>
    <row r="8333" spans="1:20" ht="45.75" customHeight="1" x14ac:dyDescent="0.3">
      <c r="A8333" s="1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</row>
    <row r="8334" spans="1:20" ht="45.75" customHeight="1" x14ac:dyDescent="0.3">
      <c r="A8334" s="1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</row>
    <row r="8335" spans="1:20" ht="45.75" customHeight="1" x14ac:dyDescent="0.3">
      <c r="A8335" s="1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</row>
    <row r="8336" spans="1:20" ht="45.75" customHeight="1" x14ac:dyDescent="0.3">
      <c r="A8336" s="1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</row>
    <row r="8337" spans="1:20" ht="45.75" customHeight="1" x14ac:dyDescent="0.3">
      <c r="A8337" s="1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</row>
    <row r="8338" spans="1:20" ht="45.75" customHeight="1" x14ac:dyDescent="0.3">
      <c r="A8338" s="1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</row>
    <row r="8339" spans="1:20" ht="45.75" customHeight="1" x14ac:dyDescent="0.3">
      <c r="A8339" s="1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</row>
    <row r="8340" spans="1:20" ht="45.75" customHeight="1" x14ac:dyDescent="0.3">
      <c r="A8340" s="1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</row>
    <row r="8341" spans="1:20" ht="45.75" customHeight="1" x14ac:dyDescent="0.3">
      <c r="A8341" s="1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</row>
    <row r="8342" spans="1:20" ht="45.75" customHeight="1" x14ac:dyDescent="0.3">
      <c r="A8342" s="1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</row>
    <row r="8343" spans="1:20" ht="45.75" customHeight="1" x14ac:dyDescent="0.3">
      <c r="A8343" s="1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</row>
    <row r="8344" spans="1:20" ht="45.75" customHeight="1" x14ac:dyDescent="0.3">
      <c r="A8344" s="1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</row>
    <row r="8345" spans="1:20" ht="45.75" customHeight="1" x14ac:dyDescent="0.3">
      <c r="A8345" s="1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</row>
    <row r="8346" spans="1:20" ht="45.75" customHeight="1" x14ac:dyDescent="0.3">
      <c r="A8346" s="1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</row>
    <row r="8347" spans="1:20" ht="45.75" customHeight="1" x14ac:dyDescent="0.3">
      <c r="A8347" s="1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</row>
    <row r="8348" spans="1:20" ht="45.75" customHeight="1" x14ac:dyDescent="0.3">
      <c r="A8348" s="1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</row>
    <row r="8349" spans="1:20" ht="45.75" customHeight="1" x14ac:dyDescent="0.3">
      <c r="A8349" s="1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</row>
    <row r="8350" spans="1:20" ht="45.75" customHeight="1" x14ac:dyDescent="0.3">
      <c r="A8350" s="1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</row>
    <row r="8351" spans="1:20" ht="45.75" customHeight="1" x14ac:dyDescent="0.3">
      <c r="A8351" s="1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</row>
    <row r="8352" spans="1:20" ht="45.75" customHeight="1" x14ac:dyDescent="0.3">
      <c r="A8352" s="1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</row>
    <row r="8353" spans="1:20" ht="45.75" customHeight="1" x14ac:dyDescent="0.3">
      <c r="A8353" s="1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</row>
    <row r="8354" spans="1:20" ht="45.75" customHeight="1" x14ac:dyDescent="0.3">
      <c r="A8354" s="1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</row>
    <row r="8355" spans="1:20" ht="45.75" customHeight="1" x14ac:dyDescent="0.3">
      <c r="A8355" s="1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</row>
    <row r="8356" spans="1:20" ht="45.75" customHeight="1" x14ac:dyDescent="0.3">
      <c r="A8356" s="1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</row>
    <row r="8357" spans="1:20" ht="45.75" customHeight="1" x14ac:dyDescent="0.3">
      <c r="A8357" s="1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</row>
    <row r="8358" spans="1:20" ht="45.75" customHeight="1" x14ac:dyDescent="0.3">
      <c r="A8358" s="1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</row>
    <row r="8359" spans="1:20" ht="45.75" customHeight="1" x14ac:dyDescent="0.3">
      <c r="A8359" s="1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</row>
    <row r="8360" spans="1:20" ht="45.75" customHeight="1" x14ac:dyDescent="0.3">
      <c r="A8360" s="1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</row>
    <row r="8361" spans="1:20" ht="45.75" customHeight="1" x14ac:dyDescent="0.3">
      <c r="A8361" s="1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</row>
    <row r="8362" spans="1:20" ht="45.75" customHeight="1" x14ac:dyDescent="0.3">
      <c r="A8362" s="1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</row>
    <row r="8363" spans="1:20" ht="45.75" customHeight="1" x14ac:dyDescent="0.3">
      <c r="A8363" s="1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</row>
    <row r="8364" spans="1:20" ht="45.75" customHeight="1" x14ac:dyDescent="0.3">
      <c r="A8364" s="1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</row>
    <row r="8365" spans="1:20" ht="45.75" customHeight="1" x14ac:dyDescent="0.3">
      <c r="A8365" s="1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</row>
    <row r="8366" spans="1:20" ht="45.75" customHeight="1" x14ac:dyDescent="0.3">
      <c r="A8366" s="1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</row>
    <row r="8367" spans="1:20" ht="45.75" customHeight="1" x14ac:dyDescent="0.3">
      <c r="A8367" s="1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</row>
    <row r="8368" spans="1:20" ht="45.75" customHeight="1" x14ac:dyDescent="0.3">
      <c r="A8368" s="1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</row>
    <row r="8369" spans="1:20" ht="45.75" customHeight="1" x14ac:dyDescent="0.3">
      <c r="A8369" s="1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</row>
    <row r="8370" spans="1:20" ht="45.75" customHeight="1" x14ac:dyDescent="0.3">
      <c r="A8370" s="1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</row>
    <row r="8371" spans="1:20" ht="45.75" customHeight="1" x14ac:dyDescent="0.3">
      <c r="A8371" s="1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</row>
    <row r="8372" spans="1:20" ht="45.75" customHeight="1" x14ac:dyDescent="0.3">
      <c r="A8372" s="1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</row>
    <row r="8373" spans="1:20" ht="45.75" customHeight="1" x14ac:dyDescent="0.3">
      <c r="A8373" s="1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</row>
    <row r="8374" spans="1:20" ht="45.75" customHeight="1" x14ac:dyDescent="0.3">
      <c r="A8374" s="1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</row>
    <row r="8375" spans="1:20" ht="45.75" customHeight="1" x14ac:dyDescent="0.3">
      <c r="A8375" s="1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</row>
    <row r="8376" spans="1:20" ht="45.75" customHeight="1" x14ac:dyDescent="0.3">
      <c r="A8376" s="1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</row>
    <row r="8377" spans="1:20" ht="45.75" customHeight="1" x14ac:dyDescent="0.3">
      <c r="A8377" s="1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</row>
    <row r="8378" spans="1:20" ht="45.75" customHeight="1" x14ac:dyDescent="0.3">
      <c r="A8378" s="1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</row>
    <row r="8379" spans="1:20" ht="45.75" customHeight="1" x14ac:dyDescent="0.3">
      <c r="A8379" s="1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</row>
    <row r="8380" spans="1:20" ht="45.75" customHeight="1" x14ac:dyDescent="0.3">
      <c r="A8380" s="1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</row>
    <row r="8381" spans="1:20" ht="45.75" customHeight="1" x14ac:dyDescent="0.3">
      <c r="A8381" s="1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</row>
    <row r="8382" spans="1:20" ht="45.75" customHeight="1" x14ac:dyDescent="0.3">
      <c r="A8382" s="1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</row>
    <row r="8383" spans="1:20" ht="45.75" customHeight="1" x14ac:dyDescent="0.3">
      <c r="A8383" s="1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</row>
    <row r="8384" spans="1:20" ht="45.75" customHeight="1" x14ac:dyDescent="0.3">
      <c r="A8384" s="1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</row>
    <row r="8385" spans="1:20" ht="45.75" customHeight="1" x14ac:dyDescent="0.3">
      <c r="A8385" s="1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</row>
    <row r="8386" spans="1:20" ht="45.75" customHeight="1" x14ac:dyDescent="0.3">
      <c r="A8386" s="1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</row>
    <row r="8387" spans="1:20" ht="45.75" customHeight="1" x14ac:dyDescent="0.3">
      <c r="A8387" s="1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</row>
    <row r="8388" spans="1:20" ht="45.75" customHeight="1" x14ac:dyDescent="0.3">
      <c r="A8388" s="1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</row>
    <row r="8389" spans="1:20" ht="45.75" customHeight="1" x14ac:dyDescent="0.3">
      <c r="A8389" s="1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</row>
    <row r="8390" spans="1:20" ht="45.75" customHeight="1" x14ac:dyDescent="0.3">
      <c r="A8390" s="1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</row>
    <row r="8391" spans="1:20" ht="45.75" customHeight="1" x14ac:dyDescent="0.3">
      <c r="A8391" s="1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</row>
    <row r="8392" spans="1:20" ht="45.75" customHeight="1" x14ac:dyDescent="0.3">
      <c r="A8392" s="1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</row>
    <row r="8393" spans="1:20" ht="45.75" customHeight="1" x14ac:dyDescent="0.3">
      <c r="A8393" s="1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</row>
    <row r="8394" spans="1:20" ht="45.75" customHeight="1" x14ac:dyDescent="0.3">
      <c r="A8394" s="1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</row>
    <row r="8395" spans="1:20" ht="45.75" customHeight="1" x14ac:dyDescent="0.3">
      <c r="A8395" s="1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</row>
    <row r="8396" spans="1:20" ht="45.75" customHeight="1" x14ac:dyDescent="0.3">
      <c r="A8396" s="1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</row>
    <row r="8397" spans="1:20" ht="45.75" customHeight="1" x14ac:dyDescent="0.3">
      <c r="A8397" s="1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</row>
    <row r="8398" spans="1:20" ht="45.75" customHeight="1" x14ac:dyDescent="0.3">
      <c r="A8398" s="1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</row>
    <row r="8399" spans="1:20" ht="45.75" customHeight="1" x14ac:dyDescent="0.3">
      <c r="A8399" s="1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</row>
    <row r="8400" spans="1:20" ht="45.75" customHeight="1" x14ac:dyDescent="0.3">
      <c r="A8400" s="1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</row>
    <row r="8401" spans="1:20" ht="45.75" customHeight="1" x14ac:dyDescent="0.3">
      <c r="A8401" s="1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</row>
    <row r="8402" spans="1:20" ht="45.75" customHeight="1" x14ac:dyDescent="0.3">
      <c r="A8402" s="1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</row>
    <row r="8403" spans="1:20" ht="45.75" customHeight="1" x14ac:dyDescent="0.3">
      <c r="A8403" s="1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</row>
    <row r="8404" spans="1:20" ht="45.75" customHeight="1" x14ac:dyDescent="0.3">
      <c r="A8404" s="1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</row>
    <row r="8405" spans="1:20" ht="45.75" customHeight="1" x14ac:dyDescent="0.3">
      <c r="A8405" s="1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</row>
    <row r="8406" spans="1:20" ht="45.75" customHeight="1" x14ac:dyDescent="0.3">
      <c r="A8406" s="1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</row>
    <row r="8407" spans="1:20" ht="45.75" customHeight="1" x14ac:dyDescent="0.3">
      <c r="A8407" s="1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</row>
    <row r="8408" spans="1:20" ht="45.75" customHeight="1" x14ac:dyDescent="0.3">
      <c r="A8408" s="1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</row>
    <row r="8409" spans="1:20" ht="45.75" customHeight="1" x14ac:dyDescent="0.3">
      <c r="A8409" s="1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</row>
    <row r="8410" spans="1:20" ht="45.75" customHeight="1" x14ac:dyDescent="0.3">
      <c r="A8410" s="1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</row>
    <row r="8411" spans="1:20" ht="45.75" customHeight="1" x14ac:dyDescent="0.3">
      <c r="A8411" s="1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</row>
    <row r="8412" spans="1:20" ht="45.75" customHeight="1" x14ac:dyDescent="0.3">
      <c r="A8412" s="1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</row>
    <row r="8413" spans="1:20" ht="45.75" customHeight="1" x14ac:dyDescent="0.3">
      <c r="A8413" s="1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</row>
    <row r="8414" spans="1:20" ht="45.75" customHeight="1" x14ac:dyDescent="0.3">
      <c r="A8414" s="1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</row>
    <row r="8415" spans="1:20" ht="45.75" customHeight="1" x14ac:dyDescent="0.3">
      <c r="A8415" s="1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</row>
    <row r="8416" spans="1:20" ht="45.75" customHeight="1" x14ac:dyDescent="0.3">
      <c r="A8416" s="1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</row>
    <row r="8417" spans="1:20" ht="45.75" customHeight="1" x14ac:dyDescent="0.3">
      <c r="A8417" s="1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</row>
    <row r="8418" spans="1:20" ht="45.75" customHeight="1" x14ac:dyDescent="0.3">
      <c r="A8418" s="1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</row>
    <row r="8419" spans="1:20" ht="45.75" customHeight="1" x14ac:dyDescent="0.3">
      <c r="A8419" s="1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</row>
    <row r="8420" spans="1:20" ht="45.75" customHeight="1" x14ac:dyDescent="0.3">
      <c r="A8420" s="1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</row>
    <row r="8421" spans="1:20" ht="45.75" customHeight="1" x14ac:dyDescent="0.3">
      <c r="A8421" s="1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</row>
    <row r="8422" spans="1:20" ht="45.75" customHeight="1" x14ac:dyDescent="0.3">
      <c r="A8422" s="1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</row>
    <row r="8423" spans="1:20" ht="45.75" customHeight="1" x14ac:dyDescent="0.3">
      <c r="A8423" s="1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</row>
    <row r="8424" spans="1:20" ht="45.75" customHeight="1" x14ac:dyDescent="0.3">
      <c r="A8424" s="1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</row>
    <row r="8425" spans="1:20" ht="45.75" customHeight="1" x14ac:dyDescent="0.3">
      <c r="A8425" s="1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</row>
    <row r="8426" spans="1:20" ht="45.75" customHeight="1" x14ac:dyDescent="0.3">
      <c r="A8426" s="1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</row>
    <row r="8427" spans="1:20" ht="45.75" customHeight="1" x14ac:dyDescent="0.3">
      <c r="A8427" s="1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</row>
    <row r="8428" spans="1:20" ht="45.75" customHeight="1" x14ac:dyDescent="0.3">
      <c r="A8428" s="1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</row>
    <row r="8429" spans="1:20" ht="45.75" customHeight="1" x14ac:dyDescent="0.3">
      <c r="A8429" s="1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</row>
    <row r="8430" spans="1:20" ht="45.75" customHeight="1" x14ac:dyDescent="0.3">
      <c r="A8430" s="1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</row>
    <row r="8431" spans="1:20" ht="45.75" customHeight="1" x14ac:dyDescent="0.3">
      <c r="A8431" s="1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</row>
    <row r="8432" spans="1:20" ht="45.75" customHeight="1" x14ac:dyDescent="0.3">
      <c r="A8432" s="1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</row>
    <row r="8433" spans="1:20" ht="45.75" customHeight="1" x14ac:dyDescent="0.3">
      <c r="A8433" s="1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</row>
    <row r="8434" spans="1:20" ht="45.75" customHeight="1" x14ac:dyDescent="0.3">
      <c r="A8434" s="1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</row>
    <row r="8435" spans="1:20" ht="45.75" customHeight="1" x14ac:dyDescent="0.3">
      <c r="A8435" s="1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</row>
    <row r="8436" spans="1:20" ht="45.75" customHeight="1" x14ac:dyDescent="0.3">
      <c r="A8436" s="1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</row>
    <row r="8437" spans="1:20" ht="45.75" customHeight="1" x14ac:dyDescent="0.3">
      <c r="A8437" s="1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</row>
    <row r="8438" spans="1:20" ht="45.75" customHeight="1" x14ac:dyDescent="0.3">
      <c r="A8438" s="1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</row>
    <row r="8439" spans="1:20" ht="45.75" customHeight="1" x14ac:dyDescent="0.3">
      <c r="A8439" s="1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</row>
    <row r="8440" spans="1:20" ht="45.75" customHeight="1" x14ac:dyDescent="0.3">
      <c r="A8440" s="1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</row>
    <row r="8441" spans="1:20" ht="45.75" customHeight="1" x14ac:dyDescent="0.3">
      <c r="A8441" s="1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</row>
    <row r="8442" spans="1:20" ht="45.75" customHeight="1" x14ac:dyDescent="0.3">
      <c r="A8442" s="1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</row>
    <row r="8443" spans="1:20" ht="45.75" customHeight="1" x14ac:dyDescent="0.3">
      <c r="A8443" s="1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</row>
    <row r="8444" spans="1:20" ht="45.75" customHeight="1" x14ac:dyDescent="0.3">
      <c r="A8444" s="1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</row>
    <row r="8445" spans="1:20" ht="45.75" customHeight="1" x14ac:dyDescent="0.3">
      <c r="A8445" s="1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</row>
    <row r="8446" spans="1:20" ht="45.75" customHeight="1" x14ac:dyDescent="0.3">
      <c r="A8446" s="1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</row>
    <row r="8447" spans="1:20" ht="45.75" customHeight="1" x14ac:dyDescent="0.3">
      <c r="A8447" s="1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</row>
    <row r="8448" spans="1:20" ht="45.75" customHeight="1" x14ac:dyDescent="0.3">
      <c r="A8448" s="1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</row>
    <row r="8449" spans="1:20" ht="45.75" customHeight="1" x14ac:dyDescent="0.3">
      <c r="A8449" s="1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</row>
    <row r="8450" spans="1:20" ht="45.75" customHeight="1" x14ac:dyDescent="0.3">
      <c r="A8450" s="1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</row>
    <row r="8451" spans="1:20" ht="45.75" customHeight="1" x14ac:dyDescent="0.3">
      <c r="A8451" s="1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</row>
    <row r="8452" spans="1:20" ht="45.75" customHeight="1" x14ac:dyDescent="0.3">
      <c r="A8452" s="1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</row>
    <row r="8453" spans="1:20" ht="45.75" customHeight="1" x14ac:dyDescent="0.3">
      <c r="A8453" s="1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</row>
    <row r="8454" spans="1:20" ht="45.75" customHeight="1" x14ac:dyDescent="0.3">
      <c r="A8454" s="1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</row>
    <row r="8455" spans="1:20" ht="45.75" customHeight="1" x14ac:dyDescent="0.3">
      <c r="A8455" s="1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</row>
    <row r="8456" spans="1:20" ht="45.75" customHeight="1" x14ac:dyDescent="0.3">
      <c r="A8456" s="1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</row>
    <row r="8457" spans="1:20" ht="45.75" customHeight="1" x14ac:dyDescent="0.3">
      <c r="A8457" s="1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</row>
    <row r="8458" spans="1:20" ht="45.75" customHeight="1" x14ac:dyDescent="0.3">
      <c r="A8458" s="1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</row>
    <row r="8459" spans="1:20" ht="45.75" customHeight="1" x14ac:dyDescent="0.3">
      <c r="A8459" s="1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</row>
    <row r="8460" spans="1:20" ht="45.75" customHeight="1" x14ac:dyDescent="0.3">
      <c r="A8460" s="1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</row>
    <row r="8461" spans="1:20" ht="45.75" customHeight="1" x14ac:dyDescent="0.3">
      <c r="A8461" s="1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</row>
    <row r="8462" spans="1:20" ht="45.75" customHeight="1" x14ac:dyDescent="0.3">
      <c r="A8462" s="1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</row>
    <row r="8463" spans="1:20" ht="45.75" customHeight="1" x14ac:dyDescent="0.3">
      <c r="A8463" s="1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</row>
    <row r="8464" spans="1:20" ht="45.75" customHeight="1" x14ac:dyDescent="0.3">
      <c r="A8464" s="1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</row>
    <row r="8465" spans="1:20" ht="45.75" customHeight="1" x14ac:dyDescent="0.3">
      <c r="A8465" s="1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</row>
    <row r="8466" spans="1:20" ht="45.75" customHeight="1" x14ac:dyDescent="0.3">
      <c r="A8466" s="1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</row>
    <row r="8467" spans="1:20" ht="45.75" customHeight="1" x14ac:dyDescent="0.3">
      <c r="A8467" s="1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</row>
    <row r="8468" spans="1:20" ht="45.75" customHeight="1" x14ac:dyDescent="0.3">
      <c r="A8468" s="1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</row>
    <row r="8469" spans="1:20" ht="45.75" customHeight="1" x14ac:dyDescent="0.3">
      <c r="A8469" s="1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</row>
    <row r="8470" spans="1:20" ht="45.75" customHeight="1" x14ac:dyDescent="0.3">
      <c r="A8470" s="1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</row>
    <row r="8471" spans="1:20" ht="45.75" customHeight="1" x14ac:dyDescent="0.3">
      <c r="A8471" s="1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</row>
    <row r="8472" spans="1:20" ht="45.75" customHeight="1" x14ac:dyDescent="0.3">
      <c r="A8472" s="1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</row>
    <row r="8473" spans="1:20" ht="45.75" customHeight="1" x14ac:dyDescent="0.3">
      <c r="A8473" s="1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</row>
    <row r="8474" spans="1:20" ht="45.75" customHeight="1" x14ac:dyDescent="0.3">
      <c r="A8474" s="1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</row>
    <row r="8475" spans="1:20" ht="45.75" customHeight="1" x14ac:dyDescent="0.3">
      <c r="A8475" s="1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</row>
    <row r="8476" spans="1:20" ht="45.75" customHeight="1" x14ac:dyDescent="0.3">
      <c r="A8476" s="1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</row>
    <row r="8477" spans="1:20" ht="45.75" customHeight="1" x14ac:dyDescent="0.3">
      <c r="A8477" s="1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</row>
    <row r="8478" spans="1:20" ht="45.75" customHeight="1" x14ac:dyDescent="0.3">
      <c r="A8478" s="1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</row>
    <row r="8479" spans="1:20" ht="45.75" customHeight="1" x14ac:dyDescent="0.3">
      <c r="A8479" s="1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</row>
    <row r="8480" spans="1:20" ht="45.75" customHeight="1" x14ac:dyDescent="0.3">
      <c r="A8480" s="1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</row>
    <row r="8481" spans="1:20" ht="45.75" customHeight="1" x14ac:dyDescent="0.3">
      <c r="A8481" s="1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</row>
    <row r="8482" spans="1:20" ht="45.75" customHeight="1" x14ac:dyDescent="0.3">
      <c r="A8482" s="1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</row>
    <row r="8483" spans="1:20" ht="45.75" customHeight="1" x14ac:dyDescent="0.3">
      <c r="A8483" s="1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</row>
    <row r="8484" spans="1:20" ht="45.75" customHeight="1" x14ac:dyDescent="0.3">
      <c r="A8484" s="1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</row>
    <row r="8485" spans="1:20" ht="45.75" customHeight="1" x14ac:dyDescent="0.3">
      <c r="A8485" s="1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</row>
    <row r="8486" spans="1:20" ht="45.75" customHeight="1" x14ac:dyDescent="0.3">
      <c r="A8486" s="1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</row>
    <row r="8487" spans="1:20" ht="45.75" customHeight="1" x14ac:dyDescent="0.3">
      <c r="A8487" s="1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</row>
    <row r="8488" spans="1:20" ht="45.75" customHeight="1" x14ac:dyDescent="0.3">
      <c r="A8488" s="1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</row>
    <row r="8489" spans="1:20" ht="45.75" customHeight="1" x14ac:dyDescent="0.3">
      <c r="A8489" s="1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</row>
    <row r="8490" spans="1:20" ht="45.75" customHeight="1" x14ac:dyDescent="0.3">
      <c r="A8490" s="1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</row>
    <row r="8491" spans="1:20" ht="45.75" customHeight="1" x14ac:dyDescent="0.3">
      <c r="A8491" s="1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</row>
    <row r="8492" spans="1:20" ht="45.75" customHeight="1" x14ac:dyDescent="0.3">
      <c r="A8492" s="1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</row>
    <row r="8493" spans="1:20" ht="45.75" customHeight="1" x14ac:dyDescent="0.3">
      <c r="A8493" s="1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</row>
    <row r="8494" spans="1:20" ht="45.75" customHeight="1" x14ac:dyDescent="0.3">
      <c r="A8494" s="1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</row>
    <row r="8495" spans="1:20" ht="45.75" customHeight="1" x14ac:dyDescent="0.3">
      <c r="A8495" s="1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</row>
    <row r="8496" spans="1:20" ht="45.75" customHeight="1" x14ac:dyDescent="0.3">
      <c r="A8496" s="1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</row>
    <row r="8497" spans="1:20" ht="45.75" customHeight="1" x14ac:dyDescent="0.3">
      <c r="A8497" s="1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</row>
    <row r="8498" spans="1:20" ht="45.75" customHeight="1" x14ac:dyDescent="0.3">
      <c r="A8498" s="1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</row>
    <row r="8499" spans="1:20" ht="45.75" customHeight="1" x14ac:dyDescent="0.3">
      <c r="A8499" s="1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</row>
    <row r="8500" spans="1:20" ht="45.75" customHeight="1" x14ac:dyDescent="0.3">
      <c r="A8500" s="1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</row>
    <row r="8501" spans="1:20" ht="45.75" customHeight="1" x14ac:dyDescent="0.3">
      <c r="A8501" s="1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</row>
    <row r="8502" spans="1:20" ht="45.75" customHeight="1" x14ac:dyDescent="0.3">
      <c r="A8502" s="1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</row>
    <row r="8503" spans="1:20" ht="45.75" customHeight="1" x14ac:dyDescent="0.3">
      <c r="A8503" s="1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</row>
    <row r="8504" spans="1:20" ht="45.75" customHeight="1" x14ac:dyDescent="0.3">
      <c r="A8504" s="1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</row>
    <row r="8505" spans="1:20" ht="45.75" customHeight="1" x14ac:dyDescent="0.3">
      <c r="A8505" s="1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</row>
    <row r="8506" spans="1:20" ht="45.75" customHeight="1" x14ac:dyDescent="0.3">
      <c r="A8506" s="1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</row>
    <row r="8507" spans="1:20" ht="45.75" customHeight="1" x14ac:dyDescent="0.3">
      <c r="A8507" s="1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</row>
    <row r="8508" spans="1:20" ht="45.75" customHeight="1" x14ac:dyDescent="0.3">
      <c r="A8508" s="1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</row>
    <row r="8509" spans="1:20" ht="45.75" customHeight="1" x14ac:dyDescent="0.3">
      <c r="A8509" s="1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</row>
    <row r="8510" spans="1:20" ht="45.75" customHeight="1" x14ac:dyDescent="0.3">
      <c r="A8510" s="1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</row>
    <row r="8511" spans="1:20" ht="45.75" customHeight="1" x14ac:dyDescent="0.3">
      <c r="A8511" s="1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</row>
    <row r="8512" spans="1:20" ht="45.75" customHeight="1" x14ac:dyDescent="0.3">
      <c r="A8512" s="1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</row>
    <row r="8513" spans="1:20" ht="45.75" customHeight="1" x14ac:dyDescent="0.3">
      <c r="A8513" s="1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</row>
    <row r="8514" spans="1:20" ht="45.75" customHeight="1" x14ac:dyDescent="0.3">
      <c r="A8514" s="1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</row>
    <row r="8515" spans="1:20" ht="45.75" customHeight="1" x14ac:dyDescent="0.3">
      <c r="A8515" s="1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</row>
    <row r="8516" spans="1:20" ht="45.75" customHeight="1" x14ac:dyDescent="0.3">
      <c r="A8516" s="1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</row>
    <row r="8517" spans="1:20" ht="45.75" customHeight="1" x14ac:dyDescent="0.3">
      <c r="A8517" s="1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</row>
    <row r="8518" spans="1:20" ht="45.75" customHeight="1" x14ac:dyDescent="0.3">
      <c r="A8518" s="1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</row>
    <row r="8519" spans="1:20" ht="45.75" customHeight="1" x14ac:dyDescent="0.3">
      <c r="A8519" s="1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</row>
    <row r="8520" spans="1:20" ht="45.75" customHeight="1" x14ac:dyDescent="0.3">
      <c r="A8520" s="1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</row>
    <row r="8521" spans="1:20" ht="45.75" customHeight="1" x14ac:dyDescent="0.3">
      <c r="A8521" s="1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</row>
    <row r="8522" spans="1:20" ht="45.75" customHeight="1" x14ac:dyDescent="0.3">
      <c r="A8522" s="1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</row>
    <row r="8523" spans="1:20" ht="45.75" customHeight="1" x14ac:dyDescent="0.3">
      <c r="A8523" s="1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</row>
    <row r="8524" spans="1:20" ht="45.75" customHeight="1" x14ac:dyDescent="0.3">
      <c r="A8524" s="1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</row>
    <row r="8525" spans="1:20" ht="45.75" customHeight="1" x14ac:dyDescent="0.3">
      <c r="A8525" s="1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</row>
    <row r="8526" spans="1:20" ht="45.75" customHeight="1" x14ac:dyDescent="0.3">
      <c r="A8526" s="1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</row>
    <row r="8527" spans="1:20" ht="45.75" customHeight="1" x14ac:dyDescent="0.3">
      <c r="A8527" s="1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</row>
    <row r="8528" spans="1:20" ht="45.75" customHeight="1" x14ac:dyDescent="0.3">
      <c r="A8528" s="1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</row>
    <row r="8529" spans="1:20" ht="45.75" customHeight="1" x14ac:dyDescent="0.3">
      <c r="A8529" s="1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</row>
    <row r="8530" spans="1:20" ht="45.75" customHeight="1" x14ac:dyDescent="0.3">
      <c r="A8530" s="1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</row>
    <row r="8531" spans="1:20" ht="45.75" customHeight="1" x14ac:dyDescent="0.3">
      <c r="A8531" s="1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</row>
    <row r="8532" spans="1:20" ht="45.75" customHeight="1" x14ac:dyDescent="0.3">
      <c r="A8532" s="1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</row>
    <row r="8533" spans="1:20" ht="45.75" customHeight="1" x14ac:dyDescent="0.3">
      <c r="A8533" s="1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</row>
    <row r="8534" spans="1:20" ht="45.75" customHeight="1" x14ac:dyDescent="0.3">
      <c r="A8534" s="1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</row>
    <row r="8535" spans="1:20" ht="45.75" customHeight="1" x14ac:dyDescent="0.3">
      <c r="A8535" s="1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</row>
    <row r="8536" spans="1:20" ht="45.75" customHeight="1" x14ac:dyDescent="0.3">
      <c r="A8536" s="1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</row>
    <row r="8537" spans="1:20" ht="45.75" customHeight="1" x14ac:dyDescent="0.3">
      <c r="A8537" s="1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</row>
    <row r="8538" spans="1:20" ht="45.75" customHeight="1" x14ac:dyDescent="0.3">
      <c r="A8538" s="1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</row>
    <row r="8539" spans="1:20" ht="45.75" customHeight="1" x14ac:dyDescent="0.3">
      <c r="A8539" s="1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</row>
    <row r="8540" spans="1:20" ht="45.75" customHeight="1" x14ac:dyDescent="0.3">
      <c r="A8540" s="1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</row>
    <row r="8541" spans="1:20" ht="45.75" customHeight="1" x14ac:dyDescent="0.3">
      <c r="A8541" s="1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</row>
    <row r="8542" spans="1:20" ht="45.75" customHeight="1" x14ac:dyDescent="0.3">
      <c r="A8542" s="1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</row>
    <row r="8543" spans="1:20" ht="45.75" customHeight="1" x14ac:dyDescent="0.3">
      <c r="A8543" s="1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</row>
    <row r="8544" spans="1:20" ht="45.75" customHeight="1" x14ac:dyDescent="0.3">
      <c r="A8544" s="1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</row>
    <row r="8545" spans="1:20" ht="45.75" customHeight="1" x14ac:dyDescent="0.3">
      <c r="A8545" s="1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</row>
    <row r="8546" spans="1:20" ht="45.75" customHeight="1" x14ac:dyDescent="0.3">
      <c r="A8546" s="1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</row>
    <row r="8547" spans="1:20" ht="45.75" customHeight="1" x14ac:dyDescent="0.3">
      <c r="A8547" s="1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</row>
    <row r="8548" spans="1:20" ht="45.75" customHeight="1" x14ac:dyDescent="0.3">
      <c r="A8548" s="1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</row>
    <row r="8549" spans="1:20" ht="45.75" customHeight="1" x14ac:dyDescent="0.3">
      <c r="A8549" s="1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</row>
    <row r="8550" spans="1:20" ht="45.75" customHeight="1" x14ac:dyDescent="0.3">
      <c r="A8550" s="1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</row>
    <row r="8551" spans="1:20" ht="45.75" customHeight="1" x14ac:dyDescent="0.3">
      <c r="A8551" s="1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</row>
    <row r="8552" spans="1:20" ht="45.75" customHeight="1" x14ac:dyDescent="0.3">
      <c r="A8552" s="1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</row>
    <row r="8553" spans="1:20" ht="45.75" customHeight="1" x14ac:dyDescent="0.3">
      <c r="A8553" s="1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</row>
    <row r="8554" spans="1:20" ht="45.75" customHeight="1" x14ac:dyDescent="0.3">
      <c r="A8554" s="1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</row>
    <row r="8555" spans="1:20" ht="45.75" customHeight="1" x14ac:dyDescent="0.3">
      <c r="A8555" s="1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</row>
    <row r="8556" spans="1:20" ht="45.75" customHeight="1" x14ac:dyDescent="0.3">
      <c r="A8556" s="1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</row>
    <row r="8557" spans="1:20" ht="45.75" customHeight="1" x14ac:dyDescent="0.3">
      <c r="A8557" s="1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</row>
    <row r="8558" spans="1:20" ht="45.75" customHeight="1" x14ac:dyDescent="0.3">
      <c r="A8558" s="1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</row>
    <row r="8559" spans="1:20" ht="45.75" customHeight="1" x14ac:dyDescent="0.3">
      <c r="A8559" s="1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</row>
    <row r="8560" spans="1:20" ht="45.75" customHeight="1" x14ac:dyDescent="0.3">
      <c r="A8560" s="1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</row>
    <row r="8561" spans="1:20" ht="45.75" customHeight="1" x14ac:dyDescent="0.3">
      <c r="A8561" s="1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</row>
    <row r="8562" spans="1:20" ht="45.75" customHeight="1" x14ac:dyDescent="0.3">
      <c r="A8562" s="1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</row>
    <row r="8563" spans="1:20" ht="45.75" customHeight="1" x14ac:dyDescent="0.3">
      <c r="A8563" s="1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</row>
    <row r="8564" spans="1:20" ht="45.75" customHeight="1" x14ac:dyDescent="0.3">
      <c r="A8564" s="1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</row>
    <row r="8565" spans="1:20" ht="45.75" customHeight="1" x14ac:dyDescent="0.3">
      <c r="A8565" s="1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</row>
    <row r="8566" spans="1:20" ht="45.75" customHeight="1" x14ac:dyDescent="0.3">
      <c r="A8566" s="1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</row>
    <row r="8567" spans="1:20" ht="45.75" customHeight="1" x14ac:dyDescent="0.3">
      <c r="A8567" s="1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</row>
    <row r="8568" spans="1:20" ht="45.75" customHeight="1" x14ac:dyDescent="0.3">
      <c r="A8568" s="1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</row>
    <row r="8569" spans="1:20" ht="45.75" customHeight="1" x14ac:dyDescent="0.3">
      <c r="A8569" s="1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</row>
    <row r="8570" spans="1:20" ht="45.75" customHeight="1" x14ac:dyDescent="0.3">
      <c r="A8570" s="1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</row>
    <row r="8571" spans="1:20" ht="45.75" customHeight="1" x14ac:dyDescent="0.3">
      <c r="A8571" s="1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</row>
    <row r="8572" spans="1:20" ht="45.75" customHeight="1" x14ac:dyDescent="0.3">
      <c r="A8572" s="1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</row>
    <row r="8573" spans="1:20" ht="45.75" customHeight="1" x14ac:dyDescent="0.3">
      <c r="A8573" s="1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</row>
    <row r="8574" spans="1:20" ht="45.75" customHeight="1" x14ac:dyDescent="0.3">
      <c r="A8574" s="1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</row>
    <row r="8575" spans="1:20" ht="45.75" customHeight="1" x14ac:dyDescent="0.3">
      <c r="A8575" s="1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</row>
    <row r="8576" spans="1:20" ht="45.75" customHeight="1" x14ac:dyDescent="0.3">
      <c r="A8576" s="1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</row>
    <row r="8577" spans="1:20" ht="45.75" customHeight="1" x14ac:dyDescent="0.3">
      <c r="A8577" s="1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</row>
    <row r="8578" spans="1:20" ht="45.75" customHeight="1" x14ac:dyDescent="0.3">
      <c r="A8578" s="1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</row>
    <row r="8579" spans="1:20" ht="45.75" customHeight="1" x14ac:dyDescent="0.3">
      <c r="A8579" s="1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</row>
    <row r="8580" spans="1:20" ht="45.75" customHeight="1" x14ac:dyDescent="0.3">
      <c r="A8580" s="1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</row>
    <row r="8581" spans="1:20" ht="45.75" customHeight="1" x14ac:dyDescent="0.3">
      <c r="A8581" s="1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</row>
    <row r="8582" spans="1:20" ht="45.75" customHeight="1" x14ac:dyDescent="0.3">
      <c r="A8582" s="1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</row>
    <row r="8583" spans="1:20" ht="45.75" customHeight="1" x14ac:dyDescent="0.3">
      <c r="A8583" s="1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</row>
    <row r="8584" spans="1:20" ht="45.75" customHeight="1" x14ac:dyDescent="0.3">
      <c r="A8584" s="1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</row>
    <row r="8585" spans="1:20" ht="45.75" customHeight="1" x14ac:dyDescent="0.3">
      <c r="A8585" s="1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</row>
    <row r="8586" spans="1:20" ht="45.75" customHeight="1" x14ac:dyDescent="0.3">
      <c r="A8586" s="1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</row>
    <row r="8587" spans="1:20" ht="45.75" customHeight="1" x14ac:dyDescent="0.3">
      <c r="A8587" s="1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</row>
    <row r="8588" spans="1:20" ht="45.75" customHeight="1" x14ac:dyDescent="0.3">
      <c r="A8588" s="1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</row>
    <row r="8589" spans="1:20" ht="45.75" customHeight="1" x14ac:dyDescent="0.3">
      <c r="A8589" s="1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</row>
    <row r="8590" spans="1:20" ht="45.75" customHeight="1" x14ac:dyDescent="0.3">
      <c r="A8590" s="1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</row>
    <row r="8591" spans="1:20" ht="45.75" customHeight="1" x14ac:dyDescent="0.3">
      <c r="A8591" s="1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</row>
    <row r="8592" spans="1:20" ht="45.75" customHeight="1" x14ac:dyDescent="0.3">
      <c r="A8592" s="1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</row>
    <row r="8593" spans="1:20" ht="45.75" customHeight="1" x14ac:dyDescent="0.3">
      <c r="A8593" s="1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</row>
    <row r="8594" spans="1:20" ht="45.75" customHeight="1" x14ac:dyDescent="0.3">
      <c r="A8594" s="1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</row>
    <row r="8595" spans="1:20" ht="45.75" customHeight="1" x14ac:dyDescent="0.3">
      <c r="A8595" s="1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</row>
    <row r="8596" spans="1:20" ht="45.75" customHeight="1" x14ac:dyDescent="0.3">
      <c r="A8596" s="1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</row>
    <row r="8597" spans="1:20" ht="45.75" customHeight="1" x14ac:dyDescent="0.3">
      <c r="A8597" s="1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</row>
    <row r="8598" spans="1:20" ht="45.75" customHeight="1" x14ac:dyDescent="0.3">
      <c r="A8598" s="1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</row>
    <row r="8599" spans="1:20" ht="45.75" customHeight="1" x14ac:dyDescent="0.3">
      <c r="A8599" s="1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</row>
    <row r="8600" spans="1:20" ht="45.75" customHeight="1" x14ac:dyDescent="0.3">
      <c r="A8600" s="1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</row>
    <row r="8601" spans="1:20" ht="45.75" customHeight="1" x14ac:dyDescent="0.3">
      <c r="A8601" s="1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</row>
    <row r="8602" spans="1:20" ht="45.75" customHeight="1" x14ac:dyDescent="0.3">
      <c r="A8602" s="1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</row>
    <row r="8603" spans="1:20" ht="45.75" customHeight="1" x14ac:dyDescent="0.3">
      <c r="A8603" s="1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</row>
    <row r="8604" spans="1:20" ht="45.75" customHeight="1" x14ac:dyDescent="0.3">
      <c r="A8604" s="1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</row>
    <row r="8605" spans="1:20" ht="45.75" customHeight="1" x14ac:dyDescent="0.3">
      <c r="A8605" s="1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</row>
    <row r="8606" spans="1:20" ht="45.75" customHeight="1" x14ac:dyDescent="0.3">
      <c r="A8606" s="1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</row>
    <row r="8607" spans="1:20" ht="45.75" customHeight="1" x14ac:dyDescent="0.3">
      <c r="A8607" s="1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</row>
    <row r="8608" spans="1:20" ht="45.75" customHeight="1" x14ac:dyDescent="0.3">
      <c r="A8608" s="1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</row>
    <row r="8609" spans="1:20" ht="45.75" customHeight="1" x14ac:dyDescent="0.3">
      <c r="A8609" s="1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</row>
    <row r="8610" spans="1:20" ht="45.75" customHeight="1" x14ac:dyDescent="0.3">
      <c r="A8610" s="1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</row>
    <row r="8611" spans="1:20" ht="45.75" customHeight="1" x14ac:dyDescent="0.3">
      <c r="A8611" s="1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</row>
    <row r="8612" spans="1:20" ht="45.75" customHeight="1" x14ac:dyDescent="0.3">
      <c r="A8612" s="1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</row>
    <row r="8613" spans="1:20" ht="45.75" customHeight="1" x14ac:dyDescent="0.3">
      <c r="A8613" s="1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</row>
    <row r="8614" spans="1:20" ht="45.75" customHeight="1" x14ac:dyDescent="0.3">
      <c r="A8614" s="1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</row>
    <row r="8615" spans="1:20" ht="45.75" customHeight="1" x14ac:dyDescent="0.3">
      <c r="A8615" s="1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</row>
    <row r="8616" spans="1:20" ht="45.75" customHeight="1" x14ac:dyDescent="0.3">
      <c r="A8616" s="1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</row>
    <row r="8617" spans="1:20" ht="45.75" customHeight="1" x14ac:dyDescent="0.3">
      <c r="A8617" s="1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</row>
    <row r="8618" spans="1:20" ht="45.75" customHeight="1" x14ac:dyDescent="0.3">
      <c r="A8618" s="1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</row>
    <row r="8619" spans="1:20" ht="45.75" customHeight="1" x14ac:dyDescent="0.3">
      <c r="A8619" s="1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</row>
    <row r="8620" spans="1:20" ht="45.75" customHeight="1" x14ac:dyDescent="0.3">
      <c r="A8620" s="1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</row>
    <row r="8621" spans="1:20" ht="45.75" customHeight="1" x14ac:dyDescent="0.3">
      <c r="A8621" s="1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</row>
    <row r="8622" spans="1:20" ht="45.75" customHeight="1" x14ac:dyDescent="0.3">
      <c r="A8622" s="1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</row>
    <row r="8623" spans="1:20" ht="45.75" customHeight="1" x14ac:dyDescent="0.3">
      <c r="A8623" s="1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</row>
    <row r="8624" spans="1:20" ht="45.75" customHeight="1" x14ac:dyDescent="0.3">
      <c r="A8624" s="1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</row>
    <row r="8625" spans="1:20" ht="45.75" customHeight="1" x14ac:dyDescent="0.3">
      <c r="A8625" s="1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</row>
    <row r="8626" spans="1:20" ht="45.75" customHeight="1" x14ac:dyDescent="0.3">
      <c r="A8626" s="1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</row>
    <row r="8627" spans="1:20" ht="45.75" customHeight="1" x14ac:dyDescent="0.3">
      <c r="A8627" s="1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</row>
    <row r="8628" spans="1:20" ht="45.75" customHeight="1" x14ac:dyDescent="0.3">
      <c r="A8628" s="1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</row>
    <row r="8629" spans="1:20" ht="45.75" customHeight="1" x14ac:dyDescent="0.3">
      <c r="A8629" s="1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</row>
    <row r="8630" spans="1:20" ht="45.75" customHeight="1" x14ac:dyDescent="0.3">
      <c r="A8630" s="1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</row>
    <row r="8631" spans="1:20" ht="45.75" customHeight="1" x14ac:dyDescent="0.3">
      <c r="A8631" s="1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</row>
    <row r="8632" spans="1:20" ht="45.75" customHeight="1" x14ac:dyDescent="0.3">
      <c r="A8632" s="1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</row>
    <row r="8633" spans="1:20" ht="45.75" customHeight="1" x14ac:dyDescent="0.3">
      <c r="A8633" s="1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</row>
    <row r="8634" spans="1:20" ht="45.75" customHeight="1" x14ac:dyDescent="0.3">
      <c r="A8634" s="1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</row>
    <row r="8635" spans="1:20" ht="45.75" customHeight="1" x14ac:dyDescent="0.3">
      <c r="A8635" s="1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</row>
    <row r="8636" spans="1:20" ht="45.75" customHeight="1" x14ac:dyDescent="0.3">
      <c r="A8636" s="1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</row>
    <row r="8637" spans="1:20" ht="45.75" customHeight="1" x14ac:dyDescent="0.3">
      <c r="A8637" s="1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</row>
    <row r="8638" spans="1:20" ht="45.75" customHeight="1" x14ac:dyDescent="0.3">
      <c r="A8638" s="1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</row>
    <row r="8639" spans="1:20" ht="45.75" customHeight="1" x14ac:dyDescent="0.3">
      <c r="A8639" s="1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</row>
    <row r="8640" spans="1:20" ht="45.75" customHeight="1" x14ac:dyDescent="0.3">
      <c r="A8640" s="1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</row>
    <row r="8641" spans="1:20" ht="45.75" customHeight="1" x14ac:dyDescent="0.3">
      <c r="A8641" s="1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</row>
    <row r="8642" spans="1:20" ht="45.75" customHeight="1" x14ac:dyDescent="0.3">
      <c r="A8642" s="1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</row>
    <row r="8643" spans="1:20" ht="45.75" customHeight="1" x14ac:dyDescent="0.3">
      <c r="A8643" s="1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</row>
    <row r="8644" spans="1:20" ht="45.75" customHeight="1" x14ac:dyDescent="0.3">
      <c r="A8644" s="1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</row>
    <row r="8645" spans="1:20" ht="45.75" customHeight="1" x14ac:dyDescent="0.3">
      <c r="A8645" s="1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</row>
    <row r="8646" spans="1:20" ht="45.75" customHeight="1" x14ac:dyDescent="0.3">
      <c r="A8646" s="1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</row>
    <row r="8647" spans="1:20" ht="45.75" customHeight="1" x14ac:dyDescent="0.3">
      <c r="A8647" s="1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</row>
    <row r="8648" spans="1:20" ht="45.75" customHeight="1" x14ac:dyDescent="0.3">
      <c r="A8648" s="1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</row>
    <row r="8649" spans="1:20" ht="45.75" customHeight="1" x14ac:dyDescent="0.3">
      <c r="A8649" s="1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</row>
    <row r="8650" spans="1:20" ht="45.75" customHeight="1" x14ac:dyDescent="0.3">
      <c r="A8650" s="1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</row>
    <row r="8651" spans="1:20" ht="45.75" customHeight="1" x14ac:dyDescent="0.3">
      <c r="A8651" s="1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</row>
    <row r="8652" spans="1:20" ht="45.75" customHeight="1" x14ac:dyDescent="0.3">
      <c r="A8652" s="1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</row>
    <row r="8653" spans="1:20" ht="45.75" customHeight="1" x14ac:dyDescent="0.3">
      <c r="A8653" s="1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</row>
    <row r="8654" spans="1:20" ht="45.75" customHeight="1" x14ac:dyDescent="0.3">
      <c r="A8654" s="1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</row>
    <row r="8655" spans="1:20" ht="45.75" customHeight="1" x14ac:dyDescent="0.3">
      <c r="A8655" s="1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</row>
    <row r="8656" spans="1:20" ht="45.75" customHeight="1" x14ac:dyDescent="0.3">
      <c r="A8656" s="1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</row>
    <row r="8657" spans="1:20" ht="45.75" customHeight="1" x14ac:dyDescent="0.3">
      <c r="A8657" s="1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</row>
    <row r="8658" spans="1:20" ht="45.75" customHeight="1" x14ac:dyDescent="0.3">
      <c r="A8658" s="1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</row>
    <row r="8659" spans="1:20" ht="45.75" customHeight="1" x14ac:dyDescent="0.3">
      <c r="A8659" s="1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</row>
    <row r="8660" spans="1:20" ht="45.75" customHeight="1" x14ac:dyDescent="0.3">
      <c r="A8660" s="1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</row>
    <row r="8661" spans="1:20" ht="45.75" customHeight="1" x14ac:dyDescent="0.3">
      <c r="A8661" s="1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</row>
    <row r="8662" spans="1:20" ht="45.75" customHeight="1" x14ac:dyDescent="0.3">
      <c r="A8662" s="1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</row>
    <row r="8663" spans="1:20" ht="45.75" customHeight="1" x14ac:dyDescent="0.3">
      <c r="A8663" s="1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</row>
    <row r="8664" spans="1:20" ht="45.75" customHeight="1" x14ac:dyDescent="0.3">
      <c r="A8664" s="1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</row>
    <row r="8665" spans="1:20" ht="45.75" customHeight="1" x14ac:dyDescent="0.3">
      <c r="A8665" s="1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</row>
    <row r="8666" spans="1:20" ht="45.75" customHeight="1" x14ac:dyDescent="0.3">
      <c r="A8666" s="1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</row>
    <row r="8667" spans="1:20" ht="45.75" customHeight="1" x14ac:dyDescent="0.3">
      <c r="A8667" s="1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</row>
    <row r="8668" spans="1:20" ht="45.75" customHeight="1" x14ac:dyDescent="0.3">
      <c r="A8668" s="1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</row>
    <row r="8669" spans="1:20" ht="45.75" customHeight="1" x14ac:dyDescent="0.3">
      <c r="A8669" s="1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</row>
    <row r="8670" spans="1:20" ht="45.75" customHeight="1" x14ac:dyDescent="0.3">
      <c r="A8670" s="1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</row>
    <row r="8671" spans="1:20" ht="45.75" customHeight="1" x14ac:dyDescent="0.3">
      <c r="A8671" s="1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</row>
    <row r="8672" spans="1:20" ht="45.75" customHeight="1" x14ac:dyDescent="0.3">
      <c r="A8672" s="1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</row>
    <row r="8673" spans="1:20" ht="45.75" customHeight="1" x14ac:dyDescent="0.3">
      <c r="A8673" s="1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</row>
    <row r="8674" spans="1:20" ht="45.75" customHeight="1" x14ac:dyDescent="0.3">
      <c r="A8674" s="1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</row>
    <row r="8675" spans="1:20" ht="45.75" customHeight="1" x14ac:dyDescent="0.3">
      <c r="A8675" s="1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</row>
    <row r="8676" spans="1:20" ht="45.75" customHeight="1" x14ac:dyDescent="0.3">
      <c r="A8676" s="1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</row>
    <row r="8677" spans="1:20" ht="45.75" customHeight="1" x14ac:dyDescent="0.3">
      <c r="A8677" s="1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</row>
    <row r="8678" spans="1:20" ht="45.75" customHeight="1" x14ac:dyDescent="0.3">
      <c r="A8678" s="1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</row>
    <row r="8679" spans="1:20" ht="45.75" customHeight="1" x14ac:dyDescent="0.3">
      <c r="A8679" s="1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</row>
    <row r="8680" spans="1:20" ht="45.75" customHeight="1" x14ac:dyDescent="0.3">
      <c r="A8680" s="1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</row>
    <row r="8681" spans="1:20" ht="45.75" customHeight="1" x14ac:dyDescent="0.3">
      <c r="A8681" s="1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</row>
    <row r="8682" spans="1:20" ht="45.75" customHeight="1" x14ac:dyDescent="0.3">
      <c r="A8682" s="1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</row>
    <row r="8683" spans="1:20" ht="45.75" customHeight="1" x14ac:dyDescent="0.3">
      <c r="A8683" s="1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</row>
    <row r="8684" spans="1:20" ht="45.75" customHeight="1" x14ac:dyDescent="0.3">
      <c r="A8684" s="1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</row>
    <row r="8685" spans="1:20" ht="45.75" customHeight="1" x14ac:dyDescent="0.3">
      <c r="A8685" s="1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</row>
    <row r="8686" spans="1:20" ht="45.75" customHeight="1" x14ac:dyDescent="0.3">
      <c r="A8686" s="1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</row>
    <row r="8687" spans="1:20" ht="45.75" customHeight="1" x14ac:dyDescent="0.3">
      <c r="A8687" s="1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</row>
    <row r="8688" spans="1:20" ht="45.75" customHeight="1" x14ac:dyDescent="0.3">
      <c r="A8688" s="1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</row>
    <row r="8689" spans="1:20" ht="45.75" customHeight="1" x14ac:dyDescent="0.3">
      <c r="A8689" s="1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</row>
    <row r="8690" spans="1:20" ht="45.75" customHeight="1" x14ac:dyDescent="0.3">
      <c r="A8690" s="1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</row>
    <row r="8691" spans="1:20" ht="45.75" customHeight="1" x14ac:dyDescent="0.3">
      <c r="A8691" s="1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</row>
    <row r="8692" spans="1:20" ht="45.75" customHeight="1" x14ac:dyDescent="0.3">
      <c r="A8692" s="1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</row>
    <row r="8693" spans="1:20" ht="45.75" customHeight="1" x14ac:dyDescent="0.3">
      <c r="A8693" s="1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</row>
    <row r="8694" spans="1:20" ht="45.75" customHeight="1" x14ac:dyDescent="0.3">
      <c r="A8694" s="1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</row>
    <row r="8695" spans="1:20" ht="45.75" customHeight="1" x14ac:dyDescent="0.3">
      <c r="A8695" s="1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</row>
    <row r="8696" spans="1:20" ht="45.75" customHeight="1" x14ac:dyDescent="0.3">
      <c r="A8696" s="1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</row>
    <row r="8697" spans="1:20" ht="45.75" customHeight="1" x14ac:dyDescent="0.3">
      <c r="A8697" s="1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</row>
    <row r="8698" spans="1:20" ht="45.75" customHeight="1" x14ac:dyDescent="0.3">
      <c r="A8698" s="1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</row>
    <row r="8699" spans="1:20" ht="45.75" customHeight="1" x14ac:dyDescent="0.3">
      <c r="A8699" s="1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</row>
    <row r="8700" spans="1:20" ht="45.75" customHeight="1" x14ac:dyDescent="0.3">
      <c r="A8700" s="1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</row>
    <row r="8701" spans="1:20" ht="45.75" customHeight="1" x14ac:dyDescent="0.3">
      <c r="A8701" s="1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</row>
    <row r="8702" spans="1:20" ht="45.75" customHeight="1" x14ac:dyDescent="0.3">
      <c r="A8702" s="1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</row>
    <row r="8703" spans="1:20" ht="45.75" customHeight="1" x14ac:dyDescent="0.3">
      <c r="A8703" s="1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</row>
    <row r="8704" spans="1:20" ht="45.75" customHeight="1" x14ac:dyDescent="0.3">
      <c r="A8704" s="1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</row>
    <row r="8705" spans="1:20" ht="45.75" customHeight="1" x14ac:dyDescent="0.3">
      <c r="A8705" s="1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</row>
    <row r="8706" spans="1:20" ht="45.75" customHeight="1" x14ac:dyDescent="0.3">
      <c r="A8706" s="1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</row>
    <row r="8707" spans="1:20" ht="45.75" customHeight="1" x14ac:dyDescent="0.3">
      <c r="A8707" s="1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</row>
    <row r="8708" spans="1:20" ht="45.75" customHeight="1" x14ac:dyDescent="0.3">
      <c r="A8708" s="1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</row>
    <row r="8709" spans="1:20" ht="45.75" customHeight="1" x14ac:dyDescent="0.3">
      <c r="A8709" s="1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</row>
    <row r="8710" spans="1:20" ht="45.75" customHeight="1" x14ac:dyDescent="0.3">
      <c r="A8710" s="1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</row>
    <row r="8711" spans="1:20" ht="45.75" customHeight="1" x14ac:dyDescent="0.3">
      <c r="A8711" s="1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</row>
    <row r="8712" spans="1:20" ht="45.75" customHeight="1" x14ac:dyDescent="0.3">
      <c r="A8712" s="1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</row>
    <row r="8713" spans="1:20" ht="45.75" customHeight="1" x14ac:dyDescent="0.3">
      <c r="A8713" s="1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</row>
    <row r="8714" spans="1:20" ht="45.75" customHeight="1" x14ac:dyDescent="0.3">
      <c r="A8714" s="1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</row>
    <row r="8715" spans="1:20" ht="45.75" customHeight="1" x14ac:dyDescent="0.3">
      <c r="A8715" s="1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</row>
    <row r="8716" spans="1:20" ht="45.75" customHeight="1" x14ac:dyDescent="0.3">
      <c r="A8716" s="1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</row>
    <row r="8717" spans="1:20" ht="45.75" customHeight="1" x14ac:dyDescent="0.3">
      <c r="A8717" s="1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</row>
    <row r="8718" spans="1:20" ht="45.75" customHeight="1" x14ac:dyDescent="0.3">
      <c r="A8718" s="1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</row>
    <row r="8719" spans="1:20" ht="45.75" customHeight="1" x14ac:dyDescent="0.3">
      <c r="A8719" s="1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</row>
    <row r="8720" spans="1:20" ht="45.75" customHeight="1" x14ac:dyDescent="0.3">
      <c r="A8720" s="1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</row>
    <row r="8721" spans="1:20" ht="45.75" customHeight="1" x14ac:dyDescent="0.3">
      <c r="A8721" s="1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</row>
    <row r="8722" spans="1:20" ht="45.75" customHeight="1" x14ac:dyDescent="0.3">
      <c r="A8722" s="1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</row>
    <row r="8723" spans="1:20" ht="45.75" customHeight="1" x14ac:dyDescent="0.3">
      <c r="A8723" s="1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</row>
    <row r="8724" spans="1:20" ht="45.75" customHeight="1" x14ac:dyDescent="0.3">
      <c r="A8724" s="1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</row>
    <row r="8725" spans="1:20" ht="45.75" customHeight="1" x14ac:dyDescent="0.3">
      <c r="A8725" s="1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</row>
    <row r="8726" spans="1:20" ht="45.75" customHeight="1" x14ac:dyDescent="0.3">
      <c r="A8726" s="1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</row>
    <row r="8727" spans="1:20" ht="45.75" customHeight="1" x14ac:dyDescent="0.3">
      <c r="A8727" s="1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</row>
    <row r="8728" spans="1:20" ht="45.75" customHeight="1" x14ac:dyDescent="0.3">
      <c r="A8728" s="1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</row>
    <row r="8729" spans="1:20" ht="45.75" customHeight="1" x14ac:dyDescent="0.3">
      <c r="A8729" s="1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</row>
    <row r="8730" spans="1:20" ht="45.75" customHeight="1" x14ac:dyDescent="0.3">
      <c r="A8730" s="1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</row>
    <row r="8731" spans="1:20" ht="45.75" customHeight="1" x14ac:dyDescent="0.3">
      <c r="A8731" s="1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</row>
    <row r="8732" spans="1:20" ht="45.75" customHeight="1" x14ac:dyDescent="0.3">
      <c r="A8732" s="1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</row>
    <row r="8733" spans="1:20" ht="45.75" customHeight="1" x14ac:dyDescent="0.3">
      <c r="A8733" s="1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</row>
    <row r="8734" spans="1:20" ht="45.75" customHeight="1" x14ac:dyDescent="0.3">
      <c r="A8734" s="1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</row>
    <row r="8735" spans="1:20" ht="45.75" customHeight="1" x14ac:dyDescent="0.3">
      <c r="A8735" s="1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</row>
    <row r="8736" spans="1:20" ht="45.75" customHeight="1" x14ac:dyDescent="0.3">
      <c r="A8736" s="1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</row>
    <row r="8737" spans="1:20" ht="45.75" customHeight="1" x14ac:dyDescent="0.3">
      <c r="A8737" s="1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</row>
    <row r="8738" spans="1:20" ht="45.75" customHeight="1" x14ac:dyDescent="0.3">
      <c r="A8738" s="1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</row>
    <row r="8739" spans="1:20" ht="45.75" customHeight="1" x14ac:dyDescent="0.3">
      <c r="A8739" s="1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</row>
    <row r="8740" spans="1:20" ht="45.75" customHeight="1" x14ac:dyDescent="0.3">
      <c r="A8740" s="1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</row>
    <row r="8741" spans="1:20" ht="45.75" customHeight="1" x14ac:dyDescent="0.3">
      <c r="A8741" s="1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</row>
    <row r="8742" spans="1:20" ht="45.75" customHeight="1" x14ac:dyDescent="0.3">
      <c r="A8742" s="1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</row>
    <row r="8743" spans="1:20" ht="45.75" customHeight="1" x14ac:dyDescent="0.3">
      <c r="A8743" s="1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</row>
    <row r="8744" spans="1:20" ht="45.75" customHeight="1" x14ac:dyDescent="0.3">
      <c r="A8744" s="1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</row>
    <row r="8745" spans="1:20" ht="45.75" customHeight="1" x14ac:dyDescent="0.3">
      <c r="A8745" s="1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</row>
    <row r="8746" spans="1:20" ht="45.75" customHeight="1" x14ac:dyDescent="0.3">
      <c r="A8746" s="1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</row>
    <row r="8747" spans="1:20" ht="45.75" customHeight="1" x14ac:dyDescent="0.3">
      <c r="A8747" s="1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</row>
    <row r="8748" spans="1:20" ht="45.75" customHeight="1" x14ac:dyDescent="0.3">
      <c r="A8748" s="1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</row>
    <row r="8749" spans="1:20" ht="45.75" customHeight="1" x14ac:dyDescent="0.3">
      <c r="A8749" s="1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</row>
    <row r="8750" spans="1:20" ht="45.75" customHeight="1" x14ac:dyDescent="0.3">
      <c r="A8750" s="1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</row>
    <row r="8751" spans="1:20" ht="45.75" customHeight="1" x14ac:dyDescent="0.3">
      <c r="A8751" s="1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</row>
    <row r="8752" spans="1:20" ht="45.75" customHeight="1" x14ac:dyDescent="0.3">
      <c r="A8752" s="1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</row>
    <row r="8753" spans="1:20" ht="45.75" customHeight="1" x14ac:dyDescent="0.3">
      <c r="A8753" s="1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</row>
    <row r="8754" spans="1:20" ht="45.75" customHeight="1" x14ac:dyDescent="0.3">
      <c r="A8754" s="1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</row>
    <row r="8755" spans="1:20" ht="45.75" customHeight="1" x14ac:dyDescent="0.3">
      <c r="A8755" s="1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</row>
    <row r="8756" spans="1:20" ht="45.75" customHeight="1" x14ac:dyDescent="0.3">
      <c r="A8756" s="1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</row>
    <row r="8757" spans="1:20" ht="45.75" customHeight="1" x14ac:dyDescent="0.3">
      <c r="A8757" s="1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</row>
    <row r="8758" spans="1:20" ht="45.75" customHeight="1" x14ac:dyDescent="0.3">
      <c r="A8758" s="1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</row>
    <row r="8759" spans="1:20" ht="45.75" customHeight="1" x14ac:dyDescent="0.3">
      <c r="A8759" s="1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</row>
    <row r="8760" spans="1:20" ht="45.75" customHeight="1" x14ac:dyDescent="0.3">
      <c r="A8760" s="1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</row>
    <row r="8761" spans="1:20" ht="45.75" customHeight="1" x14ac:dyDescent="0.3">
      <c r="A8761" s="1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</row>
    <row r="8762" spans="1:20" ht="45.75" customHeight="1" x14ac:dyDescent="0.3">
      <c r="A8762" s="1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</row>
    <row r="8763" spans="1:20" ht="45.75" customHeight="1" x14ac:dyDescent="0.3">
      <c r="A8763" s="1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</row>
    <row r="8764" spans="1:20" ht="45.75" customHeight="1" x14ac:dyDescent="0.3">
      <c r="A8764" s="1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</row>
    <row r="8765" spans="1:20" ht="45.75" customHeight="1" x14ac:dyDescent="0.3">
      <c r="A8765" s="1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</row>
    <row r="8766" spans="1:20" ht="45.75" customHeight="1" x14ac:dyDescent="0.3">
      <c r="A8766" s="1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</row>
    <row r="8767" spans="1:20" ht="45.75" customHeight="1" x14ac:dyDescent="0.3">
      <c r="A8767" s="1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</row>
    <row r="8768" spans="1:20" ht="45.75" customHeight="1" x14ac:dyDescent="0.3">
      <c r="A8768" s="1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</row>
    <row r="8769" spans="1:20" ht="45.75" customHeight="1" x14ac:dyDescent="0.3">
      <c r="A8769" s="1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</row>
    <row r="8770" spans="1:20" ht="45.75" customHeight="1" x14ac:dyDescent="0.3">
      <c r="A8770" s="1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</row>
    <row r="8771" spans="1:20" ht="45.75" customHeight="1" x14ac:dyDescent="0.3">
      <c r="A8771" s="1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</row>
    <row r="8772" spans="1:20" ht="45.75" customHeight="1" x14ac:dyDescent="0.3">
      <c r="A8772" s="1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</row>
    <row r="8773" spans="1:20" ht="45.75" customHeight="1" x14ac:dyDescent="0.3">
      <c r="A8773" s="1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</row>
    <row r="8774" spans="1:20" ht="45.75" customHeight="1" x14ac:dyDescent="0.3">
      <c r="A8774" s="1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</row>
    <row r="8775" spans="1:20" ht="45.75" customHeight="1" x14ac:dyDescent="0.3">
      <c r="A8775" s="1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</row>
    <row r="8776" spans="1:20" ht="45.75" customHeight="1" x14ac:dyDescent="0.3">
      <c r="A8776" s="1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</row>
    <row r="8777" spans="1:20" ht="45.75" customHeight="1" x14ac:dyDescent="0.3">
      <c r="A8777" s="1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</row>
    <row r="8778" spans="1:20" ht="45.75" customHeight="1" x14ac:dyDescent="0.3">
      <c r="A8778" s="1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</row>
    <row r="8779" spans="1:20" ht="45.75" customHeight="1" x14ac:dyDescent="0.3">
      <c r="A8779" s="1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</row>
    <row r="8780" spans="1:20" ht="45.75" customHeight="1" x14ac:dyDescent="0.3">
      <c r="A8780" s="1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</row>
    <row r="8781" spans="1:20" ht="45.75" customHeight="1" x14ac:dyDescent="0.3">
      <c r="A8781" s="1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</row>
    <row r="8782" spans="1:20" ht="45.75" customHeight="1" x14ac:dyDescent="0.3">
      <c r="A8782" s="1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</row>
    <row r="8783" spans="1:20" ht="45.75" customHeight="1" x14ac:dyDescent="0.3">
      <c r="A8783" s="1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</row>
    <row r="8784" spans="1:20" ht="45.75" customHeight="1" x14ac:dyDescent="0.3">
      <c r="A8784" s="1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</row>
    <row r="8785" spans="1:20" ht="45.75" customHeight="1" x14ac:dyDescent="0.3">
      <c r="A8785" s="1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</row>
    <row r="8786" spans="1:20" ht="45.75" customHeight="1" x14ac:dyDescent="0.3">
      <c r="A8786" s="1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</row>
    <row r="8787" spans="1:20" ht="45.75" customHeight="1" x14ac:dyDescent="0.3">
      <c r="A8787" s="1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</row>
    <row r="8788" spans="1:20" ht="45.75" customHeight="1" x14ac:dyDescent="0.3">
      <c r="A8788" s="1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</row>
    <row r="8789" spans="1:20" ht="45.75" customHeight="1" x14ac:dyDescent="0.3">
      <c r="A8789" s="1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</row>
    <row r="8790" spans="1:20" ht="45.75" customHeight="1" x14ac:dyDescent="0.3">
      <c r="A8790" s="1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</row>
    <row r="8791" spans="1:20" ht="45.75" customHeight="1" x14ac:dyDescent="0.3">
      <c r="A8791" s="1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</row>
    <row r="8792" spans="1:20" ht="45.75" customHeight="1" x14ac:dyDescent="0.3">
      <c r="A8792" s="1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</row>
    <row r="8793" spans="1:20" ht="45.75" customHeight="1" x14ac:dyDescent="0.3">
      <c r="A8793" s="1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</row>
    <row r="8794" spans="1:20" ht="45.75" customHeight="1" x14ac:dyDescent="0.3">
      <c r="A8794" s="1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</row>
    <row r="8795" spans="1:20" ht="45.75" customHeight="1" x14ac:dyDescent="0.3">
      <c r="A8795" s="1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</row>
    <row r="8796" spans="1:20" ht="45.75" customHeight="1" x14ac:dyDescent="0.3">
      <c r="A8796" s="1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</row>
    <row r="8797" spans="1:20" ht="45.75" customHeight="1" x14ac:dyDescent="0.3">
      <c r="A8797" s="1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</row>
    <row r="8798" spans="1:20" ht="45.75" customHeight="1" x14ac:dyDescent="0.3">
      <c r="A8798" s="1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</row>
    <row r="8799" spans="1:20" ht="45.75" customHeight="1" x14ac:dyDescent="0.3">
      <c r="A8799" s="1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</row>
    <row r="8800" spans="1:20" ht="45.75" customHeight="1" x14ac:dyDescent="0.3">
      <c r="A8800" s="1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</row>
    <row r="8801" spans="1:20" ht="45.75" customHeight="1" x14ac:dyDescent="0.3">
      <c r="A8801" s="1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</row>
    <row r="8802" spans="1:20" ht="45.75" customHeight="1" x14ac:dyDescent="0.3">
      <c r="A8802" s="1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</row>
    <row r="8803" spans="1:20" ht="45.75" customHeight="1" x14ac:dyDescent="0.3">
      <c r="A8803" s="1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</row>
    <row r="8804" spans="1:20" ht="45.75" customHeight="1" x14ac:dyDescent="0.3">
      <c r="A8804" s="1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</row>
    <row r="8805" spans="1:20" ht="45.75" customHeight="1" x14ac:dyDescent="0.3">
      <c r="A8805" s="1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</row>
    <row r="8806" spans="1:20" ht="45.75" customHeight="1" x14ac:dyDescent="0.3">
      <c r="A8806" s="1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</row>
    <row r="8807" spans="1:20" ht="45.75" customHeight="1" x14ac:dyDescent="0.3">
      <c r="A8807" s="1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</row>
    <row r="8808" spans="1:20" ht="45.75" customHeight="1" x14ac:dyDescent="0.3">
      <c r="A8808" s="1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</row>
    <row r="8809" spans="1:20" ht="45.75" customHeight="1" x14ac:dyDescent="0.3">
      <c r="A8809" s="1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</row>
    <row r="8810" spans="1:20" ht="45.75" customHeight="1" x14ac:dyDescent="0.3">
      <c r="A8810" s="1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</row>
    <row r="8811" spans="1:20" ht="45.75" customHeight="1" x14ac:dyDescent="0.3">
      <c r="A8811" s="1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</row>
    <row r="8812" spans="1:20" ht="45.75" customHeight="1" x14ac:dyDescent="0.3">
      <c r="A8812" s="1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</row>
    <row r="8813" spans="1:20" ht="45.75" customHeight="1" x14ac:dyDescent="0.3">
      <c r="A8813" s="1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</row>
    <row r="8814" spans="1:20" ht="45.75" customHeight="1" x14ac:dyDescent="0.3">
      <c r="A8814" s="1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</row>
    <row r="8815" spans="1:20" ht="45.75" customHeight="1" x14ac:dyDescent="0.3">
      <c r="A8815" s="1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</row>
    <row r="8816" spans="1:20" ht="45.75" customHeight="1" x14ac:dyDescent="0.3">
      <c r="A8816" s="1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</row>
    <row r="8817" spans="1:20" ht="45.75" customHeight="1" x14ac:dyDescent="0.3">
      <c r="A8817" s="1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</row>
    <row r="8818" spans="1:20" ht="45.75" customHeight="1" x14ac:dyDescent="0.3">
      <c r="A8818" s="1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</row>
    <row r="8819" spans="1:20" ht="45.75" customHeight="1" x14ac:dyDescent="0.3">
      <c r="A8819" s="1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</row>
    <row r="8820" spans="1:20" ht="45.75" customHeight="1" x14ac:dyDescent="0.3">
      <c r="A8820" s="1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</row>
    <row r="8821" spans="1:20" ht="45.75" customHeight="1" x14ac:dyDescent="0.3">
      <c r="A8821" s="1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</row>
    <row r="8822" spans="1:20" ht="45.75" customHeight="1" x14ac:dyDescent="0.3">
      <c r="A8822" s="1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</row>
    <row r="8823" spans="1:20" ht="45.75" customHeight="1" x14ac:dyDescent="0.3">
      <c r="A8823" s="1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</row>
    <row r="8824" spans="1:20" ht="45.75" customHeight="1" x14ac:dyDescent="0.3">
      <c r="A8824" s="1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</row>
    <row r="8825" spans="1:20" ht="45.75" customHeight="1" x14ac:dyDescent="0.3">
      <c r="A8825" s="1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</row>
    <row r="8826" spans="1:20" ht="45.75" customHeight="1" x14ac:dyDescent="0.3">
      <c r="A8826" s="1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</row>
    <row r="8827" spans="1:20" ht="45.75" customHeight="1" x14ac:dyDescent="0.3">
      <c r="A8827" s="1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</row>
    <row r="8828" spans="1:20" ht="45.75" customHeight="1" x14ac:dyDescent="0.3">
      <c r="A8828" s="1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</row>
    <row r="8829" spans="1:20" ht="45.75" customHeight="1" x14ac:dyDescent="0.3">
      <c r="A8829" s="1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</row>
    <row r="8830" spans="1:20" ht="45.75" customHeight="1" x14ac:dyDescent="0.3">
      <c r="A8830" s="1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</row>
    <row r="8831" spans="1:20" ht="45.75" customHeight="1" x14ac:dyDescent="0.3">
      <c r="A8831" s="1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</row>
    <row r="8832" spans="1:20" ht="45.75" customHeight="1" x14ac:dyDescent="0.3">
      <c r="A8832" s="1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</row>
    <row r="8833" spans="1:20" ht="45.75" customHeight="1" x14ac:dyDescent="0.3">
      <c r="A8833" s="1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</row>
    <row r="8834" spans="1:20" ht="45.75" customHeight="1" x14ac:dyDescent="0.3">
      <c r="A8834" s="1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</row>
    <row r="8835" spans="1:20" ht="45.75" customHeight="1" x14ac:dyDescent="0.3">
      <c r="A8835" s="1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</row>
    <row r="8836" spans="1:20" ht="45.75" customHeight="1" x14ac:dyDescent="0.3">
      <c r="A8836" s="1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</row>
    <row r="8837" spans="1:20" ht="45.75" customHeight="1" x14ac:dyDescent="0.3">
      <c r="A8837" s="1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</row>
    <row r="8838" spans="1:20" ht="45.75" customHeight="1" x14ac:dyDescent="0.3">
      <c r="A8838" s="1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</row>
    <row r="8839" spans="1:20" ht="45.75" customHeight="1" x14ac:dyDescent="0.3">
      <c r="A8839" s="1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</row>
    <row r="8840" spans="1:20" ht="45.75" customHeight="1" x14ac:dyDescent="0.3">
      <c r="A8840" s="1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</row>
    <row r="8841" spans="1:20" ht="45.75" customHeight="1" x14ac:dyDescent="0.3">
      <c r="A8841" s="1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</row>
    <row r="8842" spans="1:20" ht="45.75" customHeight="1" x14ac:dyDescent="0.3">
      <c r="A8842" s="1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</row>
    <row r="8843" spans="1:20" ht="45.75" customHeight="1" x14ac:dyDescent="0.3">
      <c r="A8843" s="1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</row>
    <row r="8844" spans="1:20" ht="45.75" customHeight="1" x14ac:dyDescent="0.3">
      <c r="A8844" s="1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</row>
    <row r="8845" spans="1:20" ht="45.75" customHeight="1" x14ac:dyDescent="0.3">
      <c r="A8845" s="1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</row>
    <row r="8846" spans="1:20" ht="45.75" customHeight="1" x14ac:dyDescent="0.3">
      <c r="A8846" s="1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</row>
    <row r="8847" spans="1:20" ht="45.75" customHeight="1" x14ac:dyDescent="0.3">
      <c r="A8847" s="1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</row>
    <row r="8848" spans="1:20" ht="45.75" customHeight="1" x14ac:dyDescent="0.3">
      <c r="A8848" s="1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</row>
    <row r="8849" spans="1:20" ht="45.75" customHeight="1" x14ac:dyDescent="0.3">
      <c r="A8849" s="1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</row>
    <row r="8850" spans="1:20" ht="45.75" customHeight="1" x14ac:dyDescent="0.3">
      <c r="A8850" s="1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</row>
    <row r="8851" spans="1:20" ht="45.75" customHeight="1" x14ac:dyDescent="0.3">
      <c r="A8851" s="1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</row>
    <row r="8852" spans="1:20" ht="45.75" customHeight="1" x14ac:dyDescent="0.3">
      <c r="A8852" s="1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</row>
    <row r="8853" spans="1:20" ht="45.75" customHeight="1" x14ac:dyDescent="0.3">
      <c r="A8853" s="1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</row>
    <row r="8854" spans="1:20" ht="45.75" customHeight="1" x14ac:dyDescent="0.3">
      <c r="A8854" s="1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</row>
    <row r="8855" spans="1:20" ht="45.75" customHeight="1" x14ac:dyDescent="0.3">
      <c r="A8855" s="1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</row>
    <row r="8856" spans="1:20" ht="45.75" customHeight="1" x14ac:dyDescent="0.3">
      <c r="A8856" s="1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</row>
    <row r="8857" spans="1:20" ht="45.75" customHeight="1" x14ac:dyDescent="0.3">
      <c r="A8857" s="1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</row>
    <row r="8858" spans="1:20" ht="45.75" customHeight="1" x14ac:dyDescent="0.3">
      <c r="A8858" s="1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</row>
    <row r="8859" spans="1:20" ht="45.75" customHeight="1" x14ac:dyDescent="0.3">
      <c r="A8859" s="1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</row>
    <row r="8860" spans="1:20" ht="45.75" customHeight="1" x14ac:dyDescent="0.3">
      <c r="A8860" s="1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</row>
    <row r="8861" spans="1:20" ht="45.75" customHeight="1" x14ac:dyDescent="0.3">
      <c r="A8861" s="1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</row>
    <row r="8862" spans="1:20" ht="45.75" customHeight="1" x14ac:dyDescent="0.3">
      <c r="A8862" s="1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</row>
    <row r="8863" spans="1:20" ht="45.75" customHeight="1" x14ac:dyDescent="0.3">
      <c r="A8863" s="1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</row>
    <row r="8864" spans="1:20" ht="45.75" customHeight="1" x14ac:dyDescent="0.3">
      <c r="A8864" s="1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</row>
    <row r="8865" spans="1:20" ht="45.75" customHeight="1" x14ac:dyDescent="0.3">
      <c r="A8865" s="1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</row>
    <row r="8866" spans="1:20" ht="45.75" customHeight="1" x14ac:dyDescent="0.3">
      <c r="A8866" s="1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</row>
    <row r="8867" spans="1:20" ht="45.75" customHeight="1" x14ac:dyDescent="0.3">
      <c r="A8867" s="1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</row>
    <row r="8868" spans="1:20" ht="45.75" customHeight="1" x14ac:dyDescent="0.3">
      <c r="A8868" s="1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</row>
    <row r="8869" spans="1:20" ht="45.75" customHeight="1" x14ac:dyDescent="0.3">
      <c r="A8869" s="1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</row>
    <row r="8870" spans="1:20" ht="45.75" customHeight="1" x14ac:dyDescent="0.3">
      <c r="A8870" s="1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</row>
    <row r="8871" spans="1:20" ht="45.75" customHeight="1" x14ac:dyDescent="0.3">
      <c r="A8871" s="1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</row>
    <row r="8872" spans="1:20" ht="45.75" customHeight="1" x14ac:dyDescent="0.3">
      <c r="A8872" s="1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</row>
    <row r="8873" spans="1:20" ht="45.75" customHeight="1" x14ac:dyDescent="0.3">
      <c r="A8873" s="1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</row>
    <row r="8874" spans="1:20" ht="45.75" customHeight="1" x14ac:dyDescent="0.3">
      <c r="A8874" s="1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</row>
    <row r="8875" spans="1:20" ht="45.75" customHeight="1" x14ac:dyDescent="0.3">
      <c r="A8875" s="1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</row>
    <row r="8876" spans="1:20" ht="45.75" customHeight="1" x14ac:dyDescent="0.3">
      <c r="A8876" s="1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</row>
    <row r="8877" spans="1:20" ht="45.75" customHeight="1" x14ac:dyDescent="0.3">
      <c r="A8877" s="1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</row>
    <row r="8878" spans="1:20" ht="45.75" customHeight="1" x14ac:dyDescent="0.3">
      <c r="A8878" s="1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</row>
    <row r="8879" spans="1:20" ht="45.75" customHeight="1" x14ac:dyDescent="0.3">
      <c r="A8879" s="1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</row>
    <row r="8880" spans="1:20" ht="45.75" customHeight="1" x14ac:dyDescent="0.3">
      <c r="A8880" s="1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</row>
    <row r="8881" spans="1:20" ht="45.75" customHeight="1" x14ac:dyDescent="0.3">
      <c r="A8881" s="1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</row>
    <row r="8882" spans="1:20" ht="45.75" customHeight="1" x14ac:dyDescent="0.3">
      <c r="A8882" s="1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</row>
    <row r="8883" spans="1:20" ht="45.75" customHeight="1" x14ac:dyDescent="0.3">
      <c r="A8883" s="1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</row>
    <row r="8884" spans="1:20" ht="45.75" customHeight="1" x14ac:dyDescent="0.3">
      <c r="A8884" s="1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</row>
    <row r="8885" spans="1:20" ht="45.75" customHeight="1" x14ac:dyDescent="0.3">
      <c r="A8885" s="1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</row>
    <row r="8886" spans="1:20" ht="45.75" customHeight="1" x14ac:dyDescent="0.3">
      <c r="A8886" s="1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</row>
    <row r="8887" spans="1:20" ht="45.75" customHeight="1" x14ac:dyDescent="0.3">
      <c r="A8887" s="1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</row>
    <row r="8888" spans="1:20" ht="45.75" customHeight="1" x14ac:dyDescent="0.3">
      <c r="A8888" s="1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</row>
    <row r="8889" spans="1:20" ht="45.75" customHeight="1" x14ac:dyDescent="0.3">
      <c r="A8889" s="1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</row>
    <row r="8890" spans="1:20" ht="45.75" customHeight="1" x14ac:dyDescent="0.3">
      <c r="A8890" s="1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</row>
    <row r="8891" spans="1:20" ht="45.75" customHeight="1" x14ac:dyDescent="0.3">
      <c r="A8891" s="1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</row>
    <row r="8892" spans="1:20" ht="45.75" customHeight="1" x14ac:dyDescent="0.3">
      <c r="A8892" s="1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</row>
    <row r="8893" spans="1:20" ht="45.75" customHeight="1" x14ac:dyDescent="0.3">
      <c r="A8893" s="1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</row>
    <row r="8894" spans="1:20" ht="45.75" customHeight="1" x14ac:dyDescent="0.3">
      <c r="A8894" s="1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</row>
    <row r="8895" spans="1:20" ht="45.75" customHeight="1" x14ac:dyDescent="0.3">
      <c r="A8895" s="1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</row>
    <row r="8896" spans="1:20" ht="45.75" customHeight="1" x14ac:dyDescent="0.3">
      <c r="A8896" s="1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</row>
    <row r="8897" spans="1:20" ht="45.75" customHeight="1" x14ac:dyDescent="0.3">
      <c r="A8897" s="1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</row>
    <row r="8898" spans="1:20" ht="45.75" customHeight="1" x14ac:dyDescent="0.3">
      <c r="A8898" s="1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</row>
    <row r="8899" spans="1:20" ht="45.75" customHeight="1" x14ac:dyDescent="0.3">
      <c r="A8899" s="1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</row>
    <row r="8900" spans="1:20" ht="45.75" customHeight="1" x14ac:dyDescent="0.3">
      <c r="A8900" s="1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</row>
    <row r="8901" spans="1:20" ht="45.75" customHeight="1" x14ac:dyDescent="0.3">
      <c r="A8901" s="1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</row>
    <row r="8902" spans="1:20" ht="45.75" customHeight="1" x14ac:dyDescent="0.3">
      <c r="A8902" s="1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</row>
    <row r="8903" spans="1:20" ht="45.75" customHeight="1" x14ac:dyDescent="0.3">
      <c r="A8903" s="1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</row>
    <row r="8904" spans="1:20" ht="45.75" customHeight="1" x14ac:dyDescent="0.3">
      <c r="A8904" s="1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</row>
    <row r="8905" spans="1:20" ht="45.75" customHeight="1" x14ac:dyDescent="0.3">
      <c r="A8905" s="1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</row>
    <row r="8906" spans="1:20" ht="45.75" customHeight="1" x14ac:dyDescent="0.3">
      <c r="A8906" s="1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</row>
    <row r="8907" spans="1:20" ht="45.75" customHeight="1" x14ac:dyDescent="0.3">
      <c r="A8907" s="1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</row>
    <row r="8908" spans="1:20" ht="45.75" customHeight="1" x14ac:dyDescent="0.3">
      <c r="A8908" s="1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</row>
    <row r="8909" spans="1:20" ht="45.75" customHeight="1" x14ac:dyDescent="0.3">
      <c r="A8909" s="1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</row>
    <row r="8910" spans="1:20" ht="45.75" customHeight="1" x14ac:dyDescent="0.3">
      <c r="A8910" s="1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</row>
    <row r="8911" spans="1:20" ht="45.75" customHeight="1" x14ac:dyDescent="0.3">
      <c r="A8911" s="1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</row>
    <row r="8912" spans="1:20" ht="45.75" customHeight="1" x14ac:dyDescent="0.3">
      <c r="A8912" s="1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</row>
    <row r="8913" spans="1:20" ht="45.75" customHeight="1" x14ac:dyDescent="0.3">
      <c r="A8913" s="1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</row>
    <row r="8914" spans="1:20" ht="45.75" customHeight="1" x14ac:dyDescent="0.3">
      <c r="A8914" s="1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</row>
    <row r="8915" spans="1:20" ht="45.75" customHeight="1" x14ac:dyDescent="0.3">
      <c r="A8915" s="1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</row>
    <row r="8916" spans="1:20" ht="45.75" customHeight="1" x14ac:dyDescent="0.3">
      <c r="A8916" s="1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</row>
    <row r="8917" spans="1:20" ht="45.75" customHeight="1" x14ac:dyDescent="0.3">
      <c r="A8917" s="1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</row>
    <row r="8918" spans="1:20" ht="45.75" customHeight="1" x14ac:dyDescent="0.3">
      <c r="A8918" s="1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</row>
    <row r="8919" spans="1:20" ht="45.75" customHeight="1" x14ac:dyDescent="0.3">
      <c r="A8919" s="1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</row>
    <row r="8920" spans="1:20" ht="45.75" customHeight="1" x14ac:dyDescent="0.3">
      <c r="A8920" s="1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</row>
    <row r="8921" spans="1:20" ht="45.75" customHeight="1" x14ac:dyDescent="0.3">
      <c r="A8921" s="1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</row>
    <row r="8922" spans="1:20" ht="45.75" customHeight="1" x14ac:dyDescent="0.3">
      <c r="A8922" s="1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</row>
    <row r="8923" spans="1:20" ht="45.75" customHeight="1" x14ac:dyDescent="0.3">
      <c r="A8923" s="1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</row>
    <row r="8924" spans="1:20" ht="45.75" customHeight="1" x14ac:dyDescent="0.3">
      <c r="A8924" s="1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</row>
    <row r="8925" spans="1:20" ht="45.75" customHeight="1" x14ac:dyDescent="0.3">
      <c r="A8925" s="1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</row>
    <row r="8926" spans="1:20" ht="45.75" customHeight="1" x14ac:dyDescent="0.3">
      <c r="A8926" s="1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</row>
    <row r="8927" spans="1:20" ht="45.75" customHeight="1" x14ac:dyDescent="0.3">
      <c r="A8927" s="1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</row>
    <row r="8928" spans="1:20" ht="45.75" customHeight="1" x14ac:dyDescent="0.3">
      <c r="A8928" s="1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</row>
    <row r="8929" spans="1:20" ht="45.75" customHeight="1" x14ac:dyDescent="0.3">
      <c r="A8929" s="1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</row>
    <row r="8930" spans="1:20" ht="45.75" customHeight="1" x14ac:dyDescent="0.3">
      <c r="A8930" s="1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</row>
    <row r="8931" spans="1:20" ht="45.75" customHeight="1" x14ac:dyDescent="0.3">
      <c r="A8931" s="1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</row>
    <row r="8932" spans="1:20" ht="45.75" customHeight="1" x14ac:dyDescent="0.3">
      <c r="A8932" s="1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</row>
    <row r="8933" spans="1:20" ht="45.75" customHeight="1" x14ac:dyDescent="0.3">
      <c r="A8933" s="1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</row>
    <row r="8934" spans="1:20" ht="45.75" customHeight="1" x14ac:dyDescent="0.3">
      <c r="A8934" s="1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</row>
    <row r="8935" spans="1:20" ht="45.75" customHeight="1" x14ac:dyDescent="0.3">
      <c r="A8935" s="1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</row>
    <row r="8936" spans="1:20" ht="45.75" customHeight="1" x14ac:dyDescent="0.3">
      <c r="A8936" s="1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</row>
    <row r="8937" spans="1:20" ht="45.75" customHeight="1" x14ac:dyDescent="0.3">
      <c r="A8937" s="1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</row>
    <row r="8938" spans="1:20" ht="45.75" customHeight="1" x14ac:dyDescent="0.3">
      <c r="A8938" s="1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</row>
    <row r="8939" spans="1:20" ht="45.75" customHeight="1" x14ac:dyDescent="0.3">
      <c r="A8939" s="1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</row>
    <row r="8940" spans="1:20" ht="45.75" customHeight="1" x14ac:dyDescent="0.3">
      <c r="A8940" s="1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</row>
    <row r="8941" spans="1:20" ht="45.75" customHeight="1" x14ac:dyDescent="0.3">
      <c r="A8941" s="1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</row>
    <row r="8942" spans="1:20" ht="45.75" customHeight="1" x14ac:dyDescent="0.3">
      <c r="A8942" s="1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</row>
    <row r="8943" spans="1:20" ht="45.75" customHeight="1" x14ac:dyDescent="0.3">
      <c r="A8943" s="1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</row>
    <row r="8944" spans="1:20" ht="45.75" customHeight="1" x14ac:dyDescent="0.3">
      <c r="A8944" s="1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</row>
    <row r="8945" spans="1:20" ht="45.75" customHeight="1" x14ac:dyDescent="0.3">
      <c r="A8945" s="1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</row>
    <row r="8946" spans="1:20" ht="45.75" customHeight="1" x14ac:dyDescent="0.3">
      <c r="A8946" s="1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</row>
    <row r="8947" spans="1:20" ht="45.75" customHeight="1" x14ac:dyDescent="0.3">
      <c r="A8947" s="1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</row>
    <row r="8948" spans="1:20" ht="45.75" customHeight="1" x14ac:dyDescent="0.3">
      <c r="A8948" s="1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</row>
    <row r="8949" spans="1:20" ht="45.75" customHeight="1" x14ac:dyDescent="0.3">
      <c r="A8949" s="1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</row>
    <row r="8950" spans="1:20" ht="45.75" customHeight="1" x14ac:dyDescent="0.3">
      <c r="A8950" s="1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</row>
    <row r="8951" spans="1:20" ht="45.75" customHeight="1" x14ac:dyDescent="0.3">
      <c r="A8951" s="1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</row>
    <row r="8952" spans="1:20" ht="45.75" customHeight="1" x14ac:dyDescent="0.3">
      <c r="A8952" s="1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</row>
    <row r="8953" spans="1:20" ht="45.75" customHeight="1" x14ac:dyDescent="0.3">
      <c r="A8953" s="1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</row>
    <row r="8954" spans="1:20" ht="45.75" customHeight="1" x14ac:dyDescent="0.3">
      <c r="A8954" s="1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</row>
    <row r="8955" spans="1:20" ht="45.75" customHeight="1" x14ac:dyDescent="0.3">
      <c r="A8955" s="1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</row>
    <row r="8956" spans="1:20" ht="45.75" customHeight="1" x14ac:dyDescent="0.3">
      <c r="A8956" s="1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</row>
    <row r="8957" spans="1:20" ht="45.75" customHeight="1" x14ac:dyDescent="0.3">
      <c r="A8957" s="1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</row>
    <row r="8958" spans="1:20" ht="45.75" customHeight="1" x14ac:dyDescent="0.3">
      <c r="A8958" s="1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</row>
    <row r="8959" spans="1:20" ht="45.75" customHeight="1" x14ac:dyDescent="0.3">
      <c r="A8959" s="1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</row>
    <row r="8960" spans="1:20" ht="45.75" customHeight="1" x14ac:dyDescent="0.3">
      <c r="A8960" s="1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</row>
    <row r="8961" spans="1:20" ht="45.75" customHeight="1" x14ac:dyDescent="0.3">
      <c r="A8961" s="1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</row>
    <row r="8962" spans="1:20" ht="45.75" customHeight="1" x14ac:dyDescent="0.3">
      <c r="A8962" s="1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</row>
    <row r="8963" spans="1:20" ht="45.75" customHeight="1" x14ac:dyDescent="0.3">
      <c r="A8963" s="1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</row>
    <row r="8964" spans="1:20" ht="45.75" customHeight="1" x14ac:dyDescent="0.3">
      <c r="A8964" s="1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</row>
    <row r="8965" spans="1:20" ht="45.75" customHeight="1" x14ac:dyDescent="0.3">
      <c r="A8965" s="1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</row>
    <row r="8966" spans="1:20" ht="45.75" customHeight="1" x14ac:dyDescent="0.3">
      <c r="A8966" s="1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</row>
    <row r="8967" spans="1:20" ht="45.75" customHeight="1" x14ac:dyDescent="0.3">
      <c r="A8967" s="1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</row>
    <row r="8968" spans="1:20" ht="45.75" customHeight="1" x14ac:dyDescent="0.3">
      <c r="A8968" s="1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</row>
    <row r="8969" spans="1:20" ht="45.75" customHeight="1" x14ac:dyDescent="0.3">
      <c r="A8969" s="1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</row>
    <row r="8970" spans="1:20" ht="45.75" customHeight="1" x14ac:dyDescent="0.3">
      <c r="A8970" s="1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</row>
    <row r="8971" spans="1:20" ht="45.75" customHeight="1" x14ac:dyDescent="0.3">
      <c r="A8971" s="1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</row>
    <row r="8972" spans="1:20" ht="45.75" customHeight="1" x14ac:dyDescent="0.3">
      <c r="A8972" s="1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</row>
    <row r="8973" spans="1:20" ht="45.75" customHeight="1" x14ac:dyDescent="0.3">
      <c r="A8973" s="1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</row>
    <row r="8974" spans="1:20" ht="45.75" customHeight="1" x14ac:dyDescent="0.3">
      <c r="A8974" s="1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</row>
    <row r="8975" spans="1:20" ht="45.75" customHeight="1" x14ac:dyDescent="0.3">
      <c r="A8975" s="1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</row>
    <row r="8976" spans="1:20" ht="45.75" customHeight="1" x14ac:dyDescent="0.3">
      <c r="A8976" s="1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</row>
    <row r="8977" spans="1:20" ht="45.75" customHeight="1" x14ac:dyDescent="0.3">
      <c r="A8977" s="1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</row>
    <row r="8978" spans="1:20" ht="45.75" customHeight="1" x14ac:dyDescent="0.3">
      <c r="A8978" s="1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</row>
    <row r="8979" spans="1:20" ht="45.75" customHeight="1" x14ac:dyDescent="0.3">
      <c r="A8979" s="1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</row>
    <row r="8980" spans="1:20" ht="45.75" customHeight="1" x14ac:dyDescent="0.3">
      <c r="A8980" s="1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</row>
    <row r="8981" spans="1:20" ht="45.75" customHeight="1" x14ac:dyDescent="0.3">
      <c r="A8981" s="1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</row>
    <row r="8982" spans="1:20" ht="45.75" customHeight="1" x14ac:dyDescent="0.3">
      <c r="A8982" s="1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</row>
    <row r="8983" spans="1:20" ht="45.75" customHeight="1" x14ac:dyDescent="0.3">
      <c r="A8983" s="1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</row>
    <row r="8984" spans="1:20" ht="45.75" customHeight="1" x14ac:dyDescent="0.3">
      <c r="A8984" s="1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</row>
    <row r="8985" spans="1:20" ht="45.75" customHeight="1" x14ac:dyDescent="0.3">
      <c r="A8985" s="1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</row>
    <row r="8986" spans="1:20" ht="45.75" customHeight="1" x14ac:dyDescent="0.3">
      <c r="A8986" s="1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</row>
    <row r="8987" spans="1:20" ht="45.75" customHeight="1" x14ac:dyDescent="0.3">
      <c r="A8987" s="1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</row>
    <row r="8988" spans="1:20" ht="45.75" customHeight="1" x14ac:dyDescent="0.3">
      <c r="A8988" s="1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</row>
    <row r="8989" spans="1:20" ht="45.75" customHeight="1" x14ac:dyDescent="0.3">
      <c r="A8989" s="1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</row>
    <row r="8990" spans="1:20" ht="45.75" customHeight="1" x14ac:dyDescent="0.3">
      <c r="A8990" s="1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</row>
    <row r="8991" spans="1:20" ht="45.75" customHeight="1" x14ac:dyDescent="0.3">
      <c r="A8991" s="1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</row>
    <row r="8992" spans="1:20" ht="45.75" customHeight="1" x14ac:dyDescent="0.3">
      <c r="A8992" s="1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</row>
    <row r="8993" spans="1:20" ht="45.75" customHeight="1" x14ac:dyDescent="0.3">
      <c r="A8993" s="1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</row>
    <row r="8994" spans="1:20" ht="45.75" customHeight="1" x14ac:dyDescent="0.3">
      <c r="A8994" s="1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</row>
    <row r="8995" spans="1:20" ht="45.75" customHeight="1" x14ac:dyDescent="0.3">
      <c r="A8995" s="1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</row>
    <row r="8996" spans="1:20" ht="45.75" customHeight="1" x14ac:dyDescent="0.3">
      <c r="A8996" s="1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</row>
    <row r="8997" spans="1:20" ht="45.75" customHeight="1" x14ac:dyDescent="0.3">
      <c r="A8997" s="1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</row>
    <row r="8998" spans="1:20" ht="45.75" customHeight="1" x14ac:dyDescent="0.3">
      <c r="A8998" s="1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</row>
    <row r="8999" spans="1:20" ht="45.75" customHeight="1" x14ac:dyDescent="0.3">
      <c r="A8999" s="1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</row>
    <row r="9000" spans="1:20" ht="45.75" customHeight="1" x14ac:dyDescent="0.3">
      <c r="A9000" s="1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</row>
    <row r="9001" spans="1:20" ht="45.75" customHeight="1" x14ac:dyDescent="0.3">
      <c r="A9001" s="1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</row>
    <row r="9002" spans="1:20" ht="45.75" customHeight="1" x14ac:dyDescent="0.3">
      <c r="A9002" s="1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</row>
    <row r="9003" spans="1:20" ht="45.75" customHeight="1" x14ac:dyDescent="0.3">
      <c r="A9003" s="1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</row>
    <row r="9004" spans="1:20" ht="45.75" customHeight="1" x14ac:dyDescent="0.3">
      <c r="A9004" s="1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</row>
    <row r="9005" spans="1:20" ht="45.75" customHeight="1" x14ac:dyDescent="0.3">
      <c r="A9005" s="1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</row>
    <row r="9006" spans="1:20" ht="45.75" customHeight="1" x14ac:dyDescent="0.3">
      <c r="A9006" s="1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</row>
    <row r="9007" spans="1:20" ht="45.75" customHeight="1" x14ac:dyDescent="0.3">
      <c r="A9007" s="1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</row>
    <row r="9008" spans="1:20" ht="45.75" customHeight="1" x14ac:dyDescent="0.3">
      <c r="A9008" s="1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</row>
    <row r="9009" spans="1:20" ht="45.75" customHeight="1" x14ac:dyDescent="0.3">
      <c r="A9009" s="1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</row>
    <row r="9010" spans="1:20" ht="45.75" customHeight="1" x14ac:dyDescent="0.3">
      <c r="A9010" s="1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</row>
    <row r="9011" spans="1:20" ht="45.75" customHeight="1" x14ac:dyDescent="0.3">
      <c r="A9011" s="1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</row>
    <row r="9012" spans="1:20" ht="45.75" customHeight="1" x14ac:dyDescent="0.3">
      <c r="A9012" s="1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</row>
    <row r="9013" spans="1:20" ht="45.75" customHeight="1" x14ac:dyDescent="0.3">
      <c r="A9013" s="1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</row>
    <row r="9014" spans="1:20" ht="45.75" customHeight="1" x14ac:dyDescent="0.3">
      <c r="A9014" s="1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</row>
    <row r="9015" spans="1:20" ht="45.75" customHeight="1" x14ac:dyDescent="0.3">
      <c r="A9015" s="1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</row>
    <row r="9016" spans="1:20" ht="45.75" customHeight="1" x14ac:dyDescent="0.3">
      <c r="A9016" s="1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</row>
    <row r="9017" spans="1:20" ht="45.75" customHeight="1" x14ac:dyDescent="0.3">
      <c r="A9017" s="1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</row>
    <row r="9018" spans="1:20" ht="45.75" customHeight="1" x14ac:dyDescent="0.3">
      <c r="A9018" s="1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</row>
    <row r="9019" spans="1:20" ht="45.75" customHeight="1" x14ac:dyDescent="0.3">
      <c r="A9019" s="1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</row>
    <row r="9020" spans="1:20" ht="45.75" customHeight="1" x14ac:dyDescent="0.3">
      <c r="A9020" s="1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</row>
    <row r="9021" spans="1:20" ht="45.75" customHeight="1" x14ac:dyDescent="0.3">
      <c r="A9021" s="1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</row>
    <row r="9022" spans="1:20" ht="45.75" customHeight="1" x14ac:dyDescent="0.3">
      <c r="A9022" s="1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</row>
    <row r="9023" spans="1:20" ht="45.75" customHeight="1" x14ac:dyDescent="0.3">
      <c r="A9023" s="1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</row>
    <row r="9024" spans="1:20" ht="45.75" customHeight="1" x14ac:dyDescent="0.3">
      <c r="A9024" s="1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</row>
    <row r="9025" spans="1:20" ht="45.75" customHeight="1" x14ac:dyDescent="0.3">
      <c r="A9025" s="1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</row>
    <row r="9026" spans="1:20" ht="45.75" customHeight="1" x14ac:dyDescent="0.3">
      <c r="A9026" s="1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</row>
    <row r="9027" spans="1:20" ht="45.75" customHeight="1" x14ac:dyDescent="0.3">
      <c r="A9027" s="1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</row>
    <row r="9028" spans="1:20" ht="45.75" customHeight="1" x14ac:dyDescent="0.3">
      <c r="A9028" s="1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</row>
    <row r="9029" spans="1:20" ht="45.75" customHeight="1" x14ac:dyDescent="0.3">
      <c r="A9029" s="1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</row>
    <row r="9030" spans="1:20" ht="45.75" customHeight="1" x14ac:dyDescent="0.3">
      <c r="A9030" s="1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</row>
    <row r="9031" spans="1:20" ht="45.75" customHeight="1" x14ac:dyDescent="0.3">
      <c r="A9031" s="1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</row>
    <row r="9032" spans="1:20" ht="45.75" customHeight="1" x14ac:dyDescent="0.3">
      <c r="A9032" s="1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</row>
    <row r="9033" spans="1:20" ht="45.75" customHeight="1" x14ac:dyDescent="0.3">
      <c r="A9033" s="1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</row>
    <row r="9034" spans="1:20" ht="45.75" customHeight="1" x14ac:dyDescent="0.3">
      <c r="A9034" s="1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</row>
    <row r="9035" spans="1:20" ht="45.75" customHeight="1" x14ac:dyDescent="0.3">
      <c r="A9035" s="1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</row>
    <row r="9036" spans="1:20" ht="45.75" customHeight="1" x14ac:dyDescent="0.3">
      <c r="A9036" s="1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</row>
    <row r="9037" spans="1:20" ht="45.75" customHeight="1" x14ac:dyDescent="0.3">
      <c r="A9037" s="1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</row>
    <row r="9038" spans="1:20" ht="45.75" customHeight="1" x14ac:dyDescent="0.3">
      <c r="A9038" s="1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</row>
    <row r="9039" spans="1:20" ht="45.75" customHeight="1" x14ac:dyDescent="0.3">
      <c r="A9039" s="1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</row>
    <row r="9040" spans="1:20" ht="45.75" customHeight="1" x14ac:dyDescent="0.3">
      <c r="A9040" s="1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</row>
    <row r="9041" spans="1:20" ht="45.75" customHeight="1" x14ac:dyDescent="0.3">
      <c r="A9041" s="1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</row>
    <row r="9042" spans="1:20" ht="45.75" customHeight="1" x14ac:dyDescent="0.3">
      <c r="A9042" s="1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</row>
    <row r="9043" spans="1:20" ht="45.75" customHeight="1" x14ac:dyDescent="0.3">
      <c r="A9043" s="1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</row>
    <row r="9044" spans="1:20" ht="45.75" customHeight="1" x14ac:dyDescent="0.3">
      <c r="A9044" s="1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</row>
    <row r="9045" spans="1:20" ht="45.75" customHeight="1" x14ac:dyDescent="0.3">
      <c r="A9045" s="1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</row>
    <row r="9046" spans="1:20" ht="45.75" customHeight="1" x14ac:dyDescent="0.3">
      <c r="A9046" s="1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</row>
    <row r="9047" spans="1:20" ht="45.75" customHeight="1" x14ac:dyDescent="0.3">
      <c r="A9047" s="1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</row>
    <row r="9048" spans="1:20" ht="45.75" customHeight="1" x14ac:dyDescent="0.3">
      <c r="A9048" s="1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</row>
    <row r="9049" spans="1:20" ht="45.75" customHeight="1" x14ac:dyDescent="0.3">
      <c r="A9049" s="1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</row>
    <row r="9050" spans="1:20" ht="45.75" customHeight="1" x14ac:dyDescent="0.3">
      <c r="A9050" s="1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</row>
    <row r="9051" spans="1:20" ht="45.75" customHeight="1" x14ac:dyDescent="0.3">
      <c r="A9051" s="1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</row>
    <row r="9052" spans="1:20" ht="45.75" customHeight="1" x14ac:dyDescent="0.3">
      <c r="A9052" s="1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</row>
    <row r="9053" spans="1:20" ht="45.75" customHeight="1" x14ac:dyDescent="0.3">
      <c r="A9053" s="1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</row>
    <row r="9054" spans="1:20" ht="45.75" customHeight="1" x14ac:dyDescent="0.3">
      <c r="A9054" s="1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</row>
    <row r="9055" spans="1:20" ht="45.75" customHeight="1" x14ac:dyDescent="0.3">
      <c r="A9055" s="1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</row>
    <row r="9056" spans="1:20" ht="45.75" customHeight="1" x14ac:dyDescent="0.3">
      <c r="A9056" s="1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</row>
    <row r="9057" spans="1:20" ht="45.75" customHeight="1" x14ac:dyDescent="0.3">
      <c r="A9057" s="1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</row>
    <row r="9058" spans="1:20" ht="45.75" customHeight="1" x14ac:dyDescent="0.3">
      <c r="A9058" s="1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</row>
    <row r="9059" spans="1:20" ht="45.75" customHeight="1" x14ac:dyDescent="0.3">
      <c r="A9059" s="1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</row>
    <row r="9060" spans="1:20" ht="45.75" customHeight="1" x14ac:dyDescent="0.3">
      <c r="A9060" s="1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</row>
    <row r="9061" spans="1:20" ht="45.75" customHeight="1" x14ac:dyDescent="0.3">
      <c r="A9061" s="1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</row>
    <row r="9062" spans="1:20" ht="45.75" customHeight="1" x14ac:dyDescent="0.3">
      <c r="A9062" s="1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</row>
    <row r="9063" spans="1:20" ht="45.75" customHeight="1" x14ac:dyDescent="0.3">
      <c r="A9063" s="1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</row>
    <row r="9064" spans="1:20" ht="45.75" customHeight="1" x14ac:dyDescent="0.3">
      <c r="A9064" s="1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</row>
    <row r="9065" spans="1:20" ht="45.75" customHeight="1" x14ac:dyDescent="0.3">
      <c r="A9065" s="1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</row>
    <row r="9066" spans="1:20" ht="45.75" customHeight="1" x14ac:dyDescent="0.3">
      <c r="A9066" s="1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</row>
    <row r="9067" spans="1:20" ht="45.75" customHeight="1" x14ac:dyDescent="0.3">
      <c r="A9067" s="1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</row>
    <row r="9068" spans="1:20" ht="45.75" customHeight="1" x14ac:dyDescent="0.3">
      <c r="A9068" s="1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</row>
    <row r="9069" spans="1:20" ht="45.75" customHeight="1" x14ac:dyDescent="0.3">
      <c r="A9069" s="1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</row>
    <row r="9070" spans="1:20" ht="45.75" customHeight="1" x14ac:dyDescent="0.3">
      <c r="A9070" s="1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</row>
    <row r="9071" spans="1:20" ht="45.75" customHeight="1" x14ac:dyDescent="0.3">
      <c r="A9071" s="1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</row>
    <row r="9072" spans="1:20" ht="45.75" customHeight="1" x14ac:dyDescent="0.3">
      <c r="A9072" s="1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</row>
    <row r="9073" spans="1:20" ht="45.75" customHeight="1" x14ac:dyDescent="0.3">
      <c r="A9073" s="1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</row>
    <row r="9074" spans="1:20" ht="45.75" customHeight="1" x14ac:dyDescent="0.3">
      <c r="A9074" s="1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</row>
    <row r="9075" spans="1:20" ht="45.75" customHeight="1" x14ac:dyDescent="0.3">
      <c r="A9075" s="1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</row>
    <row r="9076" spans="1:20" ht="45.75" customHeight="1" x14ac:dyDescent="0.3">
      <c r="A9076" s="1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</row>
    <row r="9077" spans="1:20" ht="45.75" customHeight="1" x14ac:dyDescent="0.3">
      <c r="A9077" s="1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</row>
    <row r="9078" spans="1:20" ht="45.75" customHeight="1" x14ac:dyDescent="0.3">
      <c r="A9078" s="1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</row>
    <row r="9079" spans="1:20" ht="45.75" customHeight="1" x14ac:dyDescent="0.3">
      <c r="A9079" s="1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</row>
    <row r="9080" spans="1:20" ht="45.75" customHeight="1" x14ac:dyDescent="0.3">
      <c r="A9080" s="1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</row>
    <row r="9081" spans="1:20" ht="45.75" customHeight="1" x14ac:dyDescent="0.3">
      <c r="A9081" s="1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</row>
    <row r="9082" spans="1:20" ht="45.75" customHeight="1" x14ac:dyDescent="0.3">
      <c r="A9082" s="1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</row>
    <row r="9083" spans="1:20" ht="45.75" customHeight="1" x14ac:dyDescent="0.3">
      <c r="A9083" s="1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</row>
    <row r="9084" spans="1:20" ht="45.75" customHeight="1" x14ac:dyDescent="0.3">
      <c r="A9084" s="1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</row>
    <row r="9085" spans="1:20" ht="45.75" customHeight="1" x14ac:dyDescent="0.3">
      <c r="A9085" s="1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</row>
    <row r="9086" spans="1:20" ht="45.75" customHeight="1" x14ac:dyDescent="0.3">
      <c r="A9086" s="1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</row>
    <row r="9087" spans="1:20" ht="45.75" customHeight="1" x14ac:dyDescent="0.3">
      <c r="A9087" s="1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</row>
    <row r="9088" spans="1:20" ht="45.75" customHeight="1" x14ac:dyDescent="0.3">
      <c r="A9088" s="1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</row>
    <row r="9089" spans="1:20" ht="45.75" customHeight="1" x14ac:dyDescent="0.3">
      <c r="A9089" s="1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</row>
    <row r="9090" spans="1:20" ht="45.75" customHeight="1" x14ac:dyDescent="0.3">
      <c r="A9090" s="1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</row>
    <row r="9091" spans="1:20" ht="45.75" customHeight="1" x14ac:dyDescent="0.3">
      <c r="A9091" s="1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</row>
    <row r="9092" spans="1:20" ht="45.75" customHeight="1" x14ac:dyDescent="0.3">
      <c r="A9092" s="1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</row>
    <row r="9093" spans="1:20" ht="45.75" customHeight="1" x14ac:dyDescent="0.3">
      <c r="A9093" s="1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</row>
    <row r="9094" spans="1:20" ht="45.75" customHeight="1" x14ac:dyDescent="0.3">
      <c r="A9094" s="1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</row>
    <row r="9095" spans="1:20" ht="45.75" customHeight="1" x14ac:dyDescent="0.3">
      <c r="A9095" s="1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</row>
    <row r="9096" spans="1:20" ht="45.75" customHeight="1" x14ac:dyDescent="0.3">
      <c r="A9096" s="1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</row>
    <row r="9097" spans="1:20" ht="45.75" customHeight="1" x14ac:dyDescent="0.3">
      <c r="A9097" s="1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</row>
    <row r="9098" spans="1:20" ht="45.75" customHeight="1" x14ac:dyDescent="0.3">
      <c r="A9098" s="1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</row>
    <row r="9099" spans="1:20" ht="45.75" customHeight="1" x14ac:dyDescent="0.3">
      <c r="A9099" s="1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</row>
    <row r="9100" spans="1:20" ht="45.75" customHeight="1" x14ac:dyDescent="0.3">
      <c r="A9100" s="1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</row>
    <row r="9101" spans="1:20" ht="45.75" customHeight="1" x14ac:dyDescent="0.3">
      <c r="A9101" s="1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</row>
    <row r="9102" spans="1:20" ht="45.75" customHeight="1" x14ac:dyDescent="0.3">
      <c r="A9102" s="1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</row>
    <row r="9103" spans="1:20" ht="45.75" customHeight="1" x14ac:dyDescent="0.3">
      <c r="A9103" s="1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</row>
    <row r="9104" spans="1:20" ht="45.75" customHeight="1" x14ac:dyDescent="0.3">
      <c r="A9104" s="1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</row>
    <row r="9105" spans="1:20" ht="45.75" customHeight="1" x14ac:dyDescent="0.3">
      <c r="A9105" s="1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</row>
    <row r="9106" spans="1:20" ht="45.75" customHeight="1" x14ac:dyDescent="0.3">
      <c r="A9106" s="1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</row>
    <row r="9107" spans="1:20" ht="45.75" customHeight="1" x14ac:dyDescent="0.3">
      <c r="A9107" s="1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</row>
    <row r="9108" spans="1:20" ht="45.75" customHeight="1" x14ac:dyDescent="0.3">
      <c r="A9108" s="1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</row>
    <row r="9109" spans="1:20" ht="45.75" customHeight="1" x14ac:dyDescent="0.3">
      <c r="A9109" s="1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</row>
    <row r="9110" spans="1:20" ht="45.75" customHeight="1" x14ac:dyDescent="0.3">
      <c r="A9110" s="1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</row>
    <row r="9111" spans="1:20" ht="45.75" customHeight="1" x14ac:dyDescent="0.3">
      <c r="A9111" s="1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</row>
    <row r="9112" spans="1:20" ht="45.75" customHeight="1" x14ac:dyDescent="0.3">
      <c r="A9112" s="1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</row>
    <row r="9113" spans="1:20" ht="45.75" customHeight="1" x14ac:dyDescent="0.3">
      <c r="A9113" s="1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</row>
    <row r="9114" spans="1:20" ht="45.75" customHeight="1" x14ac:dyDescent="0.3">
      <c r="A9114" s="1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</row>
    <row r="9115" spans="1:20" ht="45.75" customHeight="1" x14ac:dyDescent="0.3">
      <c r="A9115" s="1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</row>
    <row r="9116" spans="1:20" ht="45.75" customHeight="1" x14ac:dyDescent="0.3">
      <c r="A9116" s="1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</row>
    <row r="9117" spans="1:20" ht="45.75" customHeight="1" x14ac:dyDescent="0.3">
      <c r="A9117" s="1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</row>
    <row r="9118" spans="1:20" ht="45.75" customHeight="1" x14ac:dyDescent="0.3">
      <c r="A9118" s="1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</row>
    <row r="9119" spans="1:20" ht="45.75" customHeight="1" x14ac:dyDescent="0.3">
      <c r="A9119" s="1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</row>
    <row r="9120" spans="1:20" ht="45.75" customHeight="1" x14ac:dyDescent="0.3">
      <c r="A9120" s="1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</row>
    <row r="9121" spans="1:20" ht="45.75" customHeight="1" x14ac:dyDescent="0.3">
      <c r="A9121" s="1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</row>
    <row r="9122" spans="1:20" ht="45.75" customHeight="1" x14ac:dyDescent="0.3">
      <c r="A9122" s="1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</row>
    <row r="9123" spans="1:20" ht="45.75" customHeight="1" x14ac:dyDescent="0.3">
      <c r="A9123" s="1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</row>
    <row r="9124" spans="1:20" ht="45.75" customHeight="1" x14ac:dyDescent="0.3">
      <c r="A9124" s="1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</row>
    <row r="9125" spans="1:20" ht="45.75" customHeight="1" x14ac:dyDescent="0.3">
      <c r="A9125" s="1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</row>
    <row r="9126" spans="1:20" ht="45.75" customHeight="1" x14ac:dyDescent="0.3">
      <c r="A9126" s="1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</row>
    <row r="9127" spans="1:20" ht="45.75" customHeight="1" x14ac:dyDescent="0.3">
      <c r="A9127" s="1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</row>
    <row r="9128" spans="1:20" ht="45.75" customHeight="1" x14ac:dyDescent="0.3">
      <c r="A9128" s="1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</row>
    <row r="9129" spans="1:20" ht="45.75" customHeight="1" x14ac:dyDescent="0.3">
      <c r="A9129" s="1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</row>
    <row r="9130" spans="1:20" ht="45.75" customHeight="1" x14ac:dyDescent="0.3">
      <c r="A9130" s="1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</row>
    <row r="9131" spans="1:20" ht="45.75" customHeight="1" x14ac:dyDescent="0.3">
      <c r="A9131" s="1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</row>
    <row r="9132" spans="1:20" ht="45.75" customHeight="1" x14ac:dyDescent="0.3">
      <c r="A9132" s="1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</row>
    <row r="9133" spans="1:20" ht="45.75" customHeight="1" x14ac:dyDescent="0.3">
      <c r="A9133" s="1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</row>
    <row r="9134" spans="1:20" ht="45.75" customHeight="1" x14ac:dyDescent="0.3">
      <c r="A9134" s="1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</row>
    <row r="9135" spans="1:20" ht="45.75" customHeight="1" x14ac:dyDescent="0.3">
      <c r="A9135" s="1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</row>
    <row r="9136" spans="1:20" ht="45.75" customHeight="1" x14ac:dyDescent="0.3">
      <c r="A9136" s="1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</row>
    <row r="9137" spans="1:20" ht="45.75" customHeight="1" x14ac:dyDescent="0.3">
      <c r="A9137" s="1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</row>
    <row r="9138" spans="1:20" ht="45.75" customHeight="1" x14ac:dyDescent="0.3">
      <c r="A9138" s="1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</row>
    <row r="9139" spans="1:20" ht="45.75" customHeight="1" x14ac:dyDescent="0.3">
      <c r="A9139" s="1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</row>
    <row r="9140" spans="1:20" ht="45.75" customHeight="1" x14ac:dyDescent="0.3">
      <c r="A9140" s="1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</row>
    <row r="9141" spans="1:20" ht="45.75" customHeight="1" x14ac:dyDescent="0.3">
      <c r="A9141" s="1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</row>
    <row r="9142" spans="1:20" ht="45.75" customHeight="1" x14ac:dyDescent="0.3">
      <c r="A9142" s="1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</row>
    <row r="9143" spans="1:20" ht="45.75" customHeight="1" x14ac:dyDescent="0.3">
      <c r="A9143" s="1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</row>
    <row r="9144" spans="1:20" ht="45.75" customHeight="1" x14ac:dyDescent="0.3">
      <c r="A9144" s="1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</row>
    <row r="9145" spans="1:20" ht="45.75" customHeight="1" x14ac:dyDescent="0.3">
      <c r="A9145" s="1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</row>
    <row r="9146" spans="1:20" ht="45.75" customHeight="1" x14ac:dyDescent="0.3">
      <c r="A9146" s="1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</row>
    <row r="9147" spans="1:20" ht="45.75" customHeight="1" x14ac:dyDescent="0.3">
      <c r="A9147" s="1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</row>
    <row r="9148" spans="1:20" ht="45.75" customHeight="1" x14ac:dyDescent="0.3">
      <c r="A9148" s="1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</row>
    <row r="9149" spans="1:20" ht="45.75" customHeight="1" x14ac:dyDescent="0.3">
      <c r="A9149" s="1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</row>
    <row r="9150" spans="1:20" ht="45.75" customHeight="1" x14ac:dyDescent="0.3">
      <c r="A9150" s="1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</row>
    <row r="9151" spans="1:20" ht="45.75" customHeight="1" x14ac:dyDescent="0.3">
      <c r="A9151" s="1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</row>
    <row r="9152" spans="1:20" ht="45.75" customHeight="1" x14ac:dyDescent="0.3">
      <c r="A9152" s="1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</row>
    <row r="9153" spans="1:20" ht="45.75" customHeight="1" x14ac:dyDescent="0.3">
      <c r="A9153" s="1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</row>
    <row r="9154" spans="1:20" ht="45.75" customHeight="1" x14ac:dyDescent="0.3">
      <c r="A9154" s="1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</row>
    <row r="9155" spans="1:20" ht="45.75" customHeight="1" x14ac:dyDescent="0.3">
      <c r="A9155" s="1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</row>
    <row r="9156" spans="1:20" ht="45.75" customHeight="1" x14ac:dyDescent="0.3">
      <c r="A9156" s="1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</row>
    <row r="9157" spans="1:20" ht="45.75" customHeight="1" x14ac:dyDescent="0.3">
      <c r="A9157" s="1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</row>
    <row r="9158" spans="1:20" ht="45.75" customHeight="1" x14ac:dyDescent="0.3">
      <c r="A9158" s="1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</row>
    <row r="9159" spans="1:20" ht="45.75" customHeight="1" x14ac:dyDescent="0.3">
      <c r="A9159" s="1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</row>
    <row r="9160" spans="1:20" ht="45.75" customHeight="1" x14ac:dyDescent="0.3">
      <c r="A9160" s="1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</row>
    <row r="9161" spans="1:20" ht="45.75" customHeight="1" x14ac:dyDescent="0.3">
      <c r="A9161" s="1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</row>
    <row r="9162" spans="1:20" ht="45.75" customHeight="1" x14ac:dyDescent="0.3">
      <c r="A9162" s="1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</row>
    <row r="9163" spans="1:20" ht="45.75" customHeight="1" x14ac:dyDescent="0.3">
      <c r="A9163" s="1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</row>
    <row r="9164" spans="1:20" ht="45.75" customHeight="1" x14ac:dyDescent="0.3">
      <c r="A9164" s="1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</row>
    <row r="9165" spans="1:20" ht="45.75" customHeight="1" x14ac:dyDescent="0.3">
      <c r="A9165" s="1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</row>
    <row r="9166" spans="1:20" ht="45.75" customHeight="1" x14ac:dyDescent="0.3">
      <c r="A9166" s="1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</row>
    <row r="9167" spans="1:20" ht="45.75" customHeight="1" x14ac:dyDescent="0.3">
      <c r="A9167" s="1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</row>
    <row r="9168" spans="1:20" ht="45.75" customHeight="1" x14ac:dyDescent="0.3">
      <c r="A9168" s="1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</row>
    <row r="9169" spans="1:20" ht="45.75" customHeight="1" x14ac:dyDescent="0.3">
      <c r="A9169" s="1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</row>
    <row r="9170" spans="1:20" ht="45.75" customHeight="1" x14ac:dyDescent="0.3">
      <c r="A9170" s="1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</row>
    <row r="9171" spans="1:20" ht="45.75" customHeight="1" x14ac:dyDescent="0.3">
      <c r="A9171" s="1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</row>
    <row r="9172" spans="1:20" ht="45.75" customHeight="1" x14ac:dyDescent="0.3">
      <c r="A9172" s="1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</row>
    <row r="9173" spans="1:20" ht="45.75" customHeight="1" x14ac:dyDescent="0.3">
      <c r="A9173" s="1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</row>
    <row r="9174" spans="1:20" ht="45.75" customHeight="1" x14ac:dyDescent="0.3">
      <c r="A9174" s="1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</row>
    <row r="9175" spans="1:20" ht="45.75" customHeight="1" x14ac:dyDescent="0.3">
      <c r="A9175" s="1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</row>
    <row r="9176" spans="1:20" ht="45.75" customHeight="1" x14ac:dyDescent="0.3">
      <c r="A9176" s="1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</row>
    <row r="9177" spans="1:20" ht="45.75" customHeight="1" x14ac:dyDescent="0.3">
      <c r="A9177" s="1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</row>
    <row r="9178" spans="1:20" ht="45.75" customHeight="1" x14ac:dyDescent="0.3">
      <c r="A9178" s="1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</row>
    <row r="9179" spans="1:20" ht="45.75" customHeight="1" x14ac:dyDescent="0.3">
      <c r="A9179" s="1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</row>
    <row r="9180" spans="1:20" ht="45.75" customHeight="1" x14ac:dyDescent="0.3">
      <c r="A9180" s="1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</row>
    <row r="9181" spans="1:20" ht="45.75" customHeight="1" x14ac:dyDescent="0.3">
      <c r="A9181" s="1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</row>
    <row r="9182" spans="1:20" ht="45.75" customHeight="1" x14ac:dyDescent="0.3">
      <c r="A9182" s="1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</row>
    <row r="9183" spans="1:20" ht="45.75" customHeight="1" x14ac:dyDescent="0.3">
      <c r="A9183" s="1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</row>
    <row r="9184" spans="1:20" ht="45.75" customHeight="1" x14ac:dyDescent="0.3">
      <c r="A9184" s="1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</row>
    <row r="9185" spans="1:20" ht="45.75" customHeight="1" x14ac:dyDescent="0.3">
      <c r="A9185" s="1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</row>
    <row r="9186" spans="1:20" ht="45.75" customHeight="1" x14ac:dyDescent="0.3">
      <c r="A9186" s="1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</row>
    <row r="9187" spans="1:20" ht="45.75" customHeight="1" x14ac:dyDescent="0.3">
      <c r="A9187" s="1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</row>
    <row r="9188" spans="1:20" ht="45.75" customHeight="1" x14ac:dyDescent="0.3">
      <c r="A9188" s="1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</row>
    <row r="9189" spans="1:20" ht="45.75" customHeight="1" x14ac:dyDescent="0.3">
      <c r="A9189" s="1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</row>
    <row r="9190" spans="1:20" ht="45.75" customHeight="1" x14ac:dyDescent="0.3">
      <c r="A9190" s="1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</row>
    <row r="9191" spans="1:20" ht="45.75" customHeight="1" x14ac:dyDescent="0.3">
      <c r="A9191" s="1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</row>
    <row r="9192" spans="1:20" ht="45.75" customHeight="1" x14ac:dyDescent="0.3">
      <c r="A9192" s="1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</row>
    <row r="9193" spans="1:20" ht="45.75" customHeight="1" x14ac:dyDescent="0.3">
      <c r="A9193" s="1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</row>
    <row r="9194" spans="1:20" ht="45.75" customHeight="1" x14ac:dyDescent="0.3">
      <c r="A9194" s="1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</row>
    <row r="9195" spans="1:20" ht="45.75" customHeight="1" x14ac:dyDescent="0.3">
      <c r="A9195" s="1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</row>
    <row r="9196" spans="1:20" ht="45.75" customHeight="1" x14ac:dyDescent="0.3">
      <c r="A9196" s="1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</row>
    <row r="9197" spans="1:20" ht="45.75" customHeight="1" x14ac:dyDescent="0.3">
      <c r="A9197" s="1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</row>
    <row r="9198" spans="1:20" ht="45.75" customHeight="1" x14ac:dyDescent="0.3">
      <c r="A9198" s="1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</row>
    <row r="9199" spans="1:20" ht="45.75" customHeight="1" x14ac:dyDescent="0.3">
      <c r="A9199" s="1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</row>
    <row r="9200" spans="1:20" ht="45.75" customHeight="1" x14ac:dyDescent="0.3">
      <c r="A9200" s="1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</row>
    <row r="9201" spans="1:20" ht="45.75" customHeight="1" x14ac:dyDescent="0.3">
      <c r="A9201" s="1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</row>
    <row r="9202" spans="1:20" ht="45.75" customHeight="1" x14ac:dyDescent="0.3">
      <c r="A9202" s="1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</row>
    <row r="9203" spans="1:20" ht="45.75" customHeight="1" x14ac:dyDescent="0.3">
      <c r="A9203" s="1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</row>
    <row r="9204" spans="1:20" ht="45.75" customHeight="1" x14ac:dyDescent="0.3">
      <c r="A9204" s="1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</row>
    <row r="9205" spans="1:20" ht="45.75" customHeight="1" x14ac:dyDescent="0.3">
      <c r="A9205" s="1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</row>
    <row r="9206" spans="1:20" ht="45.75" customHeight="1" x14ac:dyDescent="0.3">
      <c r="A9206" s="1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</row>
    <row r="9207" spans="1:20" ht="45.75" customHeight="1" x14ac:dyDescent="0.3">
      <c r="A9207" s="1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</row>
    <row r="9208" spans="1:20" ht="45.75" customHeight="1" x14ac:dyDescent="0.3">
      <c r="A9208" s="1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</row>
    <row r="9209" spans="1:20" ht="45.75" customHeight="1" x14ac:dyDescent="0.3">
      <c r="A9209" s="1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</row>
    <row r="9210" spans="1:20" ht="45.75" customHeight="1" x14ac:dyDescent="0.3">
      <c r="A9210" s="1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</row>
    <row r="9211" spans="1:20" ht="45.75" customHeight="1" x14ac:dyDescent="0.3">
      <c r="A9211" s="1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</row>
    <row r="9212" spans="1:20" ht="45.75" customHeight="1" x14ac:dyDescent="0.3">
      <c r="A9212" s="1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</row>
    <row r="9213" spans="1:20" ht="45.75" customHeight="1" x14ac:dyDescent="0.3">
      <c r="A9213" s="1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</row>
    <row r="9214" spans="1:20" ht="45.75" customHeight="1" x14ac:dyDescent="0.3">
      <c r="A9214" s="1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</row>
    <row r="9215" spans="1:20" ht="45.75" customHeight="1" x14ac:dyDescent="0.3">
      <c r="A9215" s="1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</row>
    <row r="9216" spans="1:20" ht="45.75" customHeight="1" x14ac:dyDescent="0.3">
      <c r="A9216" s="1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</row>
    <row r="9217" spans="1:20" ht="45.75" customHeight="1" x14ac:dyDescent="0.3">
      <c r="A9217" s="1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</row>
    <row r="9218" spans="1:20" ht="45.75" customHeight="1" x14ac:dyDescent="0.3">
      <c r="A9218" s="1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</row>
    <row r="9219" spans="1:20" ht="45.75" customHeight="1" x14ac:dyDescent="0.3">
      <c r="A9219" s="1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</row>
    <row r="9220" spans="1:20" ht="45.75" customHeight="1" x14ac:dyDescent="0.3">
      <c r="A9220" s="1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</row>
    <row r="9221" spans="1:20" ht="45.75" customHeight="1" x14ac:dyDescent="0.3">
      <c r="A9221" s="1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</row>
    <row r="9222" spans="1:20" ht="45.75" customHeight="1" x14ac:dyDescent="0.3">
      <c r="A9222" s="1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</row>
    <row r="9223" spans="1:20" ht="45.75" customHeight="1" x14ac:dyDescent="0.3">
      <c r="A9223" s="1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</row>
    <row r="9224" spans="1:20" ht="45.75" customHeight="1" x14ac:dyDescent="0.3">
      <c r="A9224" s="1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</row>
    <row r="9225" spans="1:20" ht="45.75" customHeight="1" x14ac:dyDescent="0.3">
      <c r="A9225" s="1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</row>
    <row r="9226" spans="1:20" ht="45.75" customHeight="1" x14ac:dyDescent="0.3">
      <c r="A9226" s="1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</row>
    <row r="9227" spans="1:20" ht="45.75" customHeight="1" x14ac:dyDescent="0.3">
      <c r="A9227" s="1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</row>
    <row r="9228" spans="1:20" ht="45.75" customHeight="1" x14ac:dyDescent="0.3">
      <c r="A9228" s="1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</row>
    <row r="9229" spans="1:20" ht="45.75" customHeight="1" x14ac:dyDescent="0.3">
      <c r="A9229" s="1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</row>
    <row r="9230" spans="1:20" ht="45.75" customHeight="1" x14ac:dyDescent="0.3">
      <c r="A9230" s="1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</row>
    <row r="9231" spans="1:20" ht="45.75" customHeight="1" x14ac:dyDescent="0.3">
      <c r="A9231" s="1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</row>
    <row r="9232" spans="1:20" ht="45.75" customHeight="1" x14ac:dyDescent="0.3">
      <c r="A9232" s="1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</row>
    <row r="9233" spans="1:20" ht="45.75" customHeight="1" x14ac:dyDescent="0.3">
      <c r="A9233" s="1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</row>
    <row r="9234" spans="1:20" ht="45.75" customHeight="1" x14ac:dyDescent="0.3">
      <c r="A9234" s="1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</row>
    <row r="9235" spans="1:20" ht="45.75" customHeight="1" x14ac:dyDescent="0.3">
      <c r="A9235" s="1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</row>
    <row r="9236" spans="1:20" ht="45.75" customHeight="1" x14ac:dyDescent="0.3">
      <c r="A9236" s="1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</row>
    <row r="9237" spans="1:20" ht="45.75" customHeight="1" x14ac:dyDescent="0.3">
      <c r="A9237" s="1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</row>
    <row r="9238" spans="1:20" ht="45.75" customHeight="1" x14ac:dyDescent="0.3">
      <c r="A9238" s="1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</row>
    <row r="9239" spans="1:20" ht="45.75" customHeight="1" x14ac:dyDescent="0.3">
      <c r="A9239" s="1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</row>
    <row r="9240" spans="1:20" ht="45.75" customHeight="1" x14ac:dyDescent="0.3">
      <c r="A9240" s="1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</row>
    <row r="9241" spans="1:20" ht="45.75" customHeight="1" x14ac:dyDescent="0.3">
      <c r="A9241" s="1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</row>
    <row r="9242" spans="1:20" ht="45.75" customHeight="1" x14ac:dyDescent="0.3">
      <c r="A9242" s="1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</row>
    <row r="9243" spans="1:20" ht="45.75" customHeight="1" x14ac:dyDescent="0.3">
      <c r="A9243" s="1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</row>
    <row r="9244" spans="1:20" ht="45.75" customHeight="1" x14ac:dyDescent="0.3">
      <c r="A9244" s="1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</row>
    <row r="9245" spans="1:20" ht="45.75" customHeight="1" x14ac:dyDescent="0.3">
      <c r="A9245" s="1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</row>
    <row r="9246" spans="1:20" ht="45.75" customHeight="1" x14ac:dyDescent="0.3">
      <c r="A9246" s="1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</row>
    <row r="9247" spans="1:20" ht="45.75" customHeight="1" x14ac:dyDescent="0.3">
      <c r="A9247" s="1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</row>
    <row r="9248" spans="1:20" ht="45.75" customHeight="1" x14ac:dyDescent="0.3">
      <c r="A9248" s="1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</row>
    <row r="9249" spans="1:20" ht="45.75" customHeight="1" x14ac:dyDescent="0.3">
      <c r="A9249" s="1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</row>
    <row r="9250" spans="1:20" ht="45.75" customHeight="1" x14ac:dyDescent="0.3">
      <c r="A9250" s="1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</row>
    <row r="9251" spans="1:20" ht="45.75" customHeight="1" x14ac:dyDescent="0.3">
      <c r="A9251" s="1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</row>
    <row r="9252" spans="1:20" ht="45.75" customHeight="1" x14ac:dyDescent="0.3">
      <c r="A9252" s="1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</row>
    <row r="9253" spans="1:20" ht="45.75" customHeight="1" x14ac:dyDescent="0.3">
      <c r="A9253" s="1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</row>
    <row r="9254" spans="1:20" ht="45.75" customHeight="1" x14ac:dyDescent="0.3">
      <c r="A9254" s="1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</row>
    <row r="9255" spans="1:20" ht="45.75" customHeight="1" x14ac:dyDescent="0.3">
      <c r="A9255" s="1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</row>
    <row r="9256" spans="1:20" ht="45.75" customHeight="1" x14ac:dyDescent="0.3">
      <c r="A9256" s="1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</row>
    <row r="9257" spans="1:20" ht="45.75" customHeight="1" x14ac:dyDescent="0.3">
      <c r="A9257" s="1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</row>
    <row r="9258" spans="1:20" ht="45.75" customHeight="1" x14ac:dyDescent="0.3">
      <c r="A9258" s="1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</row>
    <row r="9259" spans="1:20" ht="45.75" customHeight="1" x14ac:dyDescent="0.3">
      <c r="A9259" s="1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</row>
    <row r="9260" spans="1:20" ht="45.75" customHeight="1" x14ac:dyDescent="0.3">
      <c r="A9260" s="1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</row>
    <row r="9261" spans="1:20" ht="45.75" customHeight="1" x14ac:dyDescent="0.3">
      <c r="A9261" s="1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</row>
    <row r="9262" spans="1:20" ht="45.75" customHeight="1" x14ac:dyDescent="0.3">
      <c r="A9262" s="1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</row>
    <row r="9263" spans="1:20" ht="45.75" customHeight="1" x14ac:dyDescent="0.3">
      <c r="A9263" s="1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</row>
    <row r="9264" spans="1:20" ht="45.75" customHeight="1" x14ac:dyDescent="0.3">
      <c r="A9264" s="1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</row>
    <row r="9265" spans="1:20" ht="45.75" customHeight="1" x14ac:dyDescent="0.3">
      <c r="A9265" s="1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</row>
    <row r="9266" spans="1:20" ht="45.75" customHeight="1" x14ac:dyDescent="0.3">
      <c r="A9266" s="1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</row>
    <row r="9267" spans="1:20" ht="45.75" customHeight="1" x14ac:dyDescent="0.3">
      <c r="A9267" s="1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</row>
    <row r="9268" spans="1:20" ht="45.75" customHeight="1" x14ac:dyDescent="0.3">
      <c r="A9268" s="1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</row>
    <row r="9269" spans="1:20" ht="45.75" customHeight="1" x14ac:dyDescent="0.3">
      <c r="A9269" s="1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</row>
    <row r="9270" spans="1:20" ht="45.75" customHeight="1" x14ac:dyDescent="0.3">
      <c r="A9270" s="1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</row>
    <row r="9271" spans="1:20" ht="45.75" customHeight="1" x14ac:dyDescent="0.3">
      <c r="A9271" s="1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</row>
    <row r="9272" spans="1:20" ht="45.75" customHeight="1" x14ac:dyDescent="0.3">
      <c r="A9272" s="1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</row>
    <row r="9273" spans="1:20" ht="45.75" customHeight="1" x14ac:dyDescent="0.3">
      <c r="A9273" s="1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</row>
    <row r="9274" spans="1:20" ht="45.75" customHeight="1" x14ac:dyDescent="0.3">
      <c r="A9274" s="1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</row>
    <row r="9275" spans="1:20" ht="45.75" customHeight="1" x14ac:dyDescent="0.3">
      <c r="A9275" s="1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</row>
    <row r="9276" spans="1:20" ht="45.75" customHeight="1" x14ac:dyDescent="0.3">
      <c r="A9276" s="1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</row>
    <row r="9277" spans="1:20" ht="45.75" customHeight="1" x14ac:dyDescent="0.3">
      <c r="A9277" s="1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</row>
    <row r="9278" spans="1:20" ht="45.75" customHeight="1" x14ac:dyDescent="0.3">
      <c r="A9278" s="1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</row>
    <row r="9279" spans="1:20" ht="45.75" customHeight="1" x14ac:dyDescent="0.3">
      <c r="A9279" s="1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</row>
    <row r="9280" spans="1:20" ht="45.75" customHeight="1" x14ac:dyDescent="0.3">
      <c r="A9280" s="1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</row>
    <row r="9281" spans="1:20" ht="45.75" customHeight="1" x14ac:dyDescent="0.3">
      <c r="A9281" s="1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</row>
    <row r="9282" spans="1:20" ht="45.75" customHeight="1" x14ac:dyDescent="0.3">
      <c r="A9282" s="1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</row>
    <row r="9283" spans="1:20" ht="45.75" customHeight="1" x14ac:dyDescent="0.3">
      <c r="A9283" s="1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</row>
    <row r="9284" spans="1:20" ht="45.75" customHeight="1" x14ac:dyDescent="0.3">
      <c r="A9284" s="1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</row>
    <row r="9285" spans="1:20" ht="45.75" customHeight="1" x14ac:dyDescent="0.3">
      <c r="A9285" s="1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</row>
    <row r="9286" spans="1:20" ht="45.75" customHeight="1" x14ac:dyDescent="0.3">
      <c r="A9286" s="1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</row>
    <row r="9287" spans="1:20" ht="45.75" customHeight="1" x14ac:dyDescent="0.3">
      <c r="A9287" s="1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</row>
    <row r="9288" spans="1:20" ht="45.75" customHeight="1" x14ac:dyDescent="0.3">
      <c r="A9288" s="1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</row>
    <row r="9289" spans="1:20" ht="45.75" customHeight="1" x14ac:dyDescent="0.3">
      <c r="A9289" s="1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</row>
    <row r="9290" spans="1:20" ht="45.75" customHeight="1" x14ac:dyDescent="0.3">
      <c r="A9290" s="1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</row>
    <row r="9291" spans="1:20" ht="45.75" customHeight="1" x14ac:dyDescent="0.3">
      <c r="A9291" s="1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</row>
    <row r="9292" spans="1:20" ht="45.75" customHeight="1" x14ac:dyDescent="0.3">
      <c r="A9292" s="1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</row>
    <row r="9293" spans="1:20" ht="45.75" customHeight="1" x14ac:dyDescent="0.3">
      <c r="A9293" s="1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</row>
    <row r="9294" spans="1:20" ht="45.75" customHeight="1" x14ac:dyDescent="0.3">
      <c r="A9294" s="1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</row>
    <row r="9295" spans="1:20" ht="45.75" customHeight="1" x14ac:dyDescent="0.3">
      <c r="A9295" s="1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</row>
    <row r="9296" spans="1:20" ht="45.75" customHeight="1" x14ac:dyDescent="0.3">
      <c r="A9296" s="1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</row>
    <row r="9297" spans="1:20" ht="45.75" customHeight="1" x14ac:dyDescent="0.3">
      <c r="A9297" s="1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</row>
    <row r="9298" spans="1:20" ht="45.75" customHeight="1" x14ac:dyDescent="0.3">
      <c r="A9298" s="1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</row>
    <row r="9299" spans="1:20" ht="45.75" customHeight="1" x14ac:dyDescent="0.3">
      <c r="A9299" s="1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</row>
    <row r="9300" spans="1:20" ht="45.75" customHeight="1" x14ac:dyDescent="0.3">
      <c r="A9300" s="1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</row>
    <row r="9301" spans="1:20" ht="45.75" customHeight="1" x14ac:dyDescent="0.3">
      <c r="A9301" s="1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</row>
    <row r="9302" spans="1:20" ht="45.75" customHeight="1" x14ac:dyDescent="0.3">
      <c r="A9302" s="1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</row>
    <row r="9303" spans="1:20" ht="45.75" customHeight="1" x14ac:dyDescent="0.3">
      <c r="A9303" s="1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</row>
    <row r="9304" spans="1:20" ht="45.75" customHeight="1" x14ac:dyDescent="0.3">
      <c r="A9304" s="1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</row>
    <row r="9305" spans="1:20" ht="45.75" customHeight="1" x14ac:dyDescent="0.3">
      <c r="A9305" s="1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</row>
    <row r="9306" spans="1:20" ht="45.75" customHeight="1" x14ac:dyDescent="0.3">
      <c r="A9306" s="1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</row>
    <row r="9307" spans="1:20" ht="45.75" customHeight="1" x14ac:dyDescent="0.3">
      <c r="A9307" s="1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</row>
    <row r="9308" spans="1:20" ht="45.75" customHeight="1" x14ac:dyDescent="0.3">
      <c r="A9308" s="1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</row>
    <row r="9309" spans="1:20" ht="45.75" customHeight="1" x14ac:dyDescent="0.3">
      <c r="A9309" s="1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</row>
    <row r="9310" spans="1:20" ht="45.75" customHeight="1" x14ac:dyDescent="0.3">
      <c r="A9310" s="1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</row>
    <row r="9311" spans="1:20" ht="45.75" customHeight="1" x14ac:dyDescent="0.3">
      <c r="A9311" s="1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</row>
    <row r="9312" spans="1:20" ht="45.75" customHeight="1" x14ac:dyDescent="0.3">
      <c r="A9312" s="1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</row>
    <row r="9313" spans="1:20" ht="45.75" customHeight="1" x14ac:dyDescent="0.3">
      <c r="A9313" s="1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</row>
    <row r="9314" spans="1:20" ht="45.75" customHeight="1" x14ac:dyDescent="0.3">
      <c r="A9314" s="1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</row>
    <row r="9315" spans="1:20" ht="45.75" customHeight="1" x14ac:dyDescent="0.3">
      <c r="A9315" s="1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</row>
    <row r="9316" spans="1:20" ht="45.75" customHeight="1" x14ac:dyDescent="0.3">
      <c r="A9316" s="1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</row>
    <row r="9317" spans="1:20" ht="45.75" customHeight="1" x14ac:dyDescent="0.3">
      <c r="A9317" s="1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</row>
    <row r="9318" spans="1:20" ht="45.75" customHeight="1" x14ac:dyDescent="0.3">
      <c r="A9318" s="1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</row>
    <row r="9319" spans="1:20" ht="45.75" customHeight="1" x14ac:dyDescent="0.3">
      <c r="A9319" s="1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</row>
    <row r="9320" spans="1:20" ht="45.75" customHeight="1" x14ac:dyDescent="0.3">
      <c r="A9320" s="1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</row>
    <row r="9321" spans="1:20" ht="45.75" customHeight="1" x14ac:dyDescent="0.3">
      <c r="A9321" s="1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</row>
    <row r="9322" spans="1:20" ht="45.75" customHeight="1" x14ac:dyDescent="0.3">
      <c r="A9322" s="1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</row>
    <row r="9323" spans="1:20" ht="45.75" customHeight="1" x14ac:dyDescent="0.3">
      <c r="A9323" s="1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</row>
    <row r="9324" spans="1:20" ht="45.75" customHeight="1" x14ac:dyDescent="0.3">
      <c r="A9324" s="1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</row>
    <row r="9325" spans="1:20" ht="45.75" customHeight="1" x14ac:dyDescent="0.3">
      <c r="A9325" s="1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</row>
    <row r="9326" spans="1:20" ht="45.75" customHeight="1" x14ac:dyDescent="0.3">
      <c r="A9326" s="1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</row>
    <row r="9327" spans="1:20" ht="45.75" customHeight="1" x14ac:dyDescent="0.3">
      <c r="A9327" s="1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</row>
    <row r="9328" spans="1:20" ht="45.75" customHeight="1" x14ac:dyDescent="0.3">
      <c r="A9328" s="1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</row>
    <row r="9329" spans="1:20" ht="45.75" customHeight="1" x14ac:dyDescent="0.3">
      <c r="A9329" s="1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</row>
    <row r="9330" spans="1:20" ht="45.75" customHeight="1" x14ac:dyDescent="0.3">
      <c r="A9330" s="1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</row>
    <row r="9331" spans="1:20" ht="45.75" customHeight="1" x14ac:dyDescent="0.3">
      <c r="A9331" s="1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</row>
    <row r="9332" spans="1:20" ht="45.75" customHeight="1" x14ac:dyDescent="0.3">
      <c r="A9332" s="1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</row>
    <row r="9333" spans="1:20" ht="45.75" customHeight="1" x14ac:dyDescent="0.3">
      <c r="A9333" s="1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</row>
    <row r="9334" spans="1:20" ht="45.75" customHeight="1" x14ac:dyDescent="0.3">
      <c r="A9334" s="1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</row>
    <row r="9335" spans="1:20" ht="45.75" customHeight="1" x14ac:dyDescent="0.3">
      <c r="A9335" s="1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</row>
    <row r="9336" spans="1:20" ht="45.75" customHeight="1" x14ac:dyDescent="0.3">
      <c r="A9336" s="1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</row>
    <row r="9337" spans="1:20" ht="45.75" customHeight="1" x14ac:dyDescent="0.3">
      <c r="A9337" s="1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</row>
    <row r="9338" spans="1:20" ht="45.75" customHeight="1" x14ac:dyDescent="0.3">
      <c r="A9338" s="1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</row>
    <row r="9339" spans="1:20" ht="45.75" customHeight="1" x14ac:dyDescent="0.3">
      <c r="A9339" s="1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</row>
    <row r="9340" spans="1:20" ht="45.75" customHeight="1" x14ac:dyDescent="0.3">
      <c r="A9340" s="1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</row>
    <row r="9341" spans="1:20" ht="45.75" customHeight="1" x14ac:dyDescent="0.3">
      <c r="A9341" s="1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</row>
    <row r="9342" spans="1:20" ht="45.75" customHeight="1" x14ac:dyDescent="0.3">
      <c r="A9342" s="1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</row>
    <row r="9343" spans="1:20" ht="45.75" customHeight="1" x14ac:dyDescent="0.3">
      <c r="A9343" s="1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</row>
    <row r="9344" spans="1:20" ht="45.75" customHeight="1" x14ac:dyDescent="0.3">
      <c r="A9344" s="1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</row>
    <row r="9345" spans="1:20" ht="45.75" customHeight="1" x14ac:dyDescent="0.3">
      <c r="A9345" s="1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</row>
    <row r="9346" spans="1:20" ht="45.75" customHeight="1" x14ac:dyDescent="0.3">
      <c r="A9346" s="1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</row>
    <row r="9347" spans="1:20" ht="45.75" customHeight="1" x14ac:dyDescent="0.3">
      <c r="A9347" s="1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</row>
    <row r="9348" spans="1:20" ht="45.75" customHeight="1" x14ac:dyDescent="0.3">
      <c r="A9348" s="1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</row>
    <row r="9349" spans="1:20" ht="45.75" customHeight="1" x14ac:dyDescent="0.3">
      <c r="A9349" s="1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</row>
    <row r="9350" spans="1:20" ht="45.75" customHeight="1" x14ac:dyDescent="0.3">
      <c r="A9350" s="1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</row>
    <row r="9351" spans="1:20" ht="45.75" customHeight="1" x14ac:dyDescent="0.3">
      <c r="A9351" s="1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</row>
    <row r="9352" spans="1:20" ht="45.75" customHeight="1" x14ac:dyDescent="0.3">
      <c r="A9352" s="1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</row>
    <row r="9353" spans="1:20" ht="45.75" customHeight="1" x14ac:dyDescent="0.3">
      <c r="A9353" s="1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</row>
    <row r="9354" spans="1:20" ht="45.75" customHeight="1" x14ac:dyDescent="0.3">
      <c r="A9354" s="1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</row>
    <row r="9355" spans="1:20" ht="45.75" customHeight="1" x14ac:dyDescent="0.3">
      <c r="A9355" s="1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</row>
    <row r="9356" spans="1:20" ht="45.75" customHeight="1" x14ac:dyDescent="0.3">
      <c r="A9356" s="1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</row>
    <row r="9357" spans="1:20" ht="45.75" customHeight="1" x14ac:dyDescent="0.3">
      <c r="A9357" s="1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</row>
    <row r="9358" spans="1:20" ht="45.75" customHeight="1" x14ac:dyDescent="0.3">
      <c r="A9358" s="1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</row>
    <row r="9359" spans="1:20" ht="45.75" customHeight="1" x14ac:dyDescent="0.3">
      <c r="A9359" s="1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</row>
    <row r="9360" spans="1:20" ht="45.75" customHeight="1" x14ac:dyDescent="0.3">
      <c r="A9360" s="1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</row>
    <row r="9361" spans="1:20" ht="45.75" customHeight="1" x14ac:dyDescent="0.3">
      <c r="A9361" s="1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</row>
    <row r="9362" spans="1:20" ht="45.75" customHeight="1" x14ac:dyDescent="0.3">
      <c r="A9362" s="1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</row>
    <row r="9363" spans="1:20" ht="45.75" customHeight="1" x14ac:dyDescent="0.3">
      <c r="A9363" s="1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</row>
    <row r="9364" spans="1:20" ht="45.75" customHeight="1" x14ac:dyDescent="0.3">
      <c r="A9364" s="1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</row>
    <row r="9365" spans="1:20" ht="45.75" customHeight="1" x14ac:dyDescent="0.3">
      <c r="A9365" s="1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</row>
    <row r="9366" spans="1:20" ht="45.75" customHeight="1" x14ac:dyDescent="0.3">
      <c r="A9366" s="1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</row>
    <row r="9367" spans="1:20" ht="45.75" customHeight="1" x14ac:dyDescent="0.3">
      <c r="A9367" s="1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</row>
    <row r="9368" spans="1:20" ht="45.75" customHeight="1" x14ac:dyDescent="0.3">
      <c r="A9368" s="1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</row>
    <row r="9369" spans="1:20" ht="45.75" customHeight="1" x14ac:dyDescent="0.3">
      <c r="A9369" s="1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</row>
    <row r="9370" spans="1:20" ht="45.75" customHeight="1" x14ac:dyDescent="0.3">
      <c r="A9370" s="1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</row>
    <row r="9371" spans="1:20" ht="45.75" customHeight="1" x14ac:dyDescent="0.3">
      <c r="A9371" s="1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</row>
    <row r="9372" spans="1:20" ht="45.75" customHeight="1" x14ac:dyDescent="0.3">
      <c r="A9372" s="1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</row>
    <row r="9373" spans="1:20" ht="45.75" customHeight="1" x14ac:dyDescent="0.3">
      <c r="A9373" s="1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</row>
    <row r="9374" spans="1:20" ht="45.75" customHeight="1" x14ac:dyDescent="0.3">
      <c r="A9374" s="1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</row>
    <row r="9375" spans="1:20" ht="45.75" customHeight="1" x14ac:dyDescent="0.3">
      <c r="A9375" s="1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</row>
    <row r="9376" spans="1:20" ht="45.75" customHeight="1" x14ac:dyDescent="0.3">
      <c r="A9376" s="1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</row>
    <row r="9377" spans="1:20" ht="45.75" customHeight="1" x14ac:dyDescent="0.3">
      <c r="A9377" s="1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</row>
    <row r="9378" spans="1:20" ht="45.75" customHeight="1" x14ac:dyDescent="0.3">
      <c r="A9378" s="1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</row>
    <row r="9379" spans="1:20" ht="45.75" customHeight="1" x14ac:dyDescent="0.3">
      <c r="A9379" s="1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</row>
    <row r="9380" spans="1:20" ht="45.75" customHeight="1" x14ac:dyDescent="0.3">
      <c r="A9380" s="1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</row>
    <row r="9381" spans="1:20" ht="45.75" customHeight="1" x14ac:dyDescent="0.3">
      <c r="A9381" s="1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</row>
    <row r="9382" spans="1:20" ht="45.75" customHeight="1" x14ac:dyDescent="0.3">
      <c r="A9382" s="1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</row>
    <row r="9383" spans="1:20" ht="45.75" customHeight="1" x14ac:dyDescent="0.3">
      <c r="A9383" s="1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</row>
    <row r="9384" spans="1:20" ht="45.75" customHeight="1" x14ac:dyDescent="0.3">
      <c r="A9384" s="1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</row>
    <row r="9385" spans="1:20" ht="45.75" customHeight="1" x14ac:dyDescent="0.3">
      <c r="A9385" s="1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</row>
    <row r="9386" spans="1:20" ht="45.75" customHeight="1" x14ac:dyDescent="0.3">
      <c r="A9386" s="1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</row>
    <row r="9387" spans="1:20" ht="45.75" customHeight="1" x14ac:dyDescent="0.3">
      <c r="A9387" s="1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</row>
    <row r="9388" spans="1:20" ht="45.75" customHeight="1" x14ac:dyDescent="0.3">
      <c r="A9388" s="1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</row>
    <row r="9389" spans="1:20" ht="45.75" customHeight="1" x14ac:dyDescent="0.3">
      <c r="A9389" s="1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</row>
    <row r="9390" spans="1:20" ht="45.75" customHeight="1" x14ac:dyDescent="0.3">
      <c r="A9390" s="1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</row>
    <row r="9391" spans="1:20" ht="45.75" customHeight="1" x14ac:dyDescent="0.3">
      <c r="A9391" s="1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</row>
    <row r="9392" spans="1:20" ht="45.75" customHeight="1" x14ac:dyDescent="0.3">
      <c r="A9392" s="1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</row>
    <row r="9393" spans="1:20" ht="45.75" customHeight="1" x14ac:dyDescent="0.3">
      <c r="A9393" s="1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</row>
    <row r="9394" spans="1:20" ht="45.75" customHeight="1" x14ac:dyDescent="0.3">
      <c r="A9394" s="1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</row>
    <row r="9395" spans="1:20" ht="45.75" customHeight="1" x14ac:dyDescent="0.3">
      <c r="A9395" s="1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</row>
    <row r="9396" spans="1:20" ht="45.75" customHeight="1" x14ac:dyDescent="0.3">
      <c r="A9396" s="1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</row>
    <row r="9397" spans="1:20" ht="45.75" customHeight="1" x14ac:dyDescent="0.3">
      <c r="A9397" s="1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</row>
    <row r="9398" spans="1:20" ht="45.75" customHeight="1" x14ac:dyDescent="0.3">
      <c r="A9398" s="1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</row>
    <row r="9399" spans="1:20" ht="45.75" customHeight="1" x14ac:dyDescent="0.3">
      <c r="A9399" s="1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</row>
    <row r="9400" spans="1:20" ht="45.75" customHeight="1" x14ac:dyDescent="0.3">
      <c r="A9400" s="1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</row>
    <row r="9401" spans="1:20" ht="45.75" customHeight="1" x14ac:dyDescent="0.3">
      <c r="A9401" s="1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</row>
    <row r="9402" spans="1:20" ht="45.75" customHeight="1" x14ac:dyDescent="0.3">
      <c r="A9402" s="1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</row>
    <row r="9403" spans="1:20" ht="45.75" customHeight="1" x14ac:dyDescent="0.3">
      <c r="A9403" s="1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</row>
    <row r="9404" spans="1:20" ht="45.75" customHeight="1" x14ac:dyDescent="0.3">
      <c r="A9404" s="1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</row>
    <row r="9405" spans="1:20" ht="45.75" customHeight="1" x14ac:dyDescent="0.3">
      <c r="A9405" s="1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</row>
    <row r="9406" spans="1:20" ht="45.75" customHeight="1" x14ac:dyDescent="0.3">
      <c r="A9406" s="1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</row>
    <row r="9407" spans="1:20" ht="45.75" customHeight="1" x14ac:dyDescent="0.3">
      <c r="A9407" s="1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</row>
    <row r="9408" spans="1:20" ht="45.75" customHeight="1" x14ac:dyDescent="0.3">
      <c r="A9408" s="1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</row>
    <row r="9409" spans="1:20" ht="45.75" customHeight="1" x14ac:dyDescent="0.3">
      <c r="A9409" s="1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</row>
    <row r="9410" spans="1:20" ht="45.75" customHeight="1" x14ac:dyDescent="0.3">
      <c r="A9410" s="1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</row>
    <row r="9411" spans="1:20" ht="45.75" customHeight="1" x14ac:dyDescent="0.3">
      <c r="A9411" s="1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</row>
    <row r="9412" spans="1:20" ht="45.75" customHeight="1" x14ac:dyDescent="0.3">
      <c r="A9412" s="1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</row>
    <row r="9413" spans="1:20" ht="45.75" customHeight="1" x14ac:dyDescent="0.3">
      <c r="A9413" s="1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</row>
    <row r="9414" spans="1:20" ht="45.75" customHeight="1" x14ac:dyDescent="0.3">
      <c r="A9414" s="1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</row>
    <row r="9415" spans="1:20" ht="45.75" customHeight="1" x14ac:dyDescent="0.3">
      <c r="A9415" s="1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</row>
    <row r="9416" spans="1:20" ht="45.75" customHeight="1" x14ac:dyDescent="0.3">
      <c r="A9416" s="1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</row>
    <row r="9417" spans="1:20" ht="45.75" customHeight="1" x14ac:dyDescent="0.3">
      <c r="A9417" s="1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</row>
    <row r="9418" spans="1:20" ht="45.75" customHeight="1" x14ac:dyDescent="0.3">
      <c r="A9418" s="1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</row>
    <row r="9419" spans="1:20" ht="45.75" customHeight="1" x14ac:dyDescent="0.3">
      <c r="A9419" s="1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</row>
    <row r="9420" spans="1:20" ht="45.75" customHeight="1" x14ac:dyDescent="0.3">
      <c r="A9420" s="1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</row>
    <row r="9421" spans="1:20" ht="45.75" customHeight="1" x14ac:dyDescent="0.3">
      <c r="A9421" s="1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</row>
    <row r="9422" spans="1:20" ht="45.75" customHeight="1" x14ac:dyDescent="0.3">
      <c r="A9422" s="1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</row>
    <row r="9423" spans="1:20" ht="45.75" customHeight="1" x14ac:dyDescent="0.3">
      <c r="A9423" s="1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</row>
    <row r="9424" spans="1:20" ht="45.75" customHeight="1" x14ac:dyDescent="0.3">
      <c r="A9424" s="1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</row>
    <row r="9425" spans="1:20" ht="45.75" customHeight="1" x14ac:dyDescent="0.3">
      <c r="A9425" s="1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</row>
    <row r="9426" spans="1:20" ht="45.75" customHeight="1" x14ac:dyDescent="0.3">
      <c r="A9426" s="1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</row>
    <row r="9427" spans="1:20" ht="45.75" customHeight="1" x14ac:dyDescent="0.3">
      <c r="A9427" s="1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</row>
    <row r="9428" spans="1:20" ht="45.75" customHeight="1" x14ac:dyDescent="0.3">
      <c r="A9428" s="1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</row>
    <row r="9429" spans="1:20" ht="45.75" customHeight="1" x14ac:dyDescent="0.3">
      <c r="A9429" s="1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</row>
    <row r="9430" spans="1:20" ht="45.75" customHeight="1" x14ac:dyDescent="0.3">
      <c r="A9430" s="1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</row>
    <row r="9431" spans="1:20" ht="45.75" customHeight="1" x14ac:dyDescent="0.3">
      <c r="A9431" s="1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</row>
    <row r="9432" spans="1:20" ht="45.75" customHeight="1" x14ac:dyDescent="0.3">
      <c r="A9432" s="1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</row>
    <row r="9433" spans="1:20" ht="45.75" customHeight="1" x14ac:dyDescent="0.3">
      <c r="A9433" s="1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</row>
    <row r="9434" spans="1:20" ht="45.75" customHeight="1" x14ac:dyDescent="0.3">
      <c r="A9434" s="1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</row>
    <row r="9435" spans="1:20" ht="45.75" customHeight="1" x14ac:dyDescent="0.3">
      <c r="A9435" s="1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</row>
    <row r="9436" spans="1:20" ht="45.75" customHeight="1" x14ac:dyDescent="0.3">
      <c r="A9436" s="1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</row>
    <row r="9437" spans="1:20" ht="45.75" customHeight="1" x14ac:dyDescent="0.3">
      <c r="A9437" s="1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</row>
    <row r="9438" spans="1:20" ht="45.75" customHeight="1" x14ac:dyDescent="0.3">
      <c r="A9438" s="1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</row>
    <row r="9439" spans="1:20" ht="45.75" customHeight="1" x14ac:dyDescent="0.3">
      <c r="A9439" s="1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</row>
    <row r="9440" spans="1:20" ht="45.75" customHeight="1" x14ac:dyDescent="0.3">
      <c r="A9440" s="1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</row>
    <row r="9441" spans="1:20" ht="45.75" customHeight="1" x14ac:dyDescent="0.3">
      <c r="A9441" s="1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</row>
    <row r="9442" spans="1:20" ht="45.75" customHeight="1" x14ac:dyDescent="0.3">
      <c r="A9442" s="1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</row>
    <row r="9443" spans="1:20" ht="45.75" customHeight="1" x14ac:dyDescent="0.3">
      <c r="A9443" s="1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</row>
    <row r="9444" spans="1:20" ht="45.75" customHeight="1" x14ac:dyDescent="0.3">
      <c r="A9444" s="1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</row>
    <row r="9445" spans="1:20" ht="45.75" customHeight="1" x14ac:dyDescent="0.3">
      <c r="A9445" s="1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</row>
    <row r="9446" spans="1:20" ht="45.75" customHeight="1" x14ac:dyDescent="0.3">
      <c r="A9446" s="1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</row>
    <row r="9447" spans="1:20" ht="45.75" customHeight="1" x14ac:dyDescent="0.3">
      <c r="A9447" s="1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</row>
    <row r="9448" spans="1:20" ht="45.75" customHeight="1" x14ac:dyDescent="0.3">
      <c r="A9448" s="1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</row>
    <row r="9449" spans="1:20" ht="45.75" customHeight="1" x14ac:dyDescent="0.3">
      <c r="A9449" s="1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</row>
    <row r="9450" spans="1:20" ht="45.75" customHeight="1" x14ac:dyDescent="0.3">
      <c r="A9450" s="1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</row>
    <row r="9451" spans="1:20" ht="45.75" customHeight="1" x14ac:dyDescent="0.3">
      <c r="A9451" s="1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</row>
    <row r="9452" spans="1:20" ht="45.75" customHeight="1" x14ac:dyDescent="0.3">
      <c r="A9452" s="1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</row>
    <row r="9453" spans="1:20" ht="45.75" customHeight="1" x14ac:dyDescent="0.3">
      <c r="A9453" s="1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</row>
    <row r="9454" spans="1:20" ht="45.75" customHeight="1" x14ac:dyDescent="0.3">
      <c r="A9454" s="1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</row>
    <row r="9455" spans="1:20" ht="45.75" customHeight="1" x14ac:dyDescent="0.3">
      <c r="A9455" s="1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</row>
    <row r="9456" spans="1:20" ht="45.75" customHeight="1" x14ac:dyDescent="0.3">
      <c r="A9456" s="1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</row>
    <row r="9457" spans="1:20" ht="45.75" customHeight="1" x14ac:dyDescent="0.3">
      <c r="A9457" s="1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</row>
    <row r="9458" spans="1:20" ht="45.75" customHeight="1" x14ac:dyDescent="0.3">
      <c r="A9458" s="1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</row>
    <row r="9459" spans="1:20" ht="45.75" customHeight="1" x14ac:dyDescent="0.3">
      <c r="A9459" s="1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</row>
    <row r="9460" spans="1:20" ht="45.75" customHeight="1" x14ac:dyDescent="0.3">
      <c r="A9460" s="1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</row>
    <row r="9461" spans="1:20" ht="45.75" customHeight="1" x14ac:dyDescent="0.3">
      <c r="A9461" s="1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</row>
    <row r="9462" spans="1:20" ht="45.75" customHeight="1" x14ac:dyDescent="0.3">
      <c r="A9462" s="1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</row>
    <row r="9463" spans="1:20" ht="45.75" customHeight="1" x14ac:dyDescent="0.3">
      <c r="A9463" s="1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</row>
    <row r="9464" spans="1:20" ht="45.75" customHeight="1" x14ac:dyDescent="0.3">
      <c r="A9464" s="1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</row>
    <row r="9465" spans="1:20" ht="45.75" customHeight="1" x14ac:dyDescent="0.3">
      <c r="A9465" s="1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</row>
    <row r="9466" spans="1:20" ht="45.75" customHeight="1" x14ac:dyDescent="0.3">
      <c r="A9466" s="1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</row>
    <row r="9467" spans="1:20" ht="45.75" customHeight="1" x14ac:dyDescent="0.3">
      <c r="A9467" s="1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</row>
    <row r="9468" spans="1:20" ht="45.75" customHeight="1" x14ac:dyDescent="0.3">
      <c r="A9468" s="1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</row>
    <row r="9469" spans="1:20" ht="45.75" customHeight="1" x14ac:dyDescent="0.3">
      <c r="A9469" s="1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</row>
    <row r="9470" spans="1:20" ht="45.75" customHeight="1" x14ac:dyDescent="0.3">
      <c r="A9470" s="1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</row>
    <row r="9471" spans="1:20" ht="45.75" customHeight="1" x14ac:dyDescent="0.3">
      <c r="A9471" s="1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</row>
    <row r="9472" spans="1:20" ht="45.75" customHeight="1" x14ac:dyDescent="0.3">
      <c r="A9472" s="1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</row>
    <row r="9473" spans="1:20" ht="45.75" customHeight="1" x14ac:dyDescent="0.3">
      <c r="A9473" s="1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</row>
    <row r="9474" spans="1:20" ht="45.75" customHeight="1" x14ac:dyDescent="0.3">
      <c r="A9474" s="1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</row>
    <row r="9475" spans="1:20" ht="45.75" customHeight="1" x14ac:dyDescent="0.3">
      <c r="A9475" s="1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</row>
    <row r="9476" spans="1:20" ht="45.75" customHeight="1" x14ac:dyDescent="0.3">
      <c r="A9476" s="1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</row>
    <row r="9477" spans="1:20" ht="45.75" customHeight="1" x14ac:dyDescent="0.3">
      <c r="A9477" s="1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</row>
    <row r="9478" spans="1:20" ht="45.75" customHeight="1" x14ac:dyDescent="0.3">
      <c r="A9478" s="1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</row>
    <row r="9479" spans="1:20" ht="45.75" customHeight="1" x14ac:dyDescent="0.3">
      <c r="A9479" s="1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</row>
    <row r="9480" spans="1:20" ht="45.75" customHeight="1" x14ac:dyDescent="0.3">
      <c r="A9480" s="1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</row>
    <row r="9481" spans="1:20" ht="45.75" customHeight="1" x14ac:dyDescent="0.3">
      <c r="A9481" s="1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</row>
    <row r="9482" spans="1:20" ht="45.75" customHeight="1" x14ac:dyDescent="0.3">
      <c r="A9482" s="1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</row>
    <row r="9483" spans="1:20" ht="45.75" customHeight="1" x14ac:dyDescent="0.3">
      <c r="A9483" s="1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</row>
    <row r="9484" spans="1:20" ht="45.75" customHeight="1" x14ac:dyDescent="0.3">
      <c r="A9484" s="1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</row>
    <row r="9485" spans="1:20" ht="45.75" customHeight="1" x14ac:dyDescent="0.3">
      <c r="A9485" s="1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</row>
    <row r="9486" spans="1:20" ht="45.75" customHeight="1" x14ac:dyDescent="0.3">
      <c r="A9486" s="1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</row>
    <row r="9487" spans="1:20" ht="45.75" customHeight="1" x14ac:dyDescent="0.3">
      <c r="A9487" s="1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</row>
    <row r="9488" spans="1:20" ht="45.75" customHeight="1" x14ac:dyDescent="0.3">
      <c r="A9488" s="1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</row>
    <row r="9489" spans="1:20" ht="45.75" customHeight="1" x14ac:dyDescent="0.3">
      <c r="A9489" s="1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</row>
    <row r="9490" spans="1:20" ht="45.75" customHeight="1" x14ac:dyDescent="0.3">
      <c r="A9490" s="1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</row>
    <row r="9491" spans="1:20" ht="45.75" customHeight="1" x14ac:dyDescent="0.3">
      <c r="A9491" s="1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</row>
    <row r="9492" spans="1:20" ht="45.75" customHeight="1" x14ac:dyDescent="0.3">
      <c r="A9492" s="1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</row>
    <row r="9493" spans="1:20" ht="45.75" customHeight="1" x14ac:dyDescent="0.3">
      <c r="A9493" s="1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</row>
    <row r="9494" spans="1:20" ht="45.75" customHeight="1" x14ac:dyDescent="0.3">
      <c r="A9494" s="1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</row>
    <row r="9495" spans="1:20" ht="45.75" customHeight="1" x14ac:dyDescent="0.3">
      <c r="A9495" s="1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</row>
    <row r="9496" spans="1:20" ht="45.75" customHeight="1" x14ac:dyDescent="0.3">
      <c r="A9496" s="1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</row>
    <row r="9497" spans="1:20" ht="45.75" customHeight="1" x14ac:dyDescent="0.3">
      <c r="A9497" s="1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</row>
    <row r="9498" spans="1:20" ht="45.75" customHeight="1" x14ac:dyDescent="0.3">
      <c r="A9498" s="1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</row>
    <row r="9499" spans="1:20" ht="45.75" customHeight="1" x14ac:dyDescent="0.3">
      <c r="A9499" s="1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</row>
    <row r="9500" spans="1:20" ht="45.75" customHeight="1" x14ac:dyDescent="0.3">
      <c r="A9500" s="1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</row>
    <row r="9501" spans="1:20" ht="45.75" customHeight="1" x14ac:dyDescent="0.3">
      <c r="A9501" s="1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</row>
    <row r="9502" spans="1:20" ht="45.75" customHeight="1" x14ac:dyDescent="0.3">
      <c r="A9502" s="1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</row>
    <row r="9503" spans="1:20" ht="45.75" customHeight="1" x14ac:dyDescent="0.3">
      <c r="A9503" s="1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</row>
    <row r="9504" spans="1:20" ht="45.75" customHeight="1" x14ac:dyDescent="0.3">
      <c r="A9504" s="1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</row>
    <row r="9505" spans="1:20" ht="45.75" customHeight="1" x14ac:dyDescent="0.3">
      <c r="A9505" s="1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</row>
    <row r="9506" spans="1:20" ht="45.75" customHeight="1" x14ac:dyDescent="0.3">
      <c r="A9506" s="1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</row>
    <row r="9507" spans="1:20" ht="45.75" customHeight="1" x14ac:dyDescent="0.3">
      <c r="A9507" s="1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</row>
    <row r="9508" spans="1:20" ht="45.75" customHeight="1" x14ac:dyDescent="0.3">
      <c r="A9508" s="1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</row>
    <row r="9509" spans="1:20" ht="45.75" customHeight="1" x14ac:dyDescent="0.3">
      <c r="A9509" s="1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</row>
    <row r="9510" spans="1:20" ht="45.75" customHeight="1" x14ac:dyDescent="0.3">
      <c r="A9510" s="1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</row>
    <row r="9511" spans="1:20" ht="45.75" customHeight="1" x14ac:dyDescent="0.3">
      <c r="A9511" s="1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</row>
    <row r="9512" spans="1:20" ht="45.75" customHeight="1" x14ac:dyDescent="0.3">
      <c r="A9512" s="1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</row>
    <row r="9513" spans="1:20" ht="45.75" customHeight="1" x14ac:dyDescent="0.3">
      <c r="A9513" s="1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</row>
    <row r="9514" spans="1:20" ht="45.75" customHeight="1" x14ac:dyDescent="0.3">
      <c r="A9514" s="1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</row>
    <row r="9515" spans="1:20" ht="45.75" customHeight="1" x14ac:dyDescent="0.3">
      <c r="A9515" s="1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</row>
    <row r="9516" spans="1:20" ht="45.75" customHeight="1" x14ac:dyDescent="0.3">
      <c r="A9516" s="1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</row>
    <row r="9517" spans="1:20" ht="45.75" customHeight="1" x14ac:dyDescent="0.3">
      <c r="A9517" s="1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</row>
    <row r="9518" spans="1:20" ht="45.75" customHeight="1" x14ac:dyDescent="0.3">
      <c r="A9518" s="1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</row>
    <row r="9519" spans="1:20" ht="45.75" customHeight="1" x14ac:dyDescent="0.3">
      <c r="A9519" s="1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</row>
    <row r="9520" spans="1:20" ht="45.75" customHeight="1" x14ac:dyDescent="0.3">
      <c r="A9520" s="1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</row>
    <row r="9521" spans="1:20" ht="45.75" customHeight="1" x14ac:dyDescent="0.3">
      <c r="A9521" s="1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</row>
    <row r="9522" spans="1:20" ht="45.75" customHeight="1" x14ac:dyDescent="0.3">
      <c r="A9522" s="1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</row>
    <row r="9523" spans="1:20" ht="45.75" customHeight="1" x14ac:dyDescent="0.3">
      <c r="A9523" s="1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</row>
    <row r="9524" spans="1:20" ht="45.75" customHeight="1" x14ac:dyDescent="0.3">
      <c r="A9524" s="1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</row>
    <row r="9525" spans="1:20" ht="45.75" customHeight="1" x14ac:dyDescent="0.3">
      <c r="A9525" s="1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</row>
    <row r="9526" spans="1:20" ht="45.75" customHeight="1" x14ac:dyDescent="0.3">
      <c r="A9526" s="1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</row>
    <row r="9527" spans="1:20" ht="45.75" customHeight="1" x14ac:dyDescent="0.3">
      <c r="A9527" s="1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</row>
    <row r="9528" spans="1:20" ht="45.75" customHeight="1" x14ac:dyDescent="0.3">
      <c r="A9528" s="1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</row>
    <row r="9529" spans="1:20" ht="45.75" customHeight="1" x14ac:dyDescent="0.3">
      <c r="A9529" s="1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</row>
    <row r="9530" spans="1:20" ht="45.75" customHeight="1" x14ac:dyDescent="0.3">
      <c r="A9530" s="1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</row>
    <row r="9531" spans="1:20" ht="45.75" customHeight="1" x14ac:dyDescent="0.3">
      <c r="A9531" s="1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</row>
    <row r="9532" spans="1:20" ht="45.75" customHeight="1" x14ac:dyDescent="0.3">
      <c r="A9532" s="1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</row>
    <row r="9533" spans="1:20" ht="45.75" customHeight="1" x14ac:dyDescent="0.3">
      <c r="A9533" s="1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</row>
    <row r="9534" spans="1:20" ht="45.75" customHeight="1" x14ac:dyDescent="0.3">
      <c r="A9534" s="1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</row>
    <row r="9535" spans="1:20" ht="45.75" customHeight="1" x14ac:dyDescent="0.3">
      <c r="A9535" s="1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</row>
    <row r="9536" spans="1:20" ht="45.75" customHeight="1" x14ac:dyDescent="0.3">
      <c r="A9536" s="1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</row>
    <row r="9537" spans="1:20" ht="45.75" customHeight="1" x14ac:dyDescent="0.3">
      <c r="A9537" s="1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</row>
    <row r="9538" spans="1:20" ht="45.75" customHeight="1" x14ac:dyDescent="0.3">
      <c r="A9538" s="1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</row>
    <row r="9539" spans="1:20" ht="45.75" customHeight="1" x14ac:dyDescent="0.3">
      <c r="A9539" s="1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</row>
    <row r="9540" spans="1:20" ht="45.75" customHeight="1" x14ac:dyDescent="0.3">
      <c r="A9540" s="1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</row>
    <row r="9541" spans="1:20" ht="45.75" customHeight="1" x14ac:dyDescent="0.3">
      <c r="A9541" s="1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</row>
    <row r="9542" spans="1:20" ht="45.75" customHeight="1" x14ac:dyDescent="0.3">
      <c r="A9542" s="1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</row>
    <row r="9543" spans="1:20" ht="45.75" customHeight="1" x14ac:dyDescent="0.3">
      <c r="A9543" s="1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</row>
    <row r="9544" spans="1:20" ht="45.75" customHeight="1" x14ac:dyDescent="0.3">
      <c r="A9544" s="1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</row>
    <row r="9545" spans="1:20" ht="45.75" customHeight="1" x14ac:dyDescent="0.3">
      <c r="A9545" s="1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</row>
    <row r="9546" spans="1:20" ht="45.75" customHeight="1" x14ac:dyDescent="0.3">
      <c r="A9546" s="1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</row>
    <row r="9547" spans="1:20" ht="45.75" customHeight="1" x14ac:dyDescent="0.3">
      <c r="A9547" s="1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</row>
    <row r="9548" spans="1:20" ht="45.75" customHeight="1" x14ac:dyDescent="0.3">
      <c r="A9548" s="1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</row>
    <row r="9549" spans="1:20" ht="45.75" customHeight="1" x14ac:dyDescent="0.3">
      <c r="A9549" s="1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</row>
    <row r="9550" spans="1:20" ht="45.75" customHeight="1" x14ac:dyDescent="0.3">
      <c r="A9550" s="1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</row>
    <row r="9551" spans="1:20" ht="45.75" customHeight="1" x14ac:dyDescent="0.3">
      <c r="A9551" s="1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</row>
    <row r="9552" spans="1:20" ht="45.75" customHeight="1" x14ac:dyDescent="0.3">
      <c r="A9552" s="1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</row>
    <row r="9553" spans="1:20" ht="45.75" customHeight="1" x14ac:dyDescent="0.3">
      <c r="A9553" s="1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</row>
    <row r="9554" spans="1:20" ht="45.75" customHeight="1" x14ac:dyDescent="0.3">
      <c r="A9554" s="1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</row>
    <row r="9555" spans="1:20" ht="45.75" customHeight="1" x14ac:dyDescent="0.3">
      <c r="A9555" s="1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</row>
    <row r="9556" spans="1:20" ht="45.75" customHeight="1" x14ac:dyDescent="0.3">
      <c r="A9556" s="1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</row>
    <row r="9557" spans="1:20" ht="45.75" customHeight="1" x14ac:dyDescent="0.3">
      <c r="A9557" s="1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</row>
    <row r="9558" spans="1:20" ht="45.75" customHeight="1" x14ac:dyDescent="0.3">
      <c r="A9558" s="1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</row>
    <row r="9559" spans="1:20" ht="45.75" customHeight="1" x14ac:dyDescent="0.3">
      <c r="A9559" s="1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</row>
    <row r="9560" spans="1:20" ht="45.75" customHeight="1" x14ac:dyDescent="0.3">
      <c r="A9560" s="1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</row>
    <row r="9561" spans="1:20" ht="45.75" customHeight="1" x14ac:dyDescent="0.3">
      <c r="A9561" s="1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</row>
    <row r="9562" spans="1:20" ht="45.75" customHeight="1" x14ac:dyDescent="0.3">
      <c r="A9562" s="1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</row>
    <row r="9563" spans="1:20" ht="45.75" customHeight="1" x14ac:dyDescent="0.3">
      <c r="A9563" s="1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</row>
    <row r="9564" spans="1:20" ht="45.75" customHeight="1" x14ac:dyDescent="0.3">
      <c r="A9564" s="1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</row>
    <row r="9565" spans="1:20" ht="45.75" customHeight="1" x14ac:dyDescent="0.3">
      <c r="A9565" s="1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</row>
    <row r="9566" spans="1:20" ht="45.75" customHeight="1" x14ac:dyDescent="0.3">
      <c r="A9566" s="1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</row>
    <row r="9567" spans="1:20" ht="45.75" customHeight="1" x14ac:dyDescent="0.3">
      <c r="A9567" s="1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</row>
    <row r="9568" spans="1:20" ht="45.75" customHeight="1" x14ac:dyDescent="0.3">
      <c r="A9568" s="1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</row>
    <row r="9569" spans="1:20" ht="45.75" customHeight="1" x14ac:dyDescent="0.3">
      <c r="A9569" s="1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</row>
    <row r="9570" spans="1:20" ht="45.75" customHeight="1" x14ac:dyDescent="0.3">
      <c r="A9570" s="1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</row>
    <row r="9571" spans="1:20" ht="45.75" customHeight="1" x14ac:dyDescent="0.3">
      <c r="A9571" s="1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</row>
    <row r="9572" spans="1:20" ht="45.75" customHeight="1" x14ac:dyDescent="0.3">
      <c r="A9572" s="1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</row>
    <row r="9573" spans="1:20" ht="45.75" customHeight="1" x14ac:dyDescent="0.3">
      <c r="A9573" s="1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</row>
    <row r="9574" spans="1:20" ht="45.75" customHeight="1" x14ac:dyDescent="0.3">
      <c r="A9574" s="1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</row>
    <row r="9575" spans="1:20" ht="45.75" customHeight="1" x14ac:dyDescent="0.3">
      <c r="A9575" s="1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</row>
    <row r="9576" spans="1:20" ht="45.75" customHeight="1" x14ac:dyDescent="0.3">
      <c r="A9576" s="1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</row>
    <row r="9577" spans="1:20" ht="45.75" customHeight="1" x14ac:dyDescent="0.3">
      <c r="A9577" s="1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</row>
    <row r="9578" spans="1:20" ht="45.75" customHeight="1" x14ac:dyDescent="0.3">
      <c r="A9578" s="1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</row>
    <row r="9579" spans="1:20" ht="45.75" customHeight="1" x14ac:dyDescent="0.3">
      <c r="A9579" s="1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</row>
    <row r="9580" spans="1:20" ht="45.75" customHeight="1" x14ac:dyDescent="0.3">
      <c r="A9580" s="1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</row>
    <row r="9581" spans="1:20" ht="45.75" customHeight="1" x14ac:dyDescent="0.3">
      <c r="A9581" s="1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</row>
    <row r="9582" spans="1:20" ht="45.75" customHeight="1" x14ac:dyDescent="0.3">
      <c r="A9582" s="1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</row>
    <row r="9583" spans="1:20" ht="45.75" customHeight="1" x14ac:dyDescent="0.3">
      <c r="A9583" s="1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</row>
    <row r="9584" spans="1:20" ht="45.75" customHeight="1" x14ac:dyDescent="0.3">
      <c r="A9584" s="1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</row>
    <row r="9585" spans="1:20" ht="45.75" customHeight="1" x14ac:dyDescent="0.3">
      <c r="A9585" s="1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</row>
    <row r="9586" spans="1:20" ht="45.75" customHeight="1" x14ac:dyDescent="0.3">
      <c r="A9586" s="1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</row>
    <row r="9587" spans="1:20" ht="45.75" customHeight="1" x14ac:dyDescent="0.3">
      <c r="A9587" s="1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</row>
    <row r="9588" spans="1:20" ht="45.75" customHeight="1" x14ac:dyDescent="0.3">
      <c r="A9588" s="1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</row>
    <row r="9589" spans="1:20" ht="45.75" customHeight="1" x14ac:dyDescent="0.3">
      <c r="A9589" s="1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</row>
    <row r="9590" spans="1:20" ht="45.75" customHeight="1" x14ac:dyDescent="0.3">
      <c r="A9590" s="1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</row>
    <row r="9591" spans="1:20" ht="45.75" customHeight="1" x14ac:dyDescent="0.3">
      <c r="A9591" s="1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</row>
    <row r="9592" spans="1:20" ht="45.75" customHeight="1" x14ac:dyDescent="0.3">
      <c r="A9592" s="1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</row>
    <row r="9593" spans="1:20" ht="45.75" customHeight="1" x14ac:dyDescent="0.3">
      <c r="A9593" s="1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</row>
    <row r="9594" spans="1:20" ht="45.75" customHeight="1" x14ac:dyDescent="0.3">
      <c r="A9594" s="1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</row>
    <row r="9595" spans="1:20" ht="45.75" customHeight="1" x14ac:dyDescent="0.3">
      <c r="A9595" s="1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</row>
    <row r="9596" spans="1:20" ht="45.75" customHeight="1" x14ac:dyDescent="0.3">
      <c r="A9596" s="1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</row>
    <row r="9597" spans="1:20" ht="45.75" customHeight="1" x14ac:dyDescent="0.3">
      <c r="A9597" s="1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</row>
    <row r="9598" spans="1:20" ht="45.75" customHeight="1" x14ac:dyDescent="0.3">
      <c r="A9598" s="1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</row>
    <row r="9599" spans="1:20" ht="45.75" customHeight="1" x14ac:dyDescent="0.3">
      <c r="A9599" s="1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</row>
    <row r="9600" spans="1:20" ht="45.75" customHeight="1" x14ac:dyDescent="0.3">
      <c r="A9600" s="1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</row>
    <row r="9601" spans="1:20" ht="45.75" customHeight="1" x14ac:dyDescent="0.3">
      <c r="A9601" s="1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</row>
    <row r="9602" spans="1:20" ht="45.75" customHeight="1" x14ac:dyDescent="0.3">
      <c r="A9602" s="1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</row>
    <row r="9603" spans="1:20" ht="45.75" customHeight="1" x14ac:dyDescent="0.3">
      <c r="A9603" s="1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</row>
    <row r="9604" spans="1:20" ht="45.75" customHeight="1" x14ac:dyDescent="0.3">
      <c r="A9604" s="1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</row>
    <row r="9605" spans="1:20" ht="45.75" customHeight="1" x14ac:dyDescent="0.3">
      <c r="A9605" s="1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</row>
    <row r="9606" spans="1:20" ht="45.75" customHeight="1" x14ac:dyDescent="0.3">
      <c r="A9606" s="1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</row>
    <row r="9607" spans="1:20" ht="45.75" customHeight="1" x14ac:dyDescent="0.3">
      <c r="A9607" s="1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</row>
    <row r="9608" spans="1:20" ht="45.75" customHeight="1" x14ac:dyDescent="0.3">
      <c r="A9608" s="1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</row>
    <row r="9609" spans="1:20" ht="45.75" customHeight="1" x14ac:dyDescent="0.3">
      <c r="A9609" s="1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</row>
    <row r="9610" spans="1:20" ht="45.75" customHeight="1" x14ac:dyDescent="0.3">
      <c r="A9610" s="1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</row>
    <row r="9611" spans="1:20" ht="45.75" customHeight="1" x14ac:dyDescent="0.3">
      <c r="A9611" s="1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</row>
    <row r="9612" spans="1:20" ht="45.75" customHeight="1" x14ac:dyDescent="0.3">
      <c r="A9612" s="1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</row>
    <row r="9613" spans="1:20" ht="45.75" customHeight="1" x14ac:dyDescent="0.3">
      <c r="A9613" s="1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</row>
    <row r="9614" spans="1:20" ht="45.75" customHeight="1" x14ac:dyDescent="0.3">
      <c r="A9614" s="1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</row>
    <row r="9615" spans="1:20" ht="45.75" customHeight="1" x14ac:dyDescent="0.3">
      <c r="A9615" s="1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</row>
    <row r="9616" spans="1:20" ht="45.75" customHeight="1" x14ac:dyDescent="0.3">
      <c r="A9616" s="1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</row>
    <row r="9617" spans="1:20" ht="45.75" customHeight="1" x14ac:dyDescent="0.3">
      <c r="A9617" s="1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</row>
    <row r="9618" spans="1:20" ht="45.75" customHeight="1" x14ac:dyDescent="0.3">
      <c r="A9618" s="1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</row>
    <row r="9619" spans="1:20" ht="45.75" customHeight="1" x14ac:dyDescent="0.3">
      <c r="A9619" s="1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</row>
    <row r="9620" spans="1:20" ht="45.75" customHeight="1" x14ac:dyDescent="0.3">
      <c r="A9620" s="1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</row>
    <row r="9621" spans="1:20" ht="45.75" customHeight="1" x14ac:dyDescent="0.3">
      <c r="A9621" s="1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</row>
    <row r="9622" spans="1:20" ht="45.75" customHeight="1" x14ac:dyDescent="0.3">
      <c r="A9622" s="1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</row>
    <row r="9623" spans="1:20" ht="45.75" customHeight="1" x14ac:dyDescent="0.3">
      <c r="A9623" s="1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</row>
    <row r="9624" spans="1:20" ht="45.75" customHeight="1" x14ac:dyDescent="0.3">
      <c r="A9624" s="1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</row>
    <row r="9625" spans="1:20" ht="45.75" customHeight="1" x14ac:dyDescent="0.3">
      <c r="A9625" s="1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</row>
    <row r="9626" spans="1:20" ht="45.75" customHeight="1" x14ac:dyDescent="0.3">
      <c r="A9626" s="1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</row>
    <row r="9627" spans="1:20" ht="45.75" customHeight="1" x14ac:dyDescent="0.3">
      <c r="A9627" s="1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</row>
    <row r="9628" spans="1:20" ht="45.75" customHeight="1" x14ac:dyDescent="0.3">
      <c r="A9628" s="1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</row>
    <row r="9629" spans="1:20" ht="45.75" customHeight="1" x14ac:dyDescent="0.3">
      <c r="A9629" s="1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</row>
    <row r="9630" spans="1:20" ht="45.75" customHeight="1" x14ac:dyDescent="0.3">
      <c r="A9630" s="1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</row>
    <row r="9631" spans="1:20" ht="45.75" customHeight="1" x14ac:dyDescent="0.3">
      <c r="A9631" s="1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</row>
    <row r="9632" spans="1:20" ht="45.75" customHeight="1" x14ac:dyDescent="0.3">
      <c r="A9632" s="1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</row>
    <row r="9633" spans="1:20" ht="45.75" customHeight="1" x14ac:dyDescent="0.3">
      <c r="A9633" s="1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</row>
    <row r="9634" spans="1:20" ht="45.75" customHeight="1" x14ac:dyDescent="0.3">
      <c r="A9634" s="1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</row>
    <row r="9635" spans="1:20" ht="45.75" customHeight="1" x14ac:dyDescent="0.3">
      <c r="A9635" s="1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</row>
    <row r="9636" spans="1:20" ht="45.75" customHeight="1" x14ac:dyDescent="0.3">
      <c r="A9636" s="1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</row>
    <row r="9637" spans="1:20" ht="45.75" customHeight="1" x14ac:dyDescent="0.3">
      <c r="A9637" s="1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</row>
    <row r="9638" spans="1:20" ht="45.75" customHeight="1" x14ac:dyDescent="0.3">
      <c r="A9638" s="1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</row>
    <row r="9639" spans="1:20" ht="45.75" customHeight="1" x14ac:dyDescent="0.3">
      <c r="A9639" s="1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</row>
    <row r="9640" spans="1:20" ht="45.75" customHeight="1" x14ac:dyDescent="0.3">
      <c r="A9640" s="1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</row>
    <row r="9641" spans="1:20" ht="45.75" customHeight="1" x14ac:dyDescent="0.3">
      <c r="A9641" s="1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</row>
    <row r="9642" spans="1:20" ht="45.75" customHeight="1" x14ac:dyDescent="0.3">
      <c r="A9642" s="1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</row>
    <row r="9643" spans="1:20" ht="45.75" customHeight="1" x14ac:dyDescent="0.3">
      <c r="A9643" s="1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</row>
    <row r="9644" spans="1:20" ht="45.75" customHeight="1" x14ac:dyDescent="0.3">
      <c r="A9644" s="1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</row>
    <row r="9645" spans="1:20" ht="45.75" customHeight="1" x14ac:dyDescent="0.3">
      <c r="A9645" s="1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</row>
    <row r="9646" spans="1:20" ht="45.75" customHeight="1" x14ac:dyDescent="0.3">
      <c r="A9646" s="1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</row>
    <row r="9647" spans="1:20" ht="45.75" customHeight="1" x14ac:dyDescent="0.3">
      <c r="A9647" s="1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</row>
    <row r="9648" spans="1:20" ht="45.75" customHeight="1" x14ac:dyDescent="0.3">
      <c r="A9648" s="1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</row>
    <row r="9649" spans="1:20" ht="45.75" customHeight="1" x14ac:dyDescent="0.3">
      <c r="A9649" s="1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</row>
    <row r="9650" spans="1:20" ht="45.75" customHeight="1" x14ac:dyDescent="0.3">
      <c r="A9650" s="1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</row>
    <row r="9651" spans="1:20" ht="45.75" customHeight="1" x14ac:dyDescent="0.3">
      <c r="A9651" s="1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</row>
    <row r="9652" spans="1:20" ht="45.75" customHeight="1" x14ac:dyDescent="0.3">
      <c r="A9652" s="1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</row>
    <row r="9653" spans="1:20" ht="45.75" customHeight="1" x14ac:dyDescent="0.3">
      <c r="A9653" s="1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</row>
    <row r="9654" spans="1:20" ht="45.75" customHeight="1" x14ac:dyDescent="0.3">
      <c r="A9654" s="1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</row>
    <row r="9655" spans="1:20" ht="45.75" customHeight="1" x14ac:dyDescent="0.3">
      <c r="A9655" s="1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</row>
    <row r="9656" spans="1:20" ht="45.75" customHeight="1" x14ac:dyDescent="0.3">
      <c r="A9656" s="1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</row>
    <row r="9657" spans="1:20" ht="45.75" customHeight="1" x14ac:dyDescent="0.3">
      <c r="A9657" s="1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</row>
    <row r="9658" spans="1:20" ht="45.75" customHeight="1" x14ac:dyDescent="0.3">
      <c r="A9658" s="1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</row>
    <row r="9659" spans="1:20" ht="45.75" customHeight="1" x14ac:dyDescent="0.3">
      <c r="A9659" s="1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</row>
    <row r="9660" spans="1:20" ht="45.75" customHeight="1" x14ac:dyDescent="0.3">
      <c r="A9660" s="1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</row>
    <row r="9661" spans="1:20" ht="45.75" customHeight="1" x14ac:dyDescent="0.3">
      <c r="A9661" s="1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</row>
    <row r="9662" spans="1:20" ht="45.75" customHeight="1" x14ac:dyDescent="0.3">
      <c r="A9662" s="1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</row>
    <row r="9663" spans="1:20" ht="45.75" customHeight="1" x14ac:dyDescent="0.3">
      <c r="A9663" s="1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</row>
    <row r="9664" spans="1:20" ht="45.75" customHeight="1" x14ac:dyDescent="0.3">
      <c r="A9664" s="1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</row>
    <row r="9665" spans="1:20" ht="45.75" customHeight="1" x14ac:dyDescent="0.3">
      <c r="A9665" s="1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</row>
    <row r="9666" spans="1:20" ht="45.75" customHeight="1" x14ac:dyDescent="0.3">
      <c r="A9666" s="1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</row>
    <row r="9667" spans="1:20" ht="45.75" customHeight="1" x14ac:dyDescent="0.3">
      <c r="A9667" s="1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</row>
    <row r="9668" spans="1:20" ht="45.75" customHeight="1" x14ac:dyDescent="0.3">
      <c r="A9668" s="1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</row>
    <row r="9669" spans="1:20" ht="45.75" customHeight="1" x14ac:dyDescent="0.3">
      <c r="A9669" s="1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</row>
    <row r="9670" spans="1:20" ht="45.75" customHeight="1" x14ac:dyDescent="0.3">
      <c r="A9670" s="1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</row>
    <row r="9671" spans="1:20" ht="45.75" customHeight="1" x14ac:dyDescent="0.3">
      <c r="A9671" s="1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</row>
    <row r="9672" spans="1:20" ht="45.75" customHeight="1" x14ac:dyDescent="0.3">
      <c r="A9672" s="1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</row>
    <row r="9673" spans="1:20" ht="45.75" customHeight="1" x14ac:dyDescent="0.3">
      <c r="A9673" s="1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</row>
    <row r="9674" spans="1:20" ht="45.75" customHeight="1" x14ac:dyDescent="0.3">
      <c r="A9674" s="1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</row>
    <row r="9675" spans="1:20" ht="45.75" customHeight="1" x14ac:dyDescent="0.3">
      <c r="A9675" s="1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</row>
    <row r="9676" spans="1:20" ht="45.75" customHeight="1" x14ac:dyDescent="0.3">
      <c r="A9676" s="1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</row>
    <row r="9677" spans="1:20" ht="45.75" customHeight="1" x14ac:dyDescent="0.3">
      <c r="A9677" s="1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</row>
    <row r="9678" spans="1:20" ht="45.75" customHeight="1" x14ac:dyDescent="0.3">
      <c r="A9678" s="1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</row>
    <row r="9679" spans="1:20" ht="45.75" customHeight="1" x14ac:dyDescent="0.3">
      <c r="A9679" s="1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</row>
    <row r="9680" spans="1:20" ht="45.75" customHeight="1" x14ac:dyDescent="0.3">
      <c r="A9680" s="1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</row>
    <row r="9681" spans="1:20" ht="45.75" customHeight="1" x14ac:dyDescent="0.3">
      <c r="A9681" s="1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</row>
    <row r="9682" spans="1:20" ht="45.75" customHeight="1" x14ac:dyDescent="0.3">
      <c r="A9682" s="1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</row>
    <row r="9683" spans="1:20" ht="45.75" customHeight="1" x14ac:dyDescent="0.3">
      <c r="A9683" s="1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</row>
    <row r="9684" spans="1:20" ht="45.75" customHeight="1" x14ac:dyDescent="0.3">
      <c r="A9684" s="1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</row>
    <row r="9685" spans="1:20" ht="45.75" customHeight="1" x14ac:dyDescent="0.3">
      <c r="A9685" s="1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</row>
    <row r="9686" spans="1:20" ht="45.75" customHeight="1" x14ac:dyDescent="0.3">
      <c r="A9686" s="1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</row>
    <row r="9687" spans="1:20" ht="45.75" customHeight="1" x14ac:dyDescent="0.3">
      <c r="A9687" s="1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</row>
    <row r="9688" spans="1:20" ht="45.75" customHeight="1" x14ac:dyDescent="0.3">
      <c r="A9688" s="1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</row>
    <row r="9689" spans="1:20" ht="45.75" customHeight="1" x14ac:dyDescent="0.3">
      <c r="A9689" s="1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</row>
    <row r="9690" spans="1:20" ht="45.75" customHeight="1" x14ac:dyDescent="0.3">
      <c r="A9690" s="1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</row>
    <row r="9691" spans="1:20" ht="45.75" customHeight="1" x14ac:dyDescent="0.3">
      <c r="A9691" s="1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</row>
    <row r="9692" spans="1:20" ht="45.75" customHeight="1" x14ac:dyDescent="0.3">
      <c r="A9692" s="1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</row>
    <row r="9693" spans="1:20" ht="45.75" customHeight="1" x14ac:dyDescent="0.3">
      <c r="A9693" s="1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</row>
    <row r="9694" spans="1:20" ht="45.75" customHeight="1" x14ac:dyDescent="0.3">
      <c r="A9694" s="1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</row>
    <row r="9695" spans="1:20" ht="45.75" customHeight="1" x14ac:dyDescent="0.3">
      <c r="A9695" s="1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</row>
    <row r="9696" spans="1:20" ht="45.75" customHeight="1" x14ac:dyDescent="0.3">
      <c r="A9696" s="1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</row>
    <row r="9697" spans="1:20" ht="45.75" customHeight="1" x14ac:dyDescent="0.3">
      <c r="A9697" s="1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</row>
    <row r="9698" spans="1:20" ht="45.75" customHeight="1" x14ac:dyDescent="0.3">
      <c r="A9698" s="1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</row>
    <row r="9699" spans="1:20" ht="45.75" customHeight="1" x14ac:dyDescent="0.3">
      <c r="A9699" s="1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</row>
    <row r="9700" spans="1:20" ht="45.75" customHeight="1" x14ac:dyDescent="0.3">
      <c r="A9700" s="1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</row>
    <row r="9701" spans="1:20" ht="45.75" customHeight="1" x14ac:dyDescent="0.3">
      <c r="A9701" s="1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</row>
    <row r="9702" spans="1:20" ht="45.75" customHeight="1" x14ac:dyDescent="0.3">
      <c r="A9702" s="1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</row>
    <row r="9703" spans="1:20" ht="45.75" customHeight="1" x14ac:dyDescent="0.3">
      <c r="A9703" s="1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</row>
    <row r="9704" spans="1:20" ht="45.75" customHeight="1" x14ac:dyDescent="0.3">
      <c r="A9704" s="1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</row>
    <row r="9705" spans="1:20" ht="45.75" customHeight="1" x14ac:dyDescent="0.3">
      <c r="A9705" s="1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</row>
    <row r="9706" spans="1:20" ht="45.75" customHeight="1" x14ac:dyDescent="0.3">
      <c r="A9706" s="1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</row>
    <row r="9707" spans="1:20" ht="45.75" customHeight="1" x14ac:dyDescent="0.3">
      <c r="A9707" s="1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</row>
    <row r="9708" spans="1:20" ht="45.75" customHeight="1" x14ac:dyDescent="0.3">
      <c r="A9708" s="1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</row>
    <row r="9709" spans="1:20" ht="45.75" customHeight="1" x14ac:dyDescent="0.3">
      <c r="A9709" s="1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</row>
    <row r="9710" spans="1:20" ht="45.75" customHeight="1" x14ac:dyDescent="0.3">
      <c r="A9710" s="1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</row>
    <row r="9711" spans="1:20" ht="45.75" customHeight="1" x14ac:dyDescent="0.3">
      <c r="A9711" s="1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</row>
    <row r="9712" spans="1:20" ht="45.75" customHeight="1" x14ac:dyDescent="0.3">
      <c r="A9712" s="1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</row>
    <row r="9713" spans="1:20" ht="45.75" customHeight="1" x14ac:dyDescent="0.3">
      <c r="A9713" s="1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</row>
    <row r="9714" spans="1:20" ht="45.75" customHeight="1" x14ac:dyDescent="0.3">
      <c r="A9714" s="1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</row>
    <row r="9715" spans="1:20" ht="45.75" customHeight="1" x14ac:dyDescent="0.3">
      <c r="A9715" s="1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</row>
    <row r="9716" spans="1:20" ht="45.75" customHeight="1" x14ac:dyDescent="0.3">
      <c r="A9716" s="1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</row>
    <row r="9717" spans="1:20" ht="45.75" customHeight="1" x14ac:dyDescent="0.3">
      <c r="A9717" s="1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</row>
    <row r="9718" spans="1:20" ht="45.75" customHeight="1" x14ac:dyDescent="0.3">
      <c r="A9718" s="1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</row>
    <row r="9719" spans="1:20" ht="45.75" customHeight="1" x14ac:dyDescent="0.3">
      <c r="A9719" s="1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</row>
    <row r="9720" spans="1:20" ht="45.75" customHeight="1" x14ac:dyDescent="0.3">
      <c r="A9720" s="1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</row>
    <row r="9721" spans="1:20" ht="45.75" customHeight="1" x14ac:dyDescent="0.3">
      <c r="A9721" s="1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</row>
    <row r="9722" spans="1:20" ht="45.75" customHeight="1" x14ac:dyDescent="0.3">
      <c r="A9722" s="1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</row>
    <row r="9723" spans="1:20" ht="45.75" customHeight="1" x14ac:dyDescent="0.3">
      <c r="A9723" s="1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</row>
    <row r="9724" spans="1:20" ht="45.75" customHeight="1" x14ac:dyDescent="0.3">
      <c r="A9724" s="1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</row>
    <row r="9725" spans="1:20" ht="45.75" customHeight="1" x14ac:dyDescent="0.3">
      <c r="A9725" s="1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</row>
    <row r="9726" spans="1:20" ht="45.75" customHeight="1" x14ac:dyDescent="0.3">
      <c r="A9726" s="1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</row>
    <row r="9727" spans="1:20" ht="45.75" customHeight="1" x14ac:dyDescent="0.3">
      <c r="A9727" s="1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</row>
    <row r="9728" spans="1:20" ht="45.75" customHeight="1" x14ac:dyDescent="0.3">
      <c r="A9728" s="1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</row>
    <row r="9729" spans="1:20" ht="45.75" customHeight="1" x14ac:dyDescent="0.3">
      <c r="A9729" s="1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</row>
    <row r="9730" spans="1:20" ht="45.75" customHeight="1" x14ac:dyDescent="0.3">
      <c r="A9730" s="1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</row>
    <row r="9731" spans="1:20" ht="45.75" customHeight="1" x14ac:dyDescent="0.3">
      <c r="A9731" s="1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</row>
    <row r="9732" spans="1:20" ht="45.75" customHeight="1" x14ac:dyDescent="0.3">
      <c r="A9732" s="1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</row>
    <row r="9733" spans="1:20" ht="45.75" customHeight="1" x14ac:dyDescent="0.3">
      <c r="A9733" s="1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</row>
    <row r="9734" spans="1:20" ht="45.75" customHeight="1" x14ac:dyDescent="0.3">
      <c r="A9734" s="1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</row>
    <row r="9735" spans="1:20" ht="45.75" customHeight="1" x14ac:dyDescent="0.3">
      <c r="A9735" s="1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</row>
    <row r="9736" spans="1:20" ht="45.75" customHeight="1" x14ac:dyDescent="0.3">
      <c r="A9736" s="1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</row>
    <row r="9737" spans="1:20" ht="45.75" customHeight="1" x14ac:dyDescent="0.3">
      <c r="A9737" s="1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</row>
    <row r="9738" spans="1:20" ht="45.75" customHeight="1" x14ac:dyDescent="0.3">
      <c r="A9738" s="1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</row>
    <row r="9739" spans="1:20" ht="45.75" customHeight="1" x14ac:dyDescent="0.3">
      <c r="A9739" s="1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</row>
    <row r="9740" spans="1:20" ht="45.75" customHeight="1" x14ac:dyDescent="0.3">
      <c r="A9740" s="1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</row>
    <row r="9741" spans="1:20" ht="45.75" customHeight="1" x14ac:dyDescent="0.3">
      <c r="A9741" s="1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</row>
    <row r="9742" spans="1:20" ht="45.75" customHeight="1" x14ac:dyDescent="0.3">
      <c r="A9742" s="1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</row>
    <row r="9743" spans="1:20" ht="45.75" customHeight="1" x14ac:dyDescent="0.3">
      <c r="A9743" s="1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</row>
    <row r="9744" spans="1:20" ht="45.75" customHeight="1" x14ac:dyDescent="0.3">
      <c r="A9744" s="1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</row>
    <row r="9745" spans="1:20" ht="45.75" customHeight="1" x14ac:dyDescent="0.3">
      <c r="A9745" s="1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</row>
    <row r="9746" spans="1:20" ht="45.75" customHeight="1" x14ac:dyDescent="0.3">
      <c r="A9746" s="1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</row>
    <row r="9747" spans="1:20" ht="45.75" customHeight="1" x14ac:dyDescent="0.3">
      <c r="A9747" s="1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</row>
    <row r="9748" spans="1:20" ht="45.75" customHeight="1" x14ac:dyDescent="0.3">
      <c r="A9748" s="1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</row>
    <row r="9749" spans="1:20" ht="45.75" customHeight="1" x14ac:dyDescent="0.3">
      <c r="A9749" s="1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</row>
    <row r="9750" spans="1:20" ht="45.75" customHeight="1" x14ac:dyDescent="0.3">
      <c r="A9750" s="1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</row>
    <row r="9751" spans="1:20" ht="45.75" customHeight="1" x14ac:dyDescent="0.3">
      <c r="A9751" s="1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</row>
    <row r="9752" spans="1:20" ht="45.75" customHeight="1" x14ac:dyDescent="0.3">
      <c r="A9752" s="1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</row>
    <row r="9753" spans="1:20" ht="45.75" customHeight="1" x14ac:dyDescent="0.3">
      <c r="A9753" s="1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</row>
    <row r="9754" spans="1:20" ht="45.75" customHeight="1" x14ac:dyDescent="0.3">
      <c r="A9754" s="1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</row>
    <row r="9755" spans="1:20" ht="45.75" customHeight="1" x14ac:dyDescent="0.3">
      <c r="A9755" s="1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</row>
    <row r="9756" spans="1:20" ht="45.75" customHeight="1" x14ac:dyDescent="0.3">
      <c r="A9756" s="1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</row>
    <row r="9757" spans="1:20" ht="45.75" customHeight="1" x14ac:dyDescent="0.3">
      <c r="A9757" s="1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</row>
    <row r="9758" spans="1:20" ht="45.75" customHeight="1" x14ac:dyDescent="0.3">
      <c r="A9758" s="1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</row>
    <row r="9759" spans="1:20" ht="45.75" customHeight="1" x14ac:dyDescent="0.3">
      <c r="A9759" s="1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</row>
    <row r="9760" spans="1:20" ht="45.75" customHeight="1" x14ac:dyDescent="0.3">
      <c r="A9760" s="1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</row>
    <row r="9761" spans="1:20" ht="45.75" customHeight="1" x14ac:dyDescent="0.3">
      <c r="A9761" s="1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</row>
    <row r="9762" spans="1:20" ht="45.75" customHeight="1" x14ac:dyDescent="0.3">
      <c r="A9762" s="1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</row>
    <row r="9763" spans="1:20" ht="45.75" customHeight="1" x14ac:dyDescent="0.3">
      <c r="A9763" s="1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</row>
    <row r="9764" spans="1:20" ht="45.75" customHeight="1" x14ac:dyDescent="0.3">
      <c r="A9764" s="1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</row>
    <row r="9765" spans="1:20" ht="45.75" customHeight="1" x14ac:dyDescent="0.3">
      <c r="A9765" s="1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</row>
    <row r="9766" spans="1:20" ht="45.75" customHeight="1" x14ac:dyDescent="0.3">
      <c r="A9766" s="1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</row>
    <row r="9767" spans="1:20" ht="45.75" customHeight="1" x14ac:dyDescent="0.3">
      <c r="A9767" s="1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</row>
    <row r="9768" spans="1:20" ht="45.75" customHeight="1" x14ac:dyDescent="0.3">
      <c r="A9768" s="1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</row>
    <row r="9769" spans="1:20" ht="45.75" customHeight="1" x14ac:dyDescent="0.3">
      <c r="A9769" s="1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</row>
    <row r="9770" spans="1:20" ht="45.75" customHeight="1" x14ac:dyDescent="0.3">
      <c r="A9770" s="1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</row>
    <row r="9771" spans="1:20" ht="45.75" customHeight="1" x14ac:dyDescent="0.3">
      <c r="A9771" s="1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</row>
    <row r="9772" spans="1:20" ht="45.75" customHeight="1" x14ac:dyDescent="0.3">
      <c r="A9772" s="1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</row>
    <row r="9773" spans="1:20" ht="45.75" customHeight="1" x14ac:dyDescent="0.3">
      <c r="A9773" s="1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</row>
    <row r="9774" spans="1:20" ht="45.75" customHeight="1" x14ac:dyDescent="0.3">
      <c r="A9774" s="1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</row>
    <row r="9775" spans="1:20" ht="45.75" customHeight="1" x14ac:dyDescent="0.3">
      <c r="A9775" s="1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</row>
    <row r="9776" spans="1:20" ht="45.75" customHeight="1" x14ac:dyDescent="0.3">
      <c r="A9776" s="1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</row>
    <row r="9777" spans="1:20" ht="45.75" customHeight="1" x14ac:dyDescent="0.3">
      <c r="A9777" s="1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</row>
    <row r="9778" spans="1:20" ht="45.75" customHeight="1" x14ac:dyDescent="0.3">
      <c r="A9778" s="1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</row>
    <row r="9779" spans="1:20" ht="45.75" customHeight="1" x14ac:dyDescent="0.3">
      <c r="A9779" s="1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</row>
    <row r="9780" spans="1:20" ht="45.75" customHeight="1" x14ac:dyDescent="0.3">
      <c r="A9780" s="1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</row>
    <row r="9781" spans="1:20" ht="45.75" customHeight="1" x14ac:dyDescent="0.3">
      <c r="A9781" s="1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</row>
    <row r="9782" spans="1:20" ht="45.75" customHeight="1" x14ac:dyDescent="0.3">
      <c r="A9782" s="1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</row>
    <row r="9783" spans="1:20" ht="45.75" customHeight="1" x14ac:dyDescent="0.3">
      <c r="A9783" s="1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</row>
    <row r="9784" spans="1:20" ht="45.75" customHeight="1" x14ac:dyDescent="0.3">
      <c r="A9784" s="1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</row>
    <row r="9785" spans="1:20" ht="45.75" customHeight="1" x14ac:dyDescent="0.3">
      <c r="A9785" s="1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</row>
    <row r="9786" spans="1:20" ht="45.75" customHeight="1" x14ac:dyDescent="0.3">
      <c r="A9786" s="1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</row>
    <row r="9787" spans="1:20" ht="45.75" customHeight="1" x14ac:dyDescent="0.3">
      <c r="A9787" s="1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</row>
    <row r="9788" spans="1:20" ht="45.75" customHeight="1" x14ac:dyDescent="0.3">
      <c r="A9788" s="1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</row>
    <row r="9789" spans="1:20" ht="45.75" customHeight="1" x14ac:dyDescent="0.3">
      <c r="A9789" s="1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</row>
    <row r="9790" spans="1:20" ht="45.75" customHeight="1" x14ac:dyDescent="0.3">
      <c r="A9790" s="1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</row>
    <row r="9791" spans="1:20" ht="45.75" customHeight="1" x14ac:dyDescent="0.3">
      <c r="A9791" s="1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</row>
    <row r="9792" spans="1:20" ht="45.75" customHeight="1" x14ac:dyDescent="0.3">
      <c r="A9792" s="1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</row>
    <row r="9793" spans="1:20" ht="45.75" customHeight="1" x14ac:dyDescent="0.3">
      <c r="A9793" s="1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</row>
    <row r="9794" spans="1:20" ht="45.75" customHeight="1" x14ac:dyDescent="0.3">
      <c r="A9794" s="1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</row>
    <row r="9795" spans="1:20" ht="45.75" customHeight="1" x14ac:dyDescent="0.3">
      <c r="A9795" s="1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</row>
    <row r="9796" spans="1:20" ht="45.75" customHeight="1" x14ac:dyDescent="0.3">
      <c r="A9796" s="1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</row>
    <row r="9797" spans="1:20" ht="45.75" customHeight="1" x14ac:dyDescent="0.3">
      <c r="A9797" s="1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</row>
    <row r="9798" spans="1:20" ht="45.75" customHeight="1" x14ac:dyDescent="0.3">
      <c r="A9798" s="1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</row>
    <row r="9799" spans="1:20" ht="45.75" customHeight="1" x14ac:dyDescent="0.3">
      <c r="A9799" s="1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</row>
    <row r="9800" spans="1:20" ht="45.75" customHeight="1" x14ac:dyDescent="0.3">
      <c r="A9800" s="1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</row>
    <row r="9801" spans="1:20" ht="45.75" customHeight="1" x14ac:dyDescent="0.3">
      <c r="A9801" s="1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</row>
    <row r="9802" spans="1:20" ht="45.75" customHeight="1" x14ac:dyDescent="0.3">
      <c r="A9802" s="1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</row>
    <row r="9803" spans="1:20" ht="45.75" customHeight="1" x14ac:dyDescent="0.3">
      <c r="A9803" s="1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</row>
    <row r="9804" spans="1:20" ht="45.75" customHeight="1" x14ac:dyDescent="0.3">
      <c r="A9804" s="1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</row>
    <row r="9805" spans="1:20" ht="45.75" customHeight="1" x14ac:dyDescent="0.3">
      <c r="A9805" s="1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</row>
    <row r="9806" spans="1:20" ht="45.75" customHeight="1" x14ac:dyDescent="0.3">
      <c r="A9806" s="1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</row>
    <row r="9807" spans="1:20" ht="45.75" customHeight="1" x14ac:dyDescent="0.3">
      <c r="A9807" s="1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</row>
    <row r="9808" spans="1:20" ht="45.75" customHeight="1" x14ac:dyDescent="0.3">
      <c r="A9808" s="1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</row>
    <row r="9809" spans="1:20" ht="45.75" customHeight="1" x14ac:dyDescent="0.3">
      <c r="A9809" s="1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</row>
    <row r="9810" spans="1:20" ht="45.75" customHeight="1" x14ac:dyDescent="0.3">
      <c r="A9810" s="1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</row>
    <row r="9811" spans="1:20" ht="45.75" customHeight="1" x14ac:dyDescent="0.3">
      <c r="A9811" s="1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</row>
    <row r="9812" spans="1:20" ht="45.75" customHeight="1" x14ac:dyDescent="0.3">
      <c r="A9812" s="1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</row>
    <row r="9813" spans="1:20" ht="45.75" customHeight="1" x14ac:dyDescent="0.3">
      <c r="A9813" s="1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</row>
    <row r="9814" spans="1:20" ht="45.75" customHeight="1" x14ac:dyDescent="0.3">
      <c r="A9814" s="1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</row>
    <row r="9815" spans="1:20" ht="45.75" customHeight="1" x14ac:dyDescent="0.3">
      <c r="A9815" s="1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</row>
    <row r="9816" spans="1:20" ht="45.75" customHeight="1" x14ac:dyDescent="0.3">
      <c r="A9816" s="1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</row>
    <row r="9817" spans="1:20" ht="45.75" customHeight="1" x14ac:dyDescent="0.3">
      <c r="A9817" s="1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</row>
    <row r="9818" spans="1:20" ht="45.75" customHeight="1" x14ac:dyDescent="0.3">
      <c r="A9818" s="1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</row>
    <row r="9819" spans="1:20" ht="45.75" customHeight="1" x14ac:dyDescent="0.3">
      <c r="A9819" s="1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</row>
    <row r="9820" spans="1:20" ht="45.75" customHeight="1" x14ac:dyDescent="0.3">
      <c r="A9820" s="1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</row>
    <row r="9821" spans="1:20" ht="45.75" customHeight="1" x14ac:dyDescent="0.3">
      <c r="A9821" s="1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</row>
    <row r="9822" spans="1:20" ht="45.75" customHeight="1" x14ac:dyDescent="0.3">
      <c r="A9822" s="1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</row>
    <row r="9823" spans="1:20" ht="45.75" customHeight="1" x14ac:dyDescent="0.3">
      <c r="A9823" s="1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</row>
    <row r="9824" spans="1:20" ht="45.75" customHeight="1" x14ac:dyDescent="0.3">
      <c r="A9824" s="1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</row>
    <row r="9825" spans="1:20" ht="45.75" customHeight="1" x14ac:dyDescent="0.3">
      <c r="A9825" s="1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</row>
    <row r="9826" spans="1:20" ht="45.75" customHeight="1" x14ac:dyDescent="0.3">
      <c r="A9826" s="1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</row>
    <row r="9827" spans="1:20" ht="45.75" customHeight="1" x14ac:dyDescent="0.3">
      <c r="A9827" s="1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</row>
    <row r="9828" spans="1:20" ht="45.75" customHeight="1" x14ac:dyDescent="0.3">
      <c r="A9828" s="1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</row>
    <row r="9829" spans="1:20" ht="45.75" customHeight="1" x14ac:dyDescent="0.3">
      <c r="A9829" s="1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</row>
    <row r="9830" spans="1:20" ht="45.75" customHeight="1" x14ac:dyDescent="0.3">
      <c r="A9830" s="1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</row>
    <row r="9831" spans="1:20" ht="45.75" customHeight="1" x14ac:dyDescent="0.3">
      <c r="A9831" s="1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</row>
    <row r="9832" spans="1:20" ht="45.75" customHeight="1" x14ac:dyDescent="0.3">
      <c r="A9832" s="1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</row>
    <row r="9833" spans="1:20" ht="45.75" customHeight="1" x14ac:dyDescent="0.3">
      <c r="A9833" s="1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</row>
    <row r="9834" spans="1:20" ht="45.75" customHeight="1" x14ac:dyDescent="0.3">
      <c r="A9834" s="1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</row>
    <row r="9835" spans="1:20" ht="45.75" customHeight="1" x14ac:dyDescent="0.3">
      <c r="A9835" s="1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</row>
    <row r="9836" spans="1:20" ht="45.75" customHeight="1" x14ac:dyDescent="0.3">
      <c r="A9836" s="1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</row>
    <row r="9837" spans="1:20" ht="45.75" customHeight="1" x14ac:dyDescent="0.3">
      <c r="A9837" s="1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</row>
    <row r="9838" spans="1:20" ht="45.75" customHeight="1" x14ac:dyDescent="0.3">
      <c r="A9838" s="1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</row>
    <row r="9839" spans="1:20" ht="45.75" customHeight="1" x14ac:dyDescent="0.3">
      <c r="A9839" s="1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</row>
    <row r="9840" spans="1:20" ht="45.75" customHeight="1" x14ac:dyDescent="0.3">
      <c r="A9840" s="1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</row>
    <row r="9841" spans="1:20" ht="45.75" customHeight="1" x14ac:dyDescent="0.3">
      <c r="A9841" s="1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</row>
    <row r="9842" spans="1:20" ht="45.75" customHeight="1" x14ac:dyDescent="0.3">
      <c r="A9842" s="1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</row>
    <row r="9843" spans="1:20" ht="45.75" customHeight="1" x14ac:dyDescent="0.3">
      <c r="A9843" s="1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</row>
    <row r="9844" spans="1:20" ht="45.75" customHeight="1" x14ac:dyDescent="0.3">
      <c r="A9844" s="1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</row>
    <row r="9845" spans="1:20" ht="45.75" customHeight="1" x14ac:dyDescent="0.3">
      <c r="A9845" s="1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</row>
    <row r="9846" spans="1:20" ht="45.75" customHeight="1" x14ac:dyDescent="0.3">
      <c r="A9846" s="1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</row>
    <row r="9847" spans="1:20" ht="45.75" customHeight="1" x14ac:dyDescent="0.3">
      <c r="A9847" s="1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</row>
    <row r="9848" spans="1:20" ht="45.75" customHeight="1" x14ac:dyDescent="0.3">
      <c r="A9848" s="1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</row>
    <row r="9849" spans="1:20" ht="45.75" customHeight="1" x14ac:dyDescent="0.3">
      <c r="A9849" s="1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</row>
    <row r="9850" spans="1:20" ht="45.75" customHeight="1" x14ac:dyDescent="0.3">
      <c r="A9850" s="1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</row>
    <row r="9851" spans="1:20" ht="45.75" customHeight="1" x14ac:dyDescent="0.3">
      <c r="A9851" s="1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</row>
    <row r="9852" spans="1:20" ht="45.75" customHeight="1" x14ac:dyDescent="0.3">
      <c r="A9852" s="1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</row>
    <row r="9853" spans="1:20" ht="45.75" customHeight="1" x14ac:dyDescent="0.3">
      <c r="A9853" s="1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</row>
    <row r="9854" spans="1:20" ht="45.75" customHeight="1" x14ac:dyDescent="0.3">
      <c r="A9854" s="1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</row>
    <row r="9855" spans="1:20" ht="45.75" customHeight="1" x14ac:dyDescent="0.3">
      <c r="A9855" s="1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</row>
    <row r="9856" spans="1:20" ht="45.75" customHeight="1" x14ac:dyDescent="0.3">
      <c r="A9856" s="1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</row>
    <row r="9857" spans="1:20" ht="45.75" customHeight="1" x14ac:dyDescent="0.3">
      <c r="A9857" s="1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</row>
    <row r="9858" spans="1:20" ht="45.75" customHeight="1" x14ac:dyDescent="0.3">
      <c r="A9858" s="1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</row>
    <row r="9859" spans="1:20" ht="45.75" customHeight="1" x14ac:dyDescent="0.3">
      <c r="A9859" s="1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</row>
    <row r="9860" spans="1:20" ht="45.75" customHeight="1" x14ac:dyDescent="0.3">
      <c r="A9860" s="1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</row>
    <row r="9861" spans="1:20" ht="45.75" customHeight="1" x14ac:dyDescent="0.3">
      <c r="A9861" s="1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</row>
    <row r="9862" spans="1:20" ht="45.75" customHeight="1" x14ac:dyDescent="0.3">
      <c r="A9862" s="1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</row>
    <row r="9863" spans="1:20" ht="45.75" customHeight="1" x14ac:dyDescent="0.3">
      <c r="A9863" s="1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</row>
    <row r="9864" spans="1:20" ht="45.75" customHeight="1" x14ac:dyDescent="0.3">
      <c r="A9864" s="1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</row>
    <row r="9865" spans="1:20" ht="45.75" customHeight="1" x14ac:dyDescent="0.3">
      <c r="A9865" s="1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</row>
    <row r="9866" spans="1:20" ht="45.75" customHeight="1" x14ac:dyDescent="0.3">
      <c r="A9866" s="1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</row>
    <row r="9867" spans="1:20" ht="45.75" customHeight="1" x14ac:dyDescent="0.3">
      <c r="A9867" s="1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</row>
    <row r="9868" spans="1:20" ht="45.75" customHeight="1" x14ac:dyDescent="0.3">
      <c r="A9868" s="1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</row>
    <row r="9869" spans="1:20" ht="45.75" customHeight="1" x14ac:dyDescent="0.3">
      <c r="A9869" s="1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</row>
    <row r="9870" spans="1:20" ht="45.75" customHeight="1" x14ac:dyDescent="0.3">
      <c r="A9870" s="1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</row>
    <row r="9871" spans="1:20" ht="45.75" customHeight="1" x14ac:dyDescent="0.3">
      <c r="A9871" s="1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</row>
    <row r="9872" spans="1:20" ht="45.75" customHeight="1" x14ac:dyDescent="0.3">
      <c r="A9872" s="1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</row>
    <row r="9873" spans="1:20" ht="45.75" customHeight="1" x14ac:dyDescent="0.3">
      <c r="A9873" s="1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</row>
    <row r="9874" spans="1:20" ht="45.75" customHeight="1" x14ac:dyDescent="0.3">
      <c r="A9874" s="1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</row>
    <row r="9875" spans="1:20" ht="45.75" customHeight="1" x14ac:dyDescent="0.3">
      <c r="A9875" s="1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</row>
    <row r="9876" spans="1:20" ht="45.75" customHeight="1" x14ac:dyDescent="0.3">
      <c r="A9876" s="1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</row>
    <row r="9877" spans="1:20" ht="45.75" customHeight="1" x14ac:dyDescent="0.3">
      <c r="A9877" s="1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</row>
    <row r="9878" spans="1:20" ht="45.75" customHeight="1" x14ac:dyDescent="0.3">
      <c r="A9878" s="1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</row>
    <row r="9879" spans="1:20" ht="45.75" customHeight="1" x14ac:dyDescent="0.3">
      <c r="A9879" s="1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</row>
    <row r="9880" spans="1:20" ht="45.75" customHeight="1" x14ac:dyDescent="0.3">
      <c r="A9880" s="1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</row>
    <row r="9881" spans="1:20" ht="45.75" customHeight="1" x14ac:dyDescent="0.3">
      <c r="A9881" s="1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</row>
    <row r="9882" spans="1:20" ht="45.75" customHeight="1" x14ac:dyDescent="0.3">
      <c r="A9882" s="1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</row>
    <row r="9883" spans="1:20" ht="45.75" customHeight="1" x14ac:dyDescent="0.3">
      <c r="A9883" s="1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</row>
    <row r="9884" spans="1:20" ht="45.75" customHeight="1" x14ac:dyDescent="0.3">
      <c r="A9884" s="1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</row>
    <row r="9885" spans="1:20" ht="45.75" customHeight="1" x14ac:dyDescent="0.3">
      <c r="A9885" s="1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</row>
    <row r="9886" spans="1:20" ht="45.75" customHeight="1" x14ac:dyDescent="0.3">
      <c r="A9886" s="1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</row>
    <row r="9887" spans="1:20" ht="45.75" customHeight="1" x14ac:dyDescent="0.3">
      <c r="A9887" s="1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</row>
    <row r="9888" spans="1:20" ht="45.75" customHeight="1" x14ac:dyDescent="0.3">
      <c r="A9888" s="1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</row>
    <row r="9889" spans="1:20" ht="45.75" customHeight="1" x14ac:dyDescent="0.3">
      <c r="A9889" s="1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</row>
    <row r="9890" spans="1:20" ht="45.75" customHeight="1" x14ac:dyDescent="0.3">
      <c r="A9890" s="1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</row>
    <row r="9891" spans="1:20" ht="45.75" customHeight="1" x14ac:dyDescent="0.3">
      <c r="A9891" s="1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</row>
    <row r="9892" spans="1:20" ht="45.75" customHeight="1" x14ac:dyDescent="0.3">
      <c r="A9892" s="1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</row>
    <row r="9893" spans="1:20" ht="45.75" customHeight="1" x14ac:dyDescent="0.3">
      <c r="A9893" s="1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</row>
    <row r="9894" spans="1:20" ht="45.75" customHeight="1" x14ac:dyDescent="0.3">
      <c r="A9894" s="1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</row>
    <row r="9895" spans="1:20" ht="45.75" customHeight="1" x14ac:dyDescent="0.3">
      <c r="A9895" s="1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</row>
    <row r="9896" spans="1:20" ht="45.75" customHeight="1" x14ac:dyDescent="0.3">
      <c r="A9896" s="1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</row>
    <row r="9897" spans="1:20" ht="45.75" customHeight="1" x14ac:dyDescent="0.3">
      <c r="A9897" s="1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</row>
    <row r="9898" spans="1:20" ht="45.75" customHeight="1" x14ac:dyDescent="0.3">
      <c r="A9898" s="1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</row>
    <row r="9899" spans="1:20" ht="45.75" customHeight="1" x14ac:dyDescent="0.3">
      <c r="A9899" s="1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</row>
    <row r="9900" spans="1:20" ht="45.75" customHeight="1" x14ac:dyDescent="0.3">
      <c r="A9900" s="1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</row>
    <row r="9901" spans="1:20" ht="45.75" customHeight="1" x14ac:dyDescent="0.3">
      <c r="A9901" s="1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</row>
    <row r="9902" spans="1:20" ht="45.75" customHeight="1" x14ac:dyDescent="0.3">
      <c r="A9902" s="1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</row>
    <row r="9903" spans="1:20" ht="45.75" customHeight="1" x14ac:dyDescent="0.3">
      <c r="A9903" s="1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</row>
    <row r="9904" spans="1:20" ht="45.75" customHeight="1" x14ac:dyDescent="0.3">
      <c r="A9904" s="1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</row>
    <row r="9905" spans="1:20" ht="45.75" customHeight="1" x14ac:dyDescent="0.3">
      <c r="A9905" s="1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</row>
    <row r="9906" spans="1:20" ht="45.75" customHeight="1" x14ac:dyDescent="0.3">
      <c r="A9906" s="1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</row>
    <row r="9907" spans="1:20" ht="45.75" customHeight="1" x14ac:dyDescent="0.3">
      <c r="A9907" s="1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</row>
    <row r="9908" spans="1:20" ht="45.75" customHeight="1" x14ac:dyDescent="0.3">
      <c r="A9908" s="1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</row>
    <row r="9909" spans="1:20" ht="45.75" customHeight="1" x14ac:dyDescent="0.3">
      <c r="A9909" s="1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</row>
    <row r="9910" spans="1:20" ht="45.75" customHeight="1" x14ac:dyDescent="0.3">
      <c r="A9910" s="1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</row>
    <row r="9911" spans="1:20" ht="45.75" customHeight="1" x14ac:dyDescent="0.3">
      <c r="A9911" s="1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</row>
    <row r="9912" spans="1:20" ht="45.75" customHeight="1" x14ac:dyDescent="0.3">
      <c r="A9912" s="1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</row>
    <row r="9913" spans="1:20" ht="45.75" customHeight="1" x14ac:dyDescent="0.3">
      <c r="A9913" s="1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</row>
    <row r="9914" spans="1:20" ht="45.75" customHeight="1" x14ac:dyDescent="0.3">
      <c r="A9914" s="1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</row>
    <row r="9915" spans="1:20" ht="45.75" customHeight="1" x14ac:dyDescent="0.3">
      <c r="A9915" s="1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</row>
    <row r="9916" spans="1:20" ht="45.75" customHeight="1" x14ac:dyDescent="0.3">
      <c r="A9916" s="1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</row>
    <row r="9917" spans="1:20" ht="45.75" customHeight="1" x14ac:dyDescent="0.3">
      <c r="A9917" s="1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</row>
    <row r="9918" spans="1:20" ht="45.75" customHeight="1" x14ac:dyDescent="0.3">
      <c r="A9918" s="1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</row>
    <row r="9919" spans="1:20" ht="45.75" customHeight="1" x14ac:dyDescent="0.3">
      <c r="A9919" s="1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</row>
    <row r="9920" spans="1:20" ht="45.75" customHeight="1" x14ac:dyDescent="0.3">
      <c r="A9920" s="1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</row>
    <row r="9921" spans="1:20" ht="45.75" customHeight="1" x14ac:dyDescent="0.3">
      <c r="A9921" s="1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</row>
    <row r="9922" spans="1:20" ht="45.75" customHeight="1" x14ac:dyDescent="0.3">
      <c r="A9922" s="1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</row>
    <row r="9923" spans="1:20" ht="45.75" customHeight="1" x14ac:dyDescent="0.3">
      <c r="A9923" s="1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</row>
    <row r="9924" spans="1:20" ht="45.75" customHeight="1" x14ac:dyDescent="0.3">
      <c r="A9924" s="1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</row>
    <row r="9925" spans="1:20" ht="45.75" customHeight="1" x14ac:dyDescent="0.3">
      <c r="A9925" s="1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</row>
    <row r="9926" spans="1:20" ht="45.75" customHeight="1" x14ac:dyDescent="0.3">
      <c r="A9926" s="1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</row>
    <row r="9927" spans="1:20" ht="45.75" customHeight="1" x14ac:dyDescent="0.3">
      <c r="A9927" s="1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</row>
    <row r="9928" spans="1:20" ht="45.75" customHeight="1" x14ac:dyDescent="0.3">
      <c r="A9928" s="1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</row>
    <row r="9929" spans="1:20" ht="45.75" customHeight="1" x14ac:dyDescent="0.3">
      <c r="A9929" s="1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</row>
    <row r="9930" spans="1:20" ht="45.75" customHeight="1" x14ac:dyDescent="0.3">
      <c r="A9930" s="1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</row>
    <row r="9931" spans="1:20" ht="45.75" customHeight="1" x14ac:dyDescent="0.3">
      <c r="A9931" s="1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</row>
    <row r="9932" spans="1:20" ht="45.75" customHeight="1" x14ac:dyDescent="0.3">
      <c r="A9932" s="1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</row>
    <row r="9933" spans="1:20" ht="45.75" customHeight="1" x14ac:dyDescent="0.3">
      <c r="A9933" s="1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</row>
    <row r="9934" spans="1:20" ht="45.75" customHeight="1" x14ac:dyDescent="0.3">
      <c r="A9934" s="1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</row>
    <row r="9935" spans="1:20" ht="45.75" customHeight="1" x14ac:dyDescent="0.3">
      <c r="A9935" s="1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</row>
    <row r="9936" spans="1:20" ht="45.75" customHeight="1" x14ac:dyDescent="0.3">
      <c r="A9936" s="1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</row>
    <row r="9937" spans="1:20" ht="45.75" customHeight="1" x14ac:dyDescent="0.3">
      <c r="A9937" s="1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</row>
    <row r="9938" spans="1:20" ht="45.75" customHeight="1" x14ac:dyDescent="0.3">
      <c r="A9938" s="1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</row>
    <row r="9939" spans="1:20" ht="45.75" customHeight="1" x14ac:dyDescent="0.3">
      <c r="A9939" s="1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</row>
    <row r="9940" spans="1:20" ht="45.75" customHeight="1" x14ac:dyDescent="0.3">
      <c r="A9940" s="1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</row>
    <row r="9941" spans="1:20" ht="45.75" customHeight="1" x14ac:dyDescent="0.3">
      <c r="A9941" s="1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</row>
    <row r="9942" spans="1:20" ht="45.75" customHeight="1" x14ac:dyDescent="0.3">
      <c r="A9942" s="1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</row>
    <row r="9943" spans="1:20" ht="45.75" customHeight="1" x14ac:dyDescent="0.3">
      <c r="A9943" s="1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</row>
    <row r="9944" spans="1:20" ht="45.75" customHeight="1" x14ac:dyDescent="0.3">
      <c r="A9944" s="1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</row>
    <row r="9945" spans="1:20" ht="45.75" customHeight="1" x14ac:dyDescent="0.3">
      <c r="A9945" s="1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</row>
    <row r="9946" spans="1:20" ht="45.75" customHeight="1" x14ac:dyDescent="0.3">
      <c r="A9946" s="1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</row>
    <row r="9947" spans="1:20" ht="45.75" customHeight="1" x14ac:dyDescent="0.3">
      <c r="A9947" s="1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</row>
    <row r="9948" spans="1:20" ht="45.75" customHeight="1" x14ac:dyDescent="0.3">
      <c r="A9948" s="1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</row>
    <row r="9949" spans="1:20" ht="45.75" customHeight="1" x14ac:dyDescent="0.3">
      <c r="A9949" s="1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</row>
    <row r="9950" spans="1:20" ht="45.75" customHeight="1" x14ac:dyDescent="0.3">
      <c r="A9950" s="1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</row>
    <row r="9951" spans="1:20" ht="45.75" customHeight="1" x14ac:dyDescent="0.3">
      <c r="A9951" s="1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</row>
    <row r="9952" spans="1:20" ht="45.75" customHeight="1" x14ac:dyDescent="0.3">
      <c r="A9952" s="1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</row>
    <row r="9953" spans="1:20" ht="45.75" customHeight="1" x14ac:dyDescent="0.3">
      <c r="A9953" s="1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</row>
    <row r="9954" spans="1:20" ht="45.75" customHeight="1" x14ac:dyDescent="0.3">
      <c r="A9954" s="1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</row>
    <row r="9955" spans="1:20" ht="45.75" customHeight="1" x14ac:dyDescent="0.3">
      <c r="A9955" s="1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</row>
    <row r="9956" spans="1:20" ht="45.75" customHeight="1" x14ac:dyDescent="0.3">
      <c r="A9956" s="1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</row>
    <row r="9957" spans="1:20" ht="45.75" customHeight="1" x14ac:dyDescent="0.3">
      <c r="A9957" s="1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</row>
    <row r="9958" spans="1:20" ht="45.75" customHeight="1" x14ac:dyDescent="0.3">
      <c r="A9958" s="1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</row>
    <row r="9959" spans="1:20" ht="45.75" customHeight="1" x14ac:dyDescent="0.3">
      <c r="A9959" s="1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</row>
    <row r="9960" spans="1:20" ht="45.75" customHeight="1" x14ac:dyDescent="0.3">
      <c r="A9960" s="1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</row>
    <row r="9961" spans="1:20" ht="45.75" customHeight="1" x14ac:dyDescent="0.3">
      <c r="A9961" s="1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</row>
    <row r="9962" spans="1:20" ht="45.75" customHeight="1" x14ac:dyDescent="0.3">
      <c r="A9962" s="1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</row>
    <row r="9963" spans="1:20" ht="45.75" customHeight="1" x14ac:dyDescent="0.3">
      <c r="A9963" s="1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</row>
    <row r="9964" spans="1:20" ht="45.75" customHeight="1" x14ac:dyDescent="0.3">
      <c r="A9964" s="1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</row>
    <row r="9965" spans="1:20" ht="45.75" customHeight="1" x14ac:dyDescent="0.3">
      <c r="A9965" s="1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</row>
    <row r="9966" spans="1:20" ht="45.75" customHeight="1" x14ac:dyDescent="0.3">
      <c r="A9966" s="1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</row>
    <row r="9967" spans="1:20" ht="45.75" customHeight="1" x14ac:dyDescent="0.3">
      <c r="A9967" s="1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</row>
    <row r="9968" spans="1:20" ht="45.75" customHeight="1" x14ac:dyDescent="0.3">
      <c r="A9968" s="1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</row>
    <row r="9969" spans="1:20" ht="45.75" customHeight="1" x14ac:dyDescent="0.3">
      <c r="A9969" s="1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</row>
    <row r="9970" spans="1:20" ht="45.75" customHeight="1" x14ac:dyDescent="0.3">
      <c r="A9970" s="1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</row>
    <row r="9971" spans="1:20" ht="45.75" customHeight="1" x14ac:dyDescent="0.3">
      <c r="A9971" s="1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</row>
    <row r="9972" spans="1:20" ht="45.75" customHeight="1" x14ac:dyDescent="0.3">
      <c r="A9972" s="1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</row>
    <row r="9973" spans="1:20" ht="45.75" customHeight="1" x14ac:dyDescent="0.3">
      <c r="A9973" s="1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</row>
    <row r="9974" spans="1:20" ht="45.75" customHeight="1" x14ac:dyDescent="0.3">
      <c r="A9974" s="1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</row>
    <row r="9975" spans="1:20" ht="45.75" customHeight="1" x14ac:dyDescent="0.3">
      <c r="A9975" s="1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</row>
    <row r="9976" spans="1:20" ht="45.75" customHeight="1" x14ac:dyDescent="0.3">
      <c r="A9976" s="1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</row>
    <row r="9977" spans="1:20" ht="45.75" customHeight="1" x14ac:dyDescent="0.3">
      <c r="A9977" s="1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</row>
    <row r="9978" spans="1:20" ht="45.75" customHeight="1" x14ac:dyDescent="0.3">
      <c r="A9978" s="1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</row>
    <row r="9979" spans="1:20" ht="45.75" customHeight="1" x14ac:dyDescent="0.3">
      <c r="A9979" s="1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</row>
    <row r="9980" spans="1:20" ht="45.75" customHeight="1" x14ac:dyDescent="0.3">
      <c r="A9980" s="1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</row>
    <row r="9981" spans="1:20" ht="45.75" customHeight="1" x14ac:dyDescent="0.3">
      <c r="A9981" s="1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</row>
    <row r="9982" spans="1:20" ht="45.75" customHeight="1" x14ac:dyDescent="0.3">
      <c r="A9982" s="1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</row>
    <row r="9983" spans="1:20" ht="45.75" customHeight="1" x14ac:dyDescent="0.3">
      <c r="A9983" s="1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</row>
    <row r="9984" spans="1:20" ht="45.75" customHeight="1" x14ac:dyDescent="0.3">
      <c r="A9984" s="1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</row>
    <row r="9985" spans="1:20" ht="45.75" customHeight="1" x14ac:dyDescent="0.3">
      <c r="A9985" s="1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</row>
    <row r="9986" spans="1:20" ht="45.75" customHeight="1" x14ac:dyDescent="0.3">
      <c r="A9986" s="1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</row>
    <row r="9987" spans="1:20" ht="45.75" customHeight="1" x14ac:dyDescent="0.3">
      <c r="A9987" s="1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</row>
    <row r="9988" spans="1:20" ht="45.75" customHeight="1" x14ac:dyDescent="0.3">
      <c r="A9988" s="1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</row>
    <row r="9989" spans="1:20" ht="45.75" customHeight="1" x14ac:dyDescent="0.3">
      <c r="A9989" s="1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</row>
    <row r="9990" spans="1:20" ht="45.75" customHeight="1" x14ac:dyDescent="0.3">
      <c r="A9990" s="1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</row>
    <row r="9991" spans="1:20" ht="45.75" customHeight="1" x14ac:dyDescent="0.3">
      <c r="A9991" s="1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</row>
    <row r="9992" spans="1:20" ht="45.75" customHeight="1" x14ac:dyDescent="0.3">
      <c r="A9992" s="1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</row>
    <row r="9993" spans="1:20" ht="45.75" customHeight="1" x14ac:dyDescent="0.3">
      <c r="A9993" s="1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</row>
    <row r="9994" spans="1:20" ht="45.75" customHeight="1" x14ac:dyDescent="0.3">
      <c r="A9994" s="1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</row>
    <row r="9995" spans="1:20" ht="45.75" customHeight="1" x14ac:dyDescent="0.3">
      <c r="A9995" s="1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</row>
    <row r="9996" spans="1:20" ht="45.75" customHeight="1" x14ac:dyDescent="0.3">
      <c r="A9996" s="1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</row>
    <row r="9997" spans="1:20" ht="45.75" customHeight="1" x14ac:dyDescent="0.3">
      <c r="A9997" s="1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</row>
    <row r="9998" spans="1:20" ht="45.75" customHeight="1" x14ac:dyDescent="0.3">
      <c r="A9998" s="1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</row>
    <row r="9999" spans="1:20" ht="45.75" customHeight="1" x14ac:dyDescent="0.3">
      <c r="A9999" s="1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</row>
    <row r="10000" spans="1:20" ht="45.75" customHeight="1" x14ac:dyDescent="0.3">
      <c r="A10000" s="1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</row>
    <row r="10001" spans="1:20" ht="45.75" customHeight="1" x14ac:dyDescent="0.3">
      <c r="A10001" s="15"/>
      <c r="B10001" s="5"/>
      <c r="C10001" s="5"/>
      <c r="D10001" s="5"/>
      <c r="E10001" s="5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</row>
    <row r="10002" spans="1:20" ht="45.75" customHeight="1" x14ac:dyDescent="0.3">
      <c r="A10002" s="15"/>
      <c r="B10002" s="5"/>
      <c r="C10002" s="5"/>
      <c r="D10002" s="5"/>
      <c r="E10002" s="5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</row>
    <row r="10003" spans="1:20" ht="45.75" customHeight="1" x14ac:dyDescent="0.3">
      <c r="A10003" s="15"/>
      <c r="B10003" s="5"/>
      <c r="C10003" s="5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</row>
    <row r="10004" spans="1:20" ht="45.75" customHeight="1" x14ac:dyDescent="0.3">
      <c r="A10004" s="15"/>
      <c r="B10004" s="5"/>
      <c r="C10004" s="5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</row>
    <row r="10005" spans="1:20" ht="45.75" customHeight="1" x14ac:dyDescent="0.3">
      <c r="A10005" s="15"/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</row>
    <row r="10006" spans="1:20" ht="45.75" customHeight="1" x14ac:dyDescent="0.3">
      <c r="A10006" s="15"/>
      <c r="B10006" s="5"/>
      <c r="C10006" s="5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</row>
    <row r="10007" spans="1:20" ht="45.75" customHeight="1" x14ac:dyDescent="0.3">
      <c r="A10007" s="15"/>
      <c r="B10007" s="5"/>
      <c r="C10007" s="5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</row>
    <row r="10008" spans="1:20" ht="45.75" customHeight="1" x14ac:dyDescent="0.3">
      <c r="A10008" s="15"/>
      <c r="B10008" s="5"/>
      <c r="C10008" s="5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</row>
    <row r="10009" spans="1:20" ht="45.75" customHeight="1" x14ac:dyDescent="0.3">
      <c r="A10009" s="15"/>
      <c r="B10009" s="5"/>
      <c r="C10009" s="5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</row>
    <row r="10010" spans="1:20" ht="45.75" customHeight="1" x14ac:dyDescent="0.3">
      <c r="A10010" s="15"/>
      <c r="B10010" s="5"/>
      <c r="C10010" s="5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</row>
    <row r="10011" spans="1:20" ht="45.75" customHeight="1" x14ac:dyDescent="0.3">
      <c r="A10011" s="15"/>
      <c r="B10011" s="5"/>
      <c r="C10011" s="5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</row>
    <row r="10012" spans="1:20" ht="45.75" customHeight="1" x14ac:dyDescent="0.3">
      <c r="A10012" s="15"/>
      <c r="B10012" s="5"/>
      <c r="C10012" s="5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</row>
    <row r="10013" spans="1:20" ht="45.75" customHeight="1" x14ac:dyDescent="0.3">
      <c r="A10013" s="15"/>
      <c r="B10013" s="5"/>
      <c r="C10013" s="5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</row>
    <row r="10014" spans="1:20" ht="45.75" customHeight="1" x14ac:dyDescent="0.3">
      <c r="A10014" s="15"/>
      <c r="B10014" s="5"/>
      <c r="C10014" s="5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</row>
    <row r="10015" spans="1:20" ht="45.75" customHeight="1" x14ac:dyDescent="0.3">
      <c r="A10015" s="15"/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</row>
    <row r="10016" spans="1:20" ht="45.75" customHeight="1" x14ac:dyDescent="0.3">
      <c r="A10016" s="15"/>
      <c r="B10016" s="5"/>
      <c r="C10016" s="5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</row>
    <row r="10017" spans="1:20" ht="45.75" customHeight="1" x14ac:dyDescent="0.3">
      <c r="A10017" s="15"/>
      <c r="B10017" s="5"/>
      <c r="C10017" s="5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</row>
    <row r="10018" spans="1:20" ht="45.75" customHeight="1" x14ac:dyDescent="0.3">
      <c r="A10018" s="1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</row>
    <row r="10019" spans="1:20" ht="45.75" customHeight="1" x14ac:dyDescent="0.3">
      <c r="A10019" s="15"/>
      <c r="B10019" s="5"/>
      <c r="C10019" s="5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</row>
    <row r="10020" spans="1:20" ht="45.75" customHeight="1" x14ac:dyDescent="0.3">
      <c r="A10020" s="15"/>
      <c r="B10020" s="5"/>
      <c r="C10020" s="5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</row>
    <row r="10021" spans="1:20" ht="45.75" customHeight="1" x14ac:dyDescent="0.3">
      <c r="A10021" s="15"/>
      <c r="B10021" s="5"/>
      <c r="C10021" s="5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</row>
    <row r="10022" spans="1:20" ht="45.75" customHeight="1" x14ac:dyDescent="0.3">
      <c r="A10022" s="15"/>
      <c r="B10022" s="5"/>
      <c r="C10022" s="5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</row>
    <row r="10023" spans="1:20" ht="45.75" customHeight="1" x14ac:dyDescent="0.3">
      <c r="A10023" s="15"/>
      <c r="B10023" s="5"/>
      <c r="C10023" s="5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</row>
    <row r="10024" spans="1:20" ht="45.75" customHeight="1" x14ac:dyDescent="0.3">
      <c r="A10024" s="15"/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</row>
    <row r="10025" spans="1:20" ht="45.75" customHeight="1" x14ac:dyDescent="0.3">
      <c r="A10025" s="15"/>
      <c r="B10025" s="5"/>
      <c r="C10025" s="5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</row>
    <row r="10026" spans="1:20" ht="45.75" customHeight="1" x14ac:dyDescent="0.3">
      <c r="A10026" s="15"/>
      <c r="B10026" s="5"/>
      <c r="C10026" s="5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</row>
    <row r="10027" spans="1:20" ht="45.75" customHeight="1" x14ac:dyDescent="0.3">
      <c r="A10027" s="15"/>
      <c r="B10027" s="5"/>
      <c r="C10027" s="5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</row>
    <row r="10028" spans="1:20" ht="45.75" customHeight="1" x14ac:dyDescent="0.3">
      <c r="A10028" s="15"/>
      <c r="B10028" s="5"/>
      <c r="C10028" s="5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</row>
    <row r="10029" spans="1:20" ht="45.75" customHeight="1" x14ac:dyDescent="0.3">
      <c r="A10029" s="15"/>
      <c r="B10029" s="5"/>
      <c r="C10029" s="5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</row>
    <row r="10030" spans="1:20" ht="45.75" customHeight="1" x14ac:dyDescent="0.3">
      <c r="A10030" s="15"/>
      <c r="B10030" s="5"/>
      <c r="C10030" s="5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</row>
    <row r="10031" spans="1:20" ht="45.75" customHeight="1" x14ac:dyDescent="0.3">
      <c r="A10031" s="15"/>
      <c r="B10031" s="5"/>
      <c r="C10031" s="5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</row>
    <row r="10032" spans="1:20" ht="45.75" customHeight="1" x14ac:dyDescent="0.3">
      <c r="A10032" s="15"/>
      <c r="B10032" s="5"/>
      <c r="C10032" s="5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</row>
    <row r="10033" spans="1:20" ht="45.75" customHeight="1" x14ac:dyDescent="0.3">
      <c r="A10033" s="15"/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</row>
    <row r="10034" spans="1:20" ht="45.75" customHeight="1" x14ac:dyDescent="0.3">
      <c r="A10034" s="15"/>
      <c r="B10034" s="5"/>
      <c r="C10034" s="5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</row>
    <row r="10035" spans="1:20" ht="45.75" customHeight="1" x14ac:dyDescent="0.3">
      <c r="A10035" s="15"/>
      <c r="B10035" s="5"/>
      <c r="C10035" s="5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</row>
    <row r="10036" spans="1:20" ht="45.75" customHeight="1" x14ac:dyDescent="0.3">
      <c r="A10036" s="15"/>
      <c r="B10036" s="5"/>
      <c r="C10036" s="5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</row>
    <row r="10037" spans="1:20" ht="45.75" customHeight="1" x14ac:dyDescent="0.3">
      <c r="A10037" s="15"/>
      <c r="B10037" s="5"/>
      <c r="C10037" s="5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</row>
    <row r="10038" spans="1:20" ht="45.75" customHeight="1" x14ac:dyDescent="0.3">
      <c r="A10038" s="15"/>
      <c r="B10038" s="5"/>
      <c r="C10038" s="5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</row>
    <row r="10039" spans="1:20" ht="45.75" customHeight="1" x14ac:dyDescent="0.3">
      <c r="A10039" s="15"/>
      <c r="B10039" s="5"/>
      <c r="C10039" s="5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</row>
    <row r="10040" spans="1:20" ht="45.75" customHeight="1" x14ac:dyDescent="0.3">
      <c r="A10040" s="15"/>
      <c r="B10040" s="5"/>
      <c r="C10040" s="5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</row>
    <row r="10041" spans="1:20" ht="45.75" customHeight="1" x14ac:dyDescent="0.3">
      <c r="A10041" s="15"/>
      <c r="B10041" s="5"/>
      <c r="C10041" s="5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</row>
    <row r="10042" spans="1:20" ht="45.75" customHeight="1" x14ac:dyDescent="0.3">
      <c r="A10042" s="15"/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</row>
    <row r="10043" spans="1:20" ht="45.75" customHeight="1" x14ac:dyDescent="0.3">
      <c r="A10043" s="15"/>
      <c r="B10043" s="5"/>
      <c r="C10043" s="5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</row>
    <row r="10044" spans="1:20" ht="45.75" customHeight="1" x14ac:dyDescent="0.3">
      <c r="A10044" s="15"/>
      <c r="B10044" s="5"/>
      <c r="C10044" s="5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</row>
    <row r="10045" spans="1:20" ht="45.75" customHeight="1" x14ac:dyDescent="0.3">
      <c r="A10045" s="15"/>
      <c r="B10045" s="5"/>
      <c r="C10045" s="5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</row>
    <row r="10046" spans="1:20" ht="45.75" customHeight="1" x14ac:dyDescent="0.3">
      <c r="A10046" s="15"/>
      <c r="B10046" s="5"/>
      <c r="C10046" s="5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</row>
    <row r="10047" spans="1:20" ht="45.75" customHeight="1" x14ac:dyDescent="0.3">
      <c r="A10047" s="15"/>
      <c r="B10047" s="5"/>
      <c r="C10047" s="5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</row>
    <row r="10048" spans="1:20" ht="45.75" customHeight="1" x14ac:dyDescent="0.3">
      <c r="A10048" s="15"/>
      <c r="B10048" s="5"/>
      <c r="C10048" s="5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</row>
    <row r="10049" spans="1:20" ht="45.75" customHeight="1" x14ac:dyDescent="0.3">
      <c r="A10049" s="15"/>
      <c r="B10049" s="5"/>
      <c r="C10049" s="5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</row>
    <row r="10050" spans="1:20" ht="45.75" customHeight="1" x14ac:dyDescent="0.3">
      <c r="A10050" s="15"/>
      <c r="B10050" s="5"/>
      <c r="C10050" s="5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</row>
    <row r="10051" spans="1:20" ht="45.75" customHeight="1" x14ac:dyDescent="0.3">
      <c r="A10051" s="15"/>
      <c r="B10051" s="5"/>
      <c r="C10051" s="5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</row>
    <row r="10052" spans="1:20" ht="45.75" customHeight="1" x14ac:dyDescent="0.3">
      <c r="A10052" s="15"/>
      <c r="B10052" s="5"/>
      <c r="C10052" s="5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</row>
    <row r="10053" spans="1:20" ht="45.75" customHeight="1" x14ac:dyDescent="0.3">
      <c r="A10053" s="15"/>
      <c r="B10053" s="5"/>
      <c r="C10053" s="5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</row>
    <row r="10054" spans="1:20" ht="45.75" customHeight="1" x14ac:dyDescent="0.3">
      <c r="A10054" s="15"/>
      <c r="B10054" s="5"/>
      <c r="C10054" s="5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</row>
    <row r="10055" spans="1:20" ht="45.75" customHeight="1" x14ac:dyDescent="0.3">
      <c r="A10055" s="15"/>
      <c r="B10055" s="5"/>
      <c r="C10055" s="5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</row>
    <row r="10056" spans="1:20" ht="45.75" customHeight="1" x14ac:dyDescent="0.3">
      <c r="A10056" s="15"/>
      <c r="B10056" s="5"/>
      <c r="C10056" s="5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</row>
    <row r="10057" spans="1:20" ht="45.75" customHeight="1" x14ac:dyDescent="0.3">
      <c r="A10057" s="15"/>
      <c r="B10057" s="5"/>
      <c r="C10057" s="5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</row>
    <row r="10058" spans="1:20" ht="45.75" customHeight="1" x14ac:dyDescent="0.3">
      <c r="A10058" s="15"/>
      <c r="B10058" s="5"/>
      <c r="C10058" s="5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</row>
    <row r="10059" spans="1:20" ht="45.75" customHeight="1" x14ac:dyDescent="0.3">
      <c r="A10059" s="15"/>
      <c r="B10059" s="5"/>
      <c r="C10059" s="5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</row>
    <row r="10060" spans="1:20" ht="45.75" customHeight="1" x14ac:dyDescent="0.3">
      <c r="A10060" s="15"/>
      <c r="B10060" s="5"/>
      <c r="C10060" s="5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</row>
    <row r="10061" spans="1:20" ht="45.75" customHeight="1" x14ac:dyDescent="0.3">
      <c r="A10061" s="15"/>
      <c r="B10061" s="5"/>
      <c r="C10061" s="5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</row>
    <row r="10062" spans="1:20" ht="45.75" customHeight="1" x14ac:dyDescent="0.3">
      <c r="A10062" s="15"/>
      <c r="B10062" s="5"/>
      <c r="C10062" s="5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</row>
    <row r="10063" spans="1:20" ht="45.75" customHeight="1" x14ac:dyDescent="0.3">
      <c r="A10063" s="15"/>
      <c r="B10063" s="5"/>
      <c r="C10063" s="5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</row>
    <row r="10064" spans="1:20" ht="45.75" customHeight="1" x14ac:dyDescent="0.3">
      <c r="A10064" s="15"/>
      <c r="B10064" s="5"/>
      <c r="C10064" s="5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</row>
    <row r="10065" spans="1:20" ht="45.75" customHeight="1" x14ac:dyDescent="0.3">
      <c r="A10065" s="15"/>
      <c r="B10065" s="5"/>
      <c r="C10065" s="5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</row>
    <row r="10066" spans="1:20" ht="45.75" customHeight="1" x14ac:dyDescent="0.3">
      <c r="A10066" s="15"/>
      <c r="B10066" s="5"/>
      <c r="C10066" s="5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</row>
    <row r="10067" spans="1:20" ht="45.75" customHeight="1" x14ac:dyDescent="0.3">
      <c r="A10067" s="15"/>
      <c r="B10067" s="5"/>
      <c r="C10067" s="5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</row>
    <row r="10068" spans="1:20" ht="45.75" customHeight="1" x14ac:dyDescent="0.3">
      <c r="A10068" s="15"/>
      <c r="B10068" s="5"/>
      <c r="C10068" s="5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</row>
    <row r="10069" spans="1:20" ht="45.75" customHeight="1" x14ac:dyDescent="0.3">
      <c r="A10069" s="15"/>
      <c r="B10069" s="5"/>
      <c r="C10069" s="5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</row>
    <row r="10070" spans="1:20" ht="45.75" customHeight="1" x14ac:dyDescent="0.3">
      <c r="A10070" s="15"/>
      <c r="B10070" s="5"/>
      <c r="C10070" s="5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</row>
    <row r="10071" spans="1:20" ht="45.75" customHeight="1" x14ac:dyDescent="0.3">
      <c r="A10071" s="1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</row>
    <row r="10072" spans="1:20" ht="45.75" customHeight="1" x14ac:dyDescent="0.3">
      <c r="A10072" s="15"/>
      <c r="B10072" s="5"/>
      <c r="C10072" s="5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</row>
    <row r="10073" spans="1:20" ht="45.75" customHeight="1" x14ac:dyDescent="0.3">
      <c r="A10073" s="15"/>
      <c r="B10073" s="5"/>
      <c r="C10073" s="5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</row>
    <row r="10074" spans="1:20" ht="45.75" customHeight="1" x14ac:dyDescent="0.3">
      <c r="A10074" s="15"/>
      <c r="B10074" s="5"/>
      <c r="C10074" s="5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</row>
    <row r="10075" spans="1:20" ht="45.75" customHeight="1" x14ac:dyDescent="0.3">
      <c r="A10075" s="15"/>
      <c r="B10075" s="5"/>
      <c r="C10075" s="5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</row>
    <row r="10076" spans="1:20" ht="45.75" customHeight="1" x14ac:dyDescent="0.3">
      <c r="A10076" s="15"/>
      <c r="B10076" s="5"/>
      <c r="C10076" s="5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</row>
    <row r="10077" spans="1:20" ht="45.75" customHeight="1" x14ac:dyDescent="0.3">
      <c r="A10077" s="15"/>
      <c r="B10077" s="5"/>
      <c r="C10077" s="5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</row>
    <row r="10078" spans="1:20" ht="45.75" customHeight="1" x14ac:dyDescent="0.3">
      <c r="A10078" s="15"/>
      <c r="B10078" s="5"/>
      <c r="C10078" s="5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</row>
    <row r="10079" spans="1:20" ht="45.75" customHeight="1" x14ac:dyDescent="0.3">
      <c r="A10079" s="15"/>
      <c r="B10079" s="5"/>
      <c r="C10079" s="5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</row>
    <row r="10080" spans="1:20" ht="45.75" customHeight="1" x14ac:dyDescent="0.3">
      <c r="A10080" s="15"/>
      <c r="B10080" s="5"/>
      <c r="C10080" s="5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</row>
    <row r="10081" spans="1:20" ht="45.75" customHeight="1" x14ac:dyDescent="0.3">
      <c r="A10081" s="15"/>
      <c r="B10081" s="5"/>
      <c r="C10081" s="5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</row>
    <row r="10082" spans="1:20" ht="45.75" customHeight="1" x14ac:dyDescent="0.3">
      <c r="A10082" s="15"/>
      <c r="B10082" s="5"/>
      <c r="C10082" s="5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</row>
    <row r="10083" spans="1:20" ht="45.75" customHeight="1" x14ac:dyDescent="0.3">
      <c r="A10083" s="15"/>
      <c r="B10083" s="5"/>
      <c r="C10083" s="5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</row>
    <row r="10084" spans="1:20" ht="45.75" customHeight="1" x14ac:dyDescent="0.3">
      <c r="A10084" s="15"/>
      <c r="B10084" s="5"/>
      <c r="C10084" s="5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</row>
    <row r="10085" spans="1:20" ht="45.75" customHeight="1" x14ac:dyDescent="0.3">
      <c r="A10085" s="15"/>
      <c r="B10085" s="5"/>
      <c r="C10085" s="5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</row>
    <row r="10086" spans="1:20" ht="45.75" customHeight="1" x14ac:dyDescent="0.3">
      <c r="A10086" s="15"/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</row>
    <row r="10087" spans="1:20" ht="45.75" customHeight="1" x14ac:dyDescent="0.3">
      <c r="A10087" s="15"/>
      <c r="B10087" s="5"/>
      <c r="C10087" s="5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</row>
    <row r="10088" spans="1:20" ht="45.75" customHeight="1" x14ac:dyDescent="0.3">
      <c r="A10088" s="15"/>
      <c r="B10088" s="5"/>
      <c r="C10088" s="5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</row>
    <row r="10089" spans="1:20" ht="45.75" customHeight="1" x14ac:dyDescent="0.3">
      <c r="A10089" s="15"/>
      <c r="B10089" s="5"/>
      <c r="C10089" s="5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</row>
    <row r="10090" spans="1:20" ht="45.75" customHeight="1" x14ac:dyDescent="0.3">
      <c r="A10090" s="15"/>
      <c r="B10090" s="5"/>
      <c r="C10090" s="5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</row>
    <row r="10091" spans="1:20" ht="45.75" customHeight="1" x14ac:dyDescent="0.3">
      <c r="A10091" s="15"/>
      <c r="B10091" s="5"/>
      <c r="C10091" s="5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</row>
    <row r="10092" spans="1:20" ht="45.75" customHeight="1" x14ac:dyDescent="0.3">
      <c r="A10092" s="15"/>
      <c r="B10092" s="5"/>
      <c r="C10092" s="5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</row>
    <row r="10093" spans="1:20" ht="45.75" customHeight="1" x14ac:dyDescent="0.3">
      <c r="A10093" s="15"/>
      <c r="B10093" s="5"/>
      <c r="C10093" s="5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</row>
    <row r="10094" spans="1:20" ht="45.75" customHeight="1" x14ac:dyDescent="0.3">
      <c r="A10094" s="15"/>
      <c r="B10094" s="5"/>
      <c r="C10094" s="5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</row>
    <row r="10095" spans="1:20" ht="45.75" customHeight="1" x14ac:dyDescent="0.3">
      <c r="A10095" s="15"/>
      <c r="B10095" s="5"/>
      <c r="C10095" s="5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</row>
    <row r="10096" spans="1:20" ht="45.75" customHeight="1" x14ac:dyDescent="0.3">
      <c r="A10096" s="15"/>
      <c r="B10096" s="5"/>
      <c r="C10096" s="5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</row>
    <row r="10097" spans="1:20" ht="45.75" customHeight="1" x14ac:dyDescent="0.3">
      <c r="A10097" s="15"/>
      <c r="B10097" s="5"/>
      <c r="C10097" s="5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</row>
    <row r="10098" spans="1:20" ht="45.75" customHeight="1" x14ac:dyDescent="0.3">
      <c r="A10098" s="15"/>
      <c r="B10098" s="5"/>
      <c r="C10098" s="5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</row>
    <row r="10099" spans="1:20" ht="45.75" customHeight="1" x14ac:dyDescent="0.3">
      <c r="A10099" s="15"/>
      <c r="B10099" s="5"/>
      <c r="C10099" s="5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</row>
    <row r="10100" spans="1:20" ht="45.75" customHeight="1" x14ac:dyDescent="0.3">
      <c r="A10100" s="15"/>
      <c r="B10100" s="5"/>
      <c r="C10100" s="5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</row>
    <row r="10101" spans="1:20" ht="45.75" customHeight="1" x14ac:dyDescent="0.3">
      <c r="A10101" s="15"/>
      <c r="B10101" s="5"/>
      <c r="C10101" s="5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</row>
    <row r="10102" spans="1:20" ht="45.75" customHeight="1" x14ac:dyDescent="0.3">
      <c r="A10102" s="15"/>
      <c r="B10102" s="5"/>
      <c r="C10102" s="5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</row>
    <row r="10103" spans="1:20" ht="45.75" customHeight="1" x14ac:dyDescent="0.3">
      <c r="A10103" s="15"/>
      <c r="B10103" s="5"/>
      <c r="C10103" s="5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</row>
    <row r="10104" spans="1:20" ht="45.75" customHeight="1" x14ac:dyDescent="0.3">
      <c r="A10104" s="15"/>
      <c r="B10104" s="5"/>
      <c r="C10104" s="5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</row>
    <row r="10105" spans="1:20" ht="45.75" customHeight="1" x14ac:dyDescent="0.3">
      <c r="A10105" s="15"/>
      <c r="B10105" s="5"/>
      <c r="C10105" s="5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</row>
    <row r="10106" spans="1:20" ht="45.75" customHeight="1" x14ac:dyDescent="0.3">
      <c r="A10106" s="15"/>
      <c r="B10106" s="5"/>
      <c r="C10106" s="5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</row>
    <row r="10107" spans="1:20" ht="45.75" customHeight="1" x14ac:dyDescent="0.3">
      <c r="A10107" s="15"/>
      <c r="B10107" s="5"/>
      <c r="C10107" s="5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</row>
    <row r="10108" spans="1:20" ht="45.75" customHeight="1" x14ac:dyDescent="0.3">
      <c r="A10108" s="15"/>
      <c r="B10108" s="5"/>
      <c r="C10108" s="5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</row>
    <row r="10109" spans="1:20" ht="45.75" customHeight="1" x14ac:dyDescent="0.3">
      <c r="A10109" s="15"/>
      <c r="B10109" s="5"/>
      <c r="C10109" s="5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</row>
    <row r="10110" spans="1:20" ht="45.75" customHeight="1" x14ac:dyDescent="0.3">
      <c r="A10110" s="15"/>
      <c r="B10110" s="5"/>
      <c r="C10110" s="5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</row>
    <row r="10111" spans="1:20" ht="45.75" customHeight="1" x14ac:dyDescent="0.3">
      <c r="A10111" s="15"/>
      <c r="B10111" s="5"/>
      <c r="C10111" s="5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</row>
    <row r="10112" spans="1:20" ht="45.75" customHeight="1" x14ac:dyDescent="0.3">
      <c r="A10112" s="15"/>
      <c r="B10112" s="5"/>
      <c r="C10112" s="5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</row>
    <row r="10113" spans="1:20" ht="45.75" customHeight="1" x14ac:dyDescent="0.3">
      <c r="A10113" s="15"/>
      <c r="B10113" s="5"/>
      <c r="C10113" s="5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</row>
    <row r="10114" spans="1:20" ht="45.75" customHeight="1" x14ac:dyDescent="0.3">
      <c r="A10114" s="15"/>
      <c r="B10114" s="5"/>
      <c r="C10114" s="5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</row>
    <row r="10115" spans="1:20" ht="45.75" customHeight="1" x14ac:dyDescent="0.3">
      <c r="A10115" s="15"/>
      <c r="B10115" s="5"/>
      <c r="C10115" s="5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</row>
    <row r="10116" spans="1:20" ht="45.75" customHeight="1" x14ac:dyDescent="0.3">
      <c r="A10116" s="15"/>
      <c r="B10116" s="5"/>
      <c r="C10116" s="5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</row>
    <row r="10117" spans="1:20" ht="45.75" customHeight="1" x14ac:dyDescent="0.3">
      <c r="A10117" s="15"/>
      <c r="B10117" s="5"/>
      <c r="C10117" s="5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</row>
    <row r="10118" spans="1:20" ht="45.75" customHeight="1" x14ac:dyDescent="0.3">
      <c r="A10118" s="15"/>
      <c r="B10118" s="5"/>
      <c r="C10118" s="5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</row>
    <row r="10119" spans="1:20" ht="45.75" customHeight="1" x14ac:dyDescent="0.3">
      <c r="A10119" s="15"/>
      <c r="B10119" s="5"/>
      <c r="C10119" s="5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</row>
    <row r="10120" spans="1:20" ht="45.75" customHeight="1" x14ac:dyDescent="0.3">
      <c r="A10120" s="15"/>
      <c r="B10120" s="5"/>
      <c r="C10120" s="5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</row>
    <row r="10121" spans="1:20" ht="45.75" customHeight="1" x14ac:dyDescent="0.3">
      <c r="A10121" s="15"/>
      <c r="B10121" s="5"/>
      <c r="C10121" s="5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</row>
    <row r="10122" spans="1:20" ht="45.75" customHeight="1" x14ac:dyDescent="0.3">
      <c r="A10122" s="15"/>
      <c r="B10122" s="5"/>
      <c r="C10122" s="5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</row>
    <row r="10123" spans="1:20" ht="45.75" customHeight="1" x14ac:dyDescent="0.3">
      <c r="A10123" s="15"/>
      <c r="B10123" s="5"/>
      <c r="C10123" s="5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</row>
    <row r="10124" spans="1:20" ht="45.75" customHeight="1" x14ac:dyDescent="0.3">
      <c r="A10124" s="1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</row>
    <row r="10125" spans="1:20" ht="45.75" customHeight="1" x14ac:dyDescent="0.3">
      <c r="A10125" s="15"/>
      <c r="B10125" s="5"/>
      <c r="C10125" s="5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</row>
    <row r="10126" spans="1:20" ht="45.75" customHeight="1" x14ac:dyDescent="0.3">
      <c r="A10126" s="15"/>
      <c r="B10126" s="5"/>
      <c r="C10126" s="5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</row>
    <row r="10127" spans="1:20" ht="45.75" customHeight="1" x14ac:dyDescent="0.3">
      <c r="A10127" s="15"/>
      <c r="B10127" s="5"/>
      <c r="C10127" s="5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</row>
    <row r="10128" spans="1:20" ht="45.75" customHeight="1" x14ac:dyDescent="0.3">
      <c r="A10128" s="15"/>
      <c r="B10128" s="5"/>
      <c r="C10128" s="5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</row>
    <row r="10129" spans="1:20" ht="45.75" customHeight="1" x14ac:dyDescent="0.3">
      <c r="A10129" s="15"/>
      <c r="B10129" s="5"/>
      <c r="C10129" s="5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</row>
    <row r="10130" spans="1:20" ht="45.75" customHeight="1" x14ac:dyDescent="0.3">
      <c r="A10130" s="15"/>
      <c r="B10130" s="5"/>
      <c r="C10130" s="5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</row>
    <row r="10131" spans="1:20" ht="45.75" customHeight="1" x14ac:dyDescent="0.3">
      <c r="A10131" s="15"/>
      <c r="B10131" s="5"/>
      <c r="C10131" s="5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</row>
    <row r="10132" spans="1:20" ht="45.75" customHeight="1" x14ac:dyDescent="0.3">
      <c r="A10132" s="15"/>
      <c r="B10132" s="5"/>
      <c r="C10132" s="5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</row>
    <row r="10133" spans="1:20" ht="45.75" customHeight="1" x14ac:dyDescent="0.3">
      <c r="A10133" s="15"/>
      <c r="B10133" s="5"/>
      <c r="C10133" s="5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</row>
    <row r="10134" spans="1:20" ht="45.75" customHeight="1" x14ac:dyDescent="0.3">
      <c r="A10134" s="15"/>
      <c r="B10134" s="5"/>
      <c r="C10134" s="5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</row>
    <row r="10135" spans="1:20" ht="45.75" customHeight="1" x14ac:dyDescent="0.3">
      <c r="A10135" s="15"/>
      <c r="B10135" s="5"/>
      <c r="C10135" s="5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</row>
    <row r="10136" spans="1:20" ht="45.75" customHeight="1" x14ac:dyDescent="0.3">
      <c r="A10136" s="15"/>
      <c r="B10136" s="5"/>
      <c r="C10136" s="5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</row>
    <row r="10137" spans="1:20" ht="45.75" customHeight="1" x14ac:dyDescent="0.3">
      <c r="A10137" s="15"/>
      <c r="B10137" s="5"/>
      <c r="C10137" s="5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</row>
    <row r="10138" spans="1:20" ht="45.75" customHeight="1" x14ac:dyDescent="0.3">
      <c r="A10138" s="15"/>
      <c r="B10138" s="5"/>
      <c r="C10138" s="5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</row>
    <row r="10139" spans="1:20" ht="45.75" customHeight="1" x14ac:dyDescent="0.3">
      <c r="A10139" s="15"/>
      <c r="B10139" s="5"/>
      <c r="C10139" s="5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</row>
    <row r="10140" spans="1:20" ht="45.75" customHeight="1" x14ac:dyDescent="0.3">
      <c r="A10140" s="15"/>
      <c r="B10140" s="5"/>
      <c r="C10140" s="5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</row>
    <row r="10141" spans="1:20" ht="45.75" customHeight="1" x14ac:dyDescent="0.3">
      <c r="A10141" s="15"/>
      <c r="B10141" s="5"/>
      <c r="C10141" s="5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</row>
    <row r="10142" spans="1:20" ht="45.75" customHeight="1" x14ac:dyDescent="0.3">
      <c r="A10142" s="15"/>
      <c r="B10142" s="5"/>
      <c r="C10142" s="5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</row>
    <row r="10143" spans="1:20" ht="45.75" customHeight="1" x14ac:dyDescent="0.3">
      <c r="A10143" s="15"/>
      <c r="B10143" s="5"/>
      <c r="C10143" s="5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</row>
    <row r="10144" spans="1:20" ht="45.75" customHeight="1" x14ac:dyDescent="0.3">
      <c r="A10144" s="15"/>
      <c r="B10144" s="5"/>
      <c r="C10144" s="5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</row>
    <row r="10145" spans="1:20" ht="45.75" customHeight="1" x14ac:dyDescent="0.3">
      <c r="A10145" s="15"/>
      <c r="B10145" s="5"/>
      <c r="C10145" s="5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</row>
    <row r="10146" spans="1:20" ht="45.75" customHeight="1" x14ac:dyDescent="0.3">
      <c r="A10146" s="15"/>
      <c r="B10146" s="5"/>
      <c r="C10146" s="5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</row>
    <row r="10147" spans="1:20" ht="45.75" customHeight="1" x14ac:dyDescent="0.3">
      <c r="A10147" s="15"/>
      <c r="B10147" s="5"/>
      <c r="C10147" s="5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</row>
    <row r="10148" spans="1:20" ht="45.75" customHeight="1" x14ac:dyDescent="0.3">
      <c r="A10148" s="15"/>
      <c r="B10148" s="5"/>
      <c r="C10148" s="5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</row>
    <row r="10149" spans="1:20" ht="45.75" customHeight="1" x14ac:dyDescent="0.3">
      <c r="A10149" s="15"/>
      <c r="B10149" s="5"/>
      <c r="C10149" s="5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</row>
    <row r="10150" spans="1:20" ht="45.75" customHeight="1" x14ac:dyDescent="0.3">
      <c r="A10150" s="15"/>
      <c r="B10150" s="5"/>
      <c r="C10150" s="5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</row>
    <row r="10151" spans="1:20" ht="45.75" customHeight="1" x14ac:dyDescent="0.3">
      <c r="A10151" s="15"/>
      <c r="B10151" s="5"/>
      <c r="C10151" s="5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</row>
    <row r="10152" spans="1:20" ht="45.75" customHeight="1" x14ac:dyDescent="0.3">
      <c r="A10152" s="15"/>
      <c r="B10152" s="5"/>
      <c r="C10152" s="5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</row>
    <row r="10153" spans="1:20" ht="45.75" customHeight="1" x14ac:dyDescent="0.3">
      <c r="A10153" s="15"/>
      <c r="B10153" s="5"/>
      <c r="C10153" s="5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</row>
    <row r="10154" spans="1:20" ht="45.75" customHeight="1" x14ac:dyDescent="0.3">
      <c r="A10154" s="15"/>
      <c r="B10154" s="5"/>
      <c r="C10154" s="5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</row>
    <row r="10155" spans="1:20" ht="45.75" customHeight="1" x14ac:dyDescent="0.3">
      <c r="A10155" s="15"/>
      <c r="B10155" s="5"/>
      <c r="C10155" s="5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</row>
    <row r="10156" spans="1:20" ht="45.75" customHeight="1" x14ac:dyDescent="0.3">
      <c r="A10156" s="15"/>
      <c r="B10156" s="5"/>
      <c r="C10156" s="5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</row>
    <row r="10157" spans="1:20" ht="45.75" customHeight="1" x14ac:dyDescent="0.3">
      <c r="A10157" s="15"/>
      <c r="B10157" s="5"/>
      <c r="C10157" s="5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</row>
    <row r="10158" spans="1:20" ht="45.75" customHeight="1" x14ac:dyDescent="0.3">
      <c r="A10158" s="15"/>
      <c r="B10158" s="5"/>
      <c r="C10158" s="5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</row>
    <row r="10159" spans="1:20" ht="45.75" customHeight="1" x14ac:dyDescent="0.3">
      <c r="A10159" s="15"/>
      <c r="B10159" s="5"/>
      <c r="C10159" s="5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</row>
    <row r="10160" spans="1:20" ht="45.75" customHeight="1" x14ac:dyDescent="0.3">
      <c r="A10160" s="15"/>
      <c r="B10160" s="5"/>
      <c r="C10160" s="5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</row>
    <row r="10161" spans="1:20" ht="45.75" customHeight="1" x14ac:dyDescent="0.3">
      <c r="A10161" s="15"/>
      <c r="B10161" s="5"/>
      <c r="C10161" s="5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</row>
    <row r="10162" spans="1:20" ht="45.75" customHeight="1" x14ac:dyDescent="0.3">
      <c r="A10162" s="15"/>
      <c r="B10162" s="5"/>
      <c r="C10162" s="5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</row>
    <row r="10163" spans="1:20" ht="45.75" customHeight="1" x14ac:dyDescent="0.3">
      <c r="A10163" s="15"/>
      <c r="B10163" s="5"/>
      <c r="C10163" s="5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</row>
    <row r="10164" spans="1:20" ht="45.75" customHeight="1" x14ac:dyDescent="0.3">
      <c r="A10164" s="15"/>
      <c r="B10164" s="5"/>
      <c r="C10164" s="5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</row>
    <row r="10165" spans="1:20" ht="45.75" customHeight="1" x14ac:dyDescent="0.3">
      <c r="A10165" s="15"/>
      <c r="B10165" s="5"/>
      <c r="C10165" s="5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</row>
    <row r="10166" spans="1:20" ht="45.75" customHeight="1" x14ac:dyDescent="0.3">
      <c r="A10166" s="15"/>
      <c r="B10166" s="5"/>
      <c r="C10166" s="5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</row>
    <row r="10167" spans="1:20" ht="45.75" customHeight="1" x14ac:dyDescent="0.3">
      <c r="A10167" s="15"/>
      <c r="B10167" s="5"/>
      <c r="C10167" s="5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</row>
    <row r="10168" spans="1:20" ht="45.75" customHeight="1" x14ac:dyDescent="0.3">
      <c r="A10168" s="15"/>
      <c r="B10168" s="5"/>
      <c r="C10168" s="5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</row>
    <row r="10169" spans="1:20" ht="45.75" customHeight="1" x14ac:dyDescent="0.3">
      <c r="A10169" s="15"/>
      <c r="B10169" s="5"/>
      <c r="C10169" s="5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</row>
    <row r="10170" spans="1:20" ht="45.75" customHeight="1" x14ac:dyDescent="0.3">
      <c r="A10170" s="15"/>
      <c r="B10170" s="5"/>
      <c r="C10170" s="5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</row>
    <row r="10171" spans="1:20" ht="45.75" customHeight="1" x14ac:dyDescent="0.3">
      <c r="A10171" s="15"/>
      <c r="B10171" s="5"/>
      <c r="C10171" s="5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</row>
    <row r="10172" spans="1:20" ht="45.75" customHeight="1" x14ac:dyDescent="0.3">
      <c r="A10172" s="15"/>
      <c r="B10172" s="5"/>
      <c r="C10172" s="5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</row>
    <row r="10173" spans="1:20" ht="45.75" customHeight="1" x14ac:dyDescent="0.3">
      <c r="A10173" s="15"/>
      <c r="B10173" s="5"/>
      <c r="C10173" s="5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</row>
    <row r="10174" spans="1:20" ht="45.75" customHeight="1" x14ac:dyDescent="0.3">
      <c r="A10174" s="15"/>
      <c r="B10174" s="5"/>
      <c r="C10174" s="5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</row>
    <row r="10175" spans="1:20" ht="45.75" customHeight="1" x14ac:dyDescent="0.3">
      <c r="A10175" s="15"/>
      <c r="B10175" s="5"/>
      <c r="C10175" s="5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</row>
    <row r="10176" spans="1:20" ht="45.75" customHeight="1" x14ac:dyDescent="0.3">
      <c r="A10176" s="15"/>
      <c r="B10176" s="5"/>
      <c r="C10176" s="5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</row>
    <row r="10177" spans="1:20" ht="45.75" customHeight="1" x14ac:dyDescent="0.3">
      <c r="A10177" s="1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</row>
    <row r="10178" spans="1:20" ht="45.75" customHeight="1" x14ac:dyDescent="0.3">
      <c r="A10178" s="15"/>
      <c r="B10178" s="5"/>
      <c r="C10178" s="5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</row>
    <row r="10179" spans="1:20" ht="45.75" customHeight="1" x14ac:dyDescent="0.3">
      <c r="A10179" s="15"/>
      <c r="B10179" s="5"/>
      <c r="C10179" s="5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</row>
    <row r="10180" spans="1:20" ht="45.75" customHeight="1" x14ac:dyDescent="0.3">
      <c r="A10180" s="15"/>
      <c r="B10180" s="5"/>
      <c r="C10180" s="5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</row>
    <row r="10181" spans="1:20" ht="45.75" customHeight="1" x14ac:dyDescent="0.3">
      <c r="A10181" s="15"/>
      <c r="B10181" s="5"/>
      <c r="C10181" s="5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</row>
    <row r="10182" spans="1:20" ht="45.75" customHeight="1" x14ac:dyDescent="0.3">
      <c r="A10182" s="15"/>
      <c r="B10182" s="5"/>
      <c r="C10182" s="5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</row>
    <row r="10183" spans="1:20" ht="45.75" customHeight="1" x14ac:dyDescent="0.3">
      <c r="A10183" s="15"/>
      <c r="B10183" s="5"/>
      <c r="C10183" s="5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</row>
    <row r="10184" spans="1:20" ht="45.75" customHeight="1" x14ac:dyDescent="0.3">
      <c r="A10184" s="15"/>
      <c r="B10184" s="5"/>
      <c r="C10184" s="5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</row>
    <row r="10185" spans="1:20" ht="45.75" customHeight="1" x14ac:dyDescent="0.3">
      <c r="A10185" s="15"/>
      <c r="B10185" s="5"/>
      <c r="C10185" s="5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</row>
    <row r="10186" spans="1:20" ht="45.75" customHeight="1" x14ac:dyDescent="0.3">
      <c r="A10186" s="15"/>
      <c r="B10186" s="5"/>
      <c r="C10186" s="5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</row>
    <row r="10187" spans="1:20" ht="45.75" customHeight="1" x14ac:dyDescent="0.3">
      <c r="A10187" s="15"/>
      <c r="B10187" s="5"/>
      <c r="C10187" s="5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</row>
    <row r="10188" spans="1:20" ht="45.75" customHeight="1" x14ac:dyDescent="0.3">
      <c r="A10188" s="15"/>
      <c r="B10188" s="5"/>
      <c r="C10188" s="5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</row>
    <row r="10189" spans="1:20" ht="45.75" customHeight="1" x14ac:dyDescent="0.3">
      <c r="A10189" s="15"/>
      <c r="B10189" s="5"/>
      <c r="C10189" s="5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</row>
    <row r="10190" spans="1:20" ht="45.75" customHeight="1" x14ac:dyDescent="0.3">
      <c r="A10190" s="15"/>
      <c r="B10190" s="5"/>
      <c r="C10190" s="5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</row>
    <row r="10191" spans="1:20" ht="45.75" customHeight="1" x14ac:dyDescent="0.3">
      <c r="A10191" s="15"/>
      <c r="B10191" s="5"/>
      <c r="C10191" s="5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</row>
    <row r="10192" spans="1:20" ht="45.75" customHeight="1" x14ac:dyDescent="0.3">
      <c r="A10192" s="15"/>
      <c r="B10192" s="5"/>
      <c r="C10192" s="5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</row>
    <row r="10193" spans="1:20" ht="45.75" customHeight="1" x14ac:dyDescent="0.3">
      <c r="A10193" s="15"/>
      <c r="B10193" s="5"/>
      <c r="C10193" s="5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</row>
    <row r="10194" spans="1:20" ht="45.75" customHeight="1" x14ac:dyDescent="0.3">
      <c r="A10194" s="15"/>
      <c r="B10194" s="5"/>
      <c r="C10194" s="5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</row>
    <row r="10195" spans="1:20" ht="45.75" customHeight="1" x14ac:dyDescent="0.3">
      <c r="A10195" s="15"/>
      <c r="B10195" s="5"/>
      <c r="C10195" s="5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</row>
    <row r="10196" spans="1:20" ht="45.75" customHeight="1" x14ac:dyDescent="0.3">
      <c r="A10196" s="15"/>
      <c r="B10196" s="5"/>
      <c r="C10196" s="5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</row>
    <row r="10197" spans="1:20" ht="45.75" customHeight="1" x14ac:dyDescent="0.3">
      <c r="A10197" s="15"/>
      <c r="B10197" s="5"/>
      <c r="C10197" s="5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</row>
    <row r="10198" spans="1:20" ht="45.75" customHeight="1" x14ac:dyDescent="0.3">
      <c r="A10198" s="15"/>
      <c r="B10198" s="5"/>
      <c r="C10198" s="5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</row>
    <row r="10199" spans="1:20" ht="45.75" customHeight="1" x14ac:dyDescent="0.3">
      <c r="A10199" s="15"/>
      <c r="B10199" s="5"/>
      <c r="C10199" s="5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</row>
    <row r="10200" spans="1:20" ht="45.75" customHeight="1" x14ac:dyDescent="0.3">
      <c r="A10200" s="15"/>
      <c r="B10200" s="5"/>
      <c r="C10200" s="5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</row>
    <row r="10201" spans="1:20" ht="45.75" customHeight="1" x14ac:dyDescent="0.3">
      <c r="A10201" s="15"/>
      <c r="B10201" s="5"/>
      <c r="C10201" s="5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</row>
    <row r="10202" spans="1:20" ht="45.75" customHeight="1" x14ac:dyDescent="0.3">
      <c r="A10202" s="15"/>
      <c r="B10202" s="5"/>
      <c r="C10202" s="5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</row>
    <row r="10203" spans="1:20" ht="45.75" customHeight="1" x14ac:dyDescent="0.3">
      <c r="A10203" s="15"/>
      <c r="B10203" s="5"/>
      <c r="C10203" s="5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</row>
    <row r="10204" spans="1:20" ht="45.75" customHeight="1" x14ac:dyDescent="0.3">
      <c r="A10204" s="15"/>
      <c r="B10204" s="5"/>
      <c r="C10204" s="5"/>
      <c r="D10204" s="5"/>
      <c r="E10204" s="5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</row>
    <row r="10205" spans="1:20" ht="45.75" customHeight="1" x14ac:dyDescent="0.3">
      <c r="A10205" s="15"/>
      <c r="B10205" s="5"/>
      <c r="C10205" s="5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</row>
    <row r="10206" spans="1:20" ht="45.75" customHeight="1" x14ac:dyDescent="0.3">
      <c r="A10206" s="15"/>
      <c r="B10206" s="5"/>
      <c r="C10206" s="5"/>
      <c r="D10206" s="5"/>
      <c r="E10206" s="5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</row>
    <row r="10207" spans="1:20" ht="45.75" customHeight="1" x14ac:dyDescent="0.3">
      <c r="A10207" s="15"/>
      <c r="B10207" s="5"/>
      <c r="C10207" s="5"/>
      <c r="D10207" s="5"/>
      <c r="E10207" s="5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</row>
    <row r="10208" spans="1:20" ht="45.75" customHeight="1" x14ac:dyDescent="0.3">
      <c r="A10208" s="15"/>
      <c r="B10208" s="5"/>
      <c r="C10208" s="5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</row>
    <row r="10209" spans="1:20" ht="45.75" customHeight="1" x14ac:dyDescent="0.3">
      <c r="A10209" s="15"/>
      <c r="B10209" s="5"/>
      <c r="C10209" s="5"/>
      <c r="D10209" s="5"/>
      <c r="E10209" s="5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</row>
    <row r="10210" spans="1:20" ht="45.75" customHeight="1" x14ac:dyDescent="0.3">
      <c r="A10210" s="15"/>
      <c r="B10210" s="5"/>
      <c r="C10210" s="5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</row>
    <row r="10211" spans="1:20" ht="45.75" customHeight="1" x14ac:dyDescent="0.3">
      <c r="A10211" s="15"/>
      <c r="B10211" s="5"/>
      <c r="C10211" s="5"/>
      <c r="D10211" s="5"/>
      <c r="E10211" s="5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</row>
    <row r="10212" spans="1:20" ht="45.75" customHeight="1" x14ac:dyDescent="0.3">
      <c r="A10212" s="15"/>
      <c r="B10212" s="5"/>
      <c r="C10212" s="5"/>
      <c r="D10212" s="5"/>
      <c r="E10212" s="5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</row>
    <row r="10213" spans="1:20" ht="45.75" customHeight="1" x14ac:dyDescent="0.3">
      <c r="A10213" s="15"/>
      <c r="B10213" s="5"/>
      <c r="C10213" s="5"/>
      <c r="D10213" s="5"/>
      <c r="E10213" s="5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</row>
    <row r="10214" spans="1:20" ht="45.75" customHeight="1" x14ac:dyDescent="0.3">
      <c r="A10214" s="15"/>
      <c r="B10214" s="5"/>
      <c r="C10214" s="5"/>
      <c r="D10214" s="5"/>
      <c r="E10214" s="5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</row>
    <row r="10215" spans="1:20" ht="45.75" customHeight="1" x14ac:dyDescent="0.3">
      <c r="A10215" s="15"/>
      <c r="B10215" s="5"/>
      <c r="C10215" s="5"/>
      <c r="D10215" s="5"/>
      <c r="E10215" s="5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</row>
    <row r="10216" spans="1:20" ht="45.75" customHeight="1" x14ac:dyDescent="0.3">
      <c r="A10216" s="15"/>
      <c r="B10216" s="5"/>
      <c r="C10216" s="5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</row>
    <row r="10217" spans="1:20" ht="45.75" customHeight="1" x14ac:dyDescent="0.3">
      <c r="A10217" s="15"/>
      <c r="B10217" s="5"/>
      <c r="C10217" s="5"/>
      <c r="D10217" s="5"/>
      <c r="E10217" s="5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</row>
    <row r="10218" spans="1:20" ht="45.75" customHeight="1" x14ac:dyDescent="0.3">
      <c r="A10218" s="15"/>
      <c r="B10218" s="5"/>
      <c r="C10218" s="5"/>
      <c r="D10218" s="5"/>
      <c r="E10218" s="5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</row>
    <row r="10219" spans="1:20" ht="45.75" customHeight="1" x14ac:dyDescent="0.3">
      <c r="A10219" s="15"/>
      <c r="B10219" s="5"/>
      <c r="C10219" s="5"/>
      <c r="D10219" s="5"/>
      <c r="E10219" s="5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</row>
    <row r="10220" spans="1:20" ht="45.75" customHeight="1" x14ac:dyDescent="0.3">
      <c r="A10220" s="15"/>
      <c r="B10220" s="5"/>
      <c r="C10220" s="5"/>
      <c r="D10220" s="5"/>
      <c r="E10220" s="5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</row>
    <row r="10221" spans="1:20" ht="45.75" customHeight="1" x14ac:dyDescent="0.3">
      <c r="A10221" s="15"/>
      <c r="B10221" s="5"/>
      <c r="C10221" s="5"/>
      <c r="D10221" s="5"/>
      <c r="E10221" s="5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</row>
    <row r="10222" spans="1:20" ht="45.75" customHeight="1" x14ac:dyDescent="0.3">
      <c r="A10222" s="15"/>
      <c r="B10222" s="5"/>
      <c r="C10222" s="5"/>
      <c r="D10222" s="5"/>
      <c r="E10222" s="5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</row>
    <row r="10223" spans="1:20" ht="45.75" customHeight="1" x14ac:dyDescent="0.3">
      <c r="A10223" s="15"/>
      <c r="B10223" s="5"/>
      <c r="C10223" s="5"/>
      <c r="D10223" s="5"/>
      <c r="E10223" s="5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</row>
    <row r="10224" spans="1:20" ht="45.75" customHeight="1" x14ac:dyDescent="0.3">
      <c r="A10224" s="15"/>
      <c r="B10224" s="5"/>
      <c r="C10224" s="5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</row>
    <row r="10225" spans="1:20" ht="45.75" customHeight="1" x14ac:dyDescent="0.3">
      <c r="A10225" s="15"/>
      <c r="B10225" s="5"/>
      <c r="C10225" s="5"/>
      <c r="D10225" s="5"/>
      <c r="E10225" s="5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</row>
    <row r="10226" spans="1:20" ht="45.75" customHeight="1" x14ac:dyDescent="0.3">
      <c r="A10226" s="15"/>
      <c r="B10226" s="5"/>
      <c r="C10226" s="5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</row>
    <row r="10227" spans="1:20" ht="45.75" customHeight="1" x14ac:dyDescent="0.3">
      <c r="A10227" s="15"/>
      <c r="B10227" s="5"/>
      <c r="C10227" s="5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</row>
    <row r="10228" spans="1:20" ht="45.75" customHeight="1" x14ac:dyDescent="0.3">
      <c r="A10228" s="15"/>
      <c r="B10228" s="5"/>
      <c r="C10228" s="5"/>
      <c r="D10228" s="5"/>
      <c r="E10228" s="5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</row>
    <row r="10229" spans="1:20" ht="45.75" customHeight="1" x14ac:dyDescent="0.3">
      <c r="A10229" s="15"/>
      <c r="B10229" s="5"/>
      <c r="C10229" s="5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</row>
    <row r="10230" spans="1:20" ht="45.75" customHeight="1" x14ac:dyDescent="0.3">
      <c r="A10230" s="15"/>
      <c r="B10230" s="5"/>
      <c r="C10230" s="5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</row>
    <row r="10231" spans="1:20" ht="45.75" customHeight="1" x14ac:dyDescent="0.3">
      <c r="A10231" s="15"/>
      <c r="B10231" s="5"/>
      <c r="C10231" s="5"/>
      <c r="D10231" s="5"/>
      <c r="E10231" s="5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</row>
    <row r="10232" spans="1:20" ht="45.75" customHeight="1" x14ac:dyDescent="0.3">
      <c r="A10232" s="15"/>
      <c r="B10232" s="5"/>
      <c r="C10232" s="5"/>
      <c r="D10232" s="5"/>
      <c r="E10232" s="5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</row>
    <row r="10233" spans="1:20" ht="45.75" customHeight="1" x14ac:dyDescent="0.3">
      <c r="A10233" s="15"/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</row>
    <row r="10234" spans="1:20" ht="45.75" customHeight="1" x14ac:dyDescent="0.3">
      <c r="A10234" s="15"/>
      <c r="B10234" s="5"/>
      <c r="C10234" s="5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</row>
    <row r="10235" spans="1:20" ht="45.75" customHeight="1" x14ac:dyDescent="0.3">
      <c r="A10235" s="15"/>
      <c r="B10235" s="5"/>
      <c r="C10235" s="5"/>
      <c r="D10235" s="5"/>
      <c r="E10235" s="5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</row>
    <row r="10236" spans="1:20" ht="45.75" customHeight="1" x14ac:dyDescent="0.3">
      <c r="A10236" s="15"/>
      <c r="B10236" s="5"/>
      <c r="C10236" s="5"/>
      <c r="D10236" s="5"/>
      <c r="E10236" s="5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</row>
    <row r="10237" spans="1:20" ht="45.75" customHeight="1" x14ac:dyDescent="0.3">
      <c r="A10237" s="15"/>
      <c r="B10237" s="5"/>
      <c r="C10237" s="5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</row>
    <row r="10238" spans="1:20" ht="45.75" customHeight="1" x14ac:dyDescent="0.3">
      <c r="A10238" s="15"/>
      <c r="B10238" s="5"/>
      <c r="C10238" s="5"/>
      <c r="D10238" s="5"/>
      <c r="E10238" s="5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</row>
    <row r="10239" spans="1:20" ht="45.75" customHeight="1" x14ac:dyDescent="0.3">
      <c r="A10239" s="15"/>
      <c r="B10239" s="5"/>
      <c r="C10239" s="5"/>
      <c r="D10239" s="5"/>
      <c r="E10239" s="5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</row>
    <row r="10240" spans="1:20" ht="45.75" customHeight="1" x14ac:dyDescent="0.3">
      <c r="A10240" s="15"/>
      <c r="B10240" s="5"/>
      <c r="C10240" s="5"/>
      <c r="D10240" s="5"/>
      <c r="E10240" s="5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</row>
    <row r="10241" spans="1:20" ht="45.75" customHeight="1" x14ac:dyDescent="0.3">
      <c r="A10241" s="15"/>
      <c r="B10241" s="5"/>
      <c r="C10241" s="5"/>
      <c r="D10241" s="5"/>
      <c r="E10241" s="5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</row>
    <row r="10242" spans="1:20" ht="45.75" customHeight="1" x14ac:dyDescent="0.3">
      <c r="A10242" s="15"/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</row>
    <row r="10243" spans="1:20" ht="45.75" customHeight="1" x14ac:dyDescent="0.3">
      <c r="A10243" s="15"/>
      <c r="B10243" s="5"/>
      <c r="C10243" s="5"/>
      <c r="D10243" s="5"/>
      <c r="E10243" s="5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</row>
    <row r="10244" spans="1:20" ht="45.75" customHeight="1" x14ac:dyDescent="0.3">
      <c r="A10244" s="15"/>
      <c r="B10244" s="5"/>
      <c r="C10244" s="5"/>
      <c r="D10244" s="5"/>
      <c r="E10244" s="5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</row>
    <row r="10245" spans="1:20" ht="45.75" customHeight="1" x14ac:dyDescent="0.3">
      <c r="A10245" s="15"/>
      <c r="B10245" s="5"/>
      <c r="C10245" s="5"/>
      <c r="D10245" s="5"/>
      <c r="E10245" s="5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</row>
    <row r="10246" spans="1:20" ht="45.75" customHeight="1" x14ac:dyDescent="0.3">
      <c r="A10246" s="15"/>
      <c r="B10246" s="5"/>
      <c r="C10246" s="5"/>
      <c r="D10246" s="5"/>
      <c r="E10246" s="5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</row>
    <row r="10247" spans="1:20" ht="45.75" customHeight="1" x14ac:dyDescent="0.3">
      <c r="A10247" s="15"/>
      <c r="B10247" s="5"/>
      <c r="C10247" s="5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</row>
    <row r="10248" spans="1:20" ht="45.75" customHeight="1" x14ac:dyDescent="0.3">
      <c r="A10248" s="15"/>
      <c r="B10248" s="5"/>
      <c r="C10248" s="5"/>
      <c r="D10248" s="5"/>
      <c r="E10248" s="5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</row>
    <row r="10249" spans="1:20" ht="45.75" customHeight="1" x14ac:dyDescent="0.3">
      <c r="A10249" s="15"/>
      <c r="B10249" s="5"/>
      <c r="C10249" s="5"/>
      <c r="D10249" s="5"/>
      <c r="E10249" s="5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</row>
    <row r="10250" spans="1:20" ht="45.75" customHeight="1" x14ac:dyDescent="0.3">
      <c r="A10250" s="15"/>
      <c r="B10250" s="5"/>
      <c r="C10250" s="5"/>
      <c r="D10250" s="5"/>
      <c r="E10250" s="5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</row>
    <row r="10251" spans="1:20" ht="45.75" customHeight="1" x14ac:dyDescent="0.3">
      <c r="A10251" s="15"/>
      <c r="B10251" s="5"/>
      <c r="C10251" s="5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</row>
    <row r="10252" spans="1:20" ht="45.75" customHeight="1" x14ac:dyDescent="0.3">
      <c r="A10252" s="15"/>
      <c r="B10252" s="5"/>
      <c r="C10252" s="5"/>
      <c r="D10252" s="5"/>
      <c r="E10252" s="5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</row>
    <row r="10253" spans="1:20" ht="45.75" customHeight="1" x14ac:dyDescent="0.3">
      <c r="A10253" s="15"/>
      <c r="B10253" s="5"/>
      <c r="C10253" s="5"/>
      <c r="D10253" s="5"/>
      <c r="E10253" s="5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</row>
    <row r="10254" spans="1:20" ht="45.75" customHeight="1" x14ac:dyDescent="0.3">
      <c r="A10254" s="15"/>
      <c r="B10254" s="5"/>
      <c r="C10254" s="5"/>
      <c r="D10254" s="5"/>
      <c r="E10254" s="5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</row>
    <row r="10255" spans="1:20" ht="45.75" customHeight="1" x14ac:dyDescent="0.3">
      <c r="A10255" s="15"/>
      <c r="B10255" s="5"/>
      <c r="C10255" s="5"/>
      <c r="D10255" s="5"/>
      <c r="E10255" s="5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</row>
    <row r="10256" spans="1:20" ht="45.75" customHeight="1" x14ac:dyDescent="0.3">
      <c r="A10256" s="15"/>
      <c r="B10256" s="5"/>
      <c r="C10256" s="5"/>
      <c r="D10256" s="5"/>
      <c r="E10256" s="5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</row>
    <row r="10257" spans="1:20" ht="45.75" customHeight="1" x14ac:dyDescent="0.3">
      <c r="A10257" s="15"/>
      <c r="B10257" s="5"/>
      <c r="C10257" s="5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</row>
    <row r="10258" spans="1:20" ht="45.75" customHeight="1" x14ac:dyDescent="0.3">
      <c r="A10258" s="15"/>
      <c r="B10258" s="5"/>
      <c r="C10258" s="5"/>
      <c r="D10258" s="5"/>
      <c r="E10258" s="5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</row>
    <row r="10259" spans="1:20" ht="45.75" customHeight="1" x14ac:dyDescent="0.3">
      <c r="A10259" s="15"/>
      <c r="B10259" s="5"/>
      <c r="C10259" s="5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</row>
    <row r="10260" spans="1:20" ht="45.75" customHeight="1" x14ac:dyDescent="0.3">
      <c r="A10260" s="15"/>
      <c r="B10260" s="5"/>
      <c r="C10260" s="5"/>
      <c r="D10260" s="5"/>
      <c r="E10260" s="5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</row>
    <row r="10261" spans="1:20" ht="45.75" customHeight="1" x14ac:dyDescent="0.3">
      <c r="A10261" s="15"/>
      <c r="B10261" s="5"/>
      <c r="C10261" s="5"/>
      <c r="D10261" s="5"/>
      <c r="E10261" s="5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</row>
    <row r="10262" spans="1:20" ht="45.75" customHeight="1" x14ac:dyDescent="0.3">
      <c r="A10262" s="15"/>
      <c r="B10262" s="5"/>
      <c r="C10262" s="5"/>
      <c r="D10262" s="5"/>
      <c r="E10262" s="5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</row>
    <row r="10263" spans="1:20" ht="45.75" customHeight="1" x14ac:dyDescent="0.3">
      <c r="A10263" s="15"/>
      <c r="B10263" s="5"/>
      <c r="C10263" s="5"/>
      <c r="D10263" s="5"/>
      <c r="E10263" s="5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</row>
    <row r="10264" spans="1:20" ht="45.75" customHeight="1" x14ac:dyDescent="0.3">
      <c r="A10264" s="15"/>
      <c r="B10264" s="5"/>
      <c r="C10264" s="5"/>
      <c r="D10264" s="5"/>
      <c r="E10264" s="5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</row>
    <row r="10265" spans="1:20" ht="45.75" customHeight="1" x14ac:dyDescent="0.3">
      <c r="A10265" s="15"/>
      <c r="B10265" s="5"/>
      <c r="C10265" s="5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</row>
    <row r="10266" spans="1:20" ht="45.75" customHeight="1" x14ac:dyDescent="0.3">
      <c r="A10266" s="15"/>
      <c r="B10266" s="5"/>
      <c r="C10266" s="5"/>
      <c r="D10266" s="5"/>
      <c r="E10266" s="5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</row>
    <row r="10267" spans="1:20" ht="45.75" customHeight="1" x14ac:dyDescent="0.3">
      <c r="A10267" s="15"/>
      <c r="B10267" s="5"/>
      <c r="C10267" s="5"/>
      <c r="D10267" s="5"/>
      <c r="E10267" s="5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</row>
    <row r="10268" spans="1:20" ht="45.75" customHeight="1" x14ac:dyDescent="0.3">
      <c r="A10268" s="15"/>
      <c r="B10268" s="5"/>
      <c r="C10268" s="5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</row>
    <row r="10269" spans="1:20" ht="45.75" customHeight="1" x14ac:dyDescent="0.3">
      <c r="A10269" s="15"/>
      <c r="B10269" s="5"/>
      <c r="C10269" s="5"/>
      <c r="D10269" s="5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</row>
    <row r="10270" spans="1:20" ht="45.75" customHeight="1" x14ac:dyDescent="0.3">
      <c r="A10270" s="15"/>
      <c r="B10270" s="5"/>
      <c r="C10270" s="5"/>
      <c r="D10270" s="5"/>
      <c r="E10270" s="5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</row>
    <row r="10271" spans="1:20" ht="45.75" customHeight="1" x14ac:dyDescent="0.3">
      <c r="A10271" s="15"/>
      <c r="B10271" s="5"/>
      <c r="C10271" s="5"/>
      <c r="D10271" s="5"/>
      <c r="E10271" s="5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</row>
    <row r="10272" spans="1:20" ht="45.75" customHeight="1" x14ac:dyDescent="0.3">
      <c r="A10272" s="15"/>
      <c r="B10272" s="5"/>
      <c r="C10272" s="5"/>
      <c r="D10272" s="5"/>
      <c r="E10272" s="5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</row>
    <row r="10273" spans="1:20" ht="45.75" customHeight="1" x14ac:dyDescent="0.3">
      <c r="A10273" s="15"/>
      <c r="B10273" s="5"/>
      <c r="C10273" s="5"/>
      <c r="D10273" s="5"/>
      <c r="E10273" s="5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</row>
    <row r="10274" spans="1:20" ht="45.75" customHeight="1" x14ac:dyDescent="0.3">
      <c r="A10274" s="15"/>
      <c r="B10274" s="5"/>
      <c r="C10274" s="5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</row>
    <row r="10275" spans="1:20" ht="45.75" customHeight="1" x14ac:dyDescent="0.3">
      <c r="A10275" s="15"/>
      <c r="B10275" s="5"/>
      <c r="C10275" s="5"/>
      <c r="D10275" s="5"/>
      <c r="E10275" s="5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</row>
    <row r="10276" spans="1:20" ht="45.75" customHeight="1" x14ac:dyDescent="0.3">
      <c r="A10276" s="15"/>
      <c r="B10276" s="5"/>
      <c r="C10276" s="5"/>
      <c r="D10276" s="5"/>
      <c r="E10276" s="5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</row>
    <row r="10277" spans="1:20" ht="45.75" customHeight="1" x14ac:dyDescent="0.3">
      <c r="A10277" s="15"/>
      <c r="B10277" s="5"/>
      <c r="C10277" s="5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</row>
    <row r="10278" spans="1:20" ht="45.75" customHeight="1" x14ac:dyDescent="0.3">
      <c r="A10278" s="15"/>
      <c r="B10278" s="5"/>
      <c r="C10278" s="5"/>
      <c r="D10278" s="5"/>
      <c r="E10278" s="5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</row>
    <row r="10279" spans="1:20" ht="45.75" customHeight="1" x14ac:dyDescent="0.3">
      <c r="A10279" s="15"/>
      <c r="B10279" s="5"/>
      <c r="C10279" s="5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</row>
    <row r="10280" spans="1:20" ht="45.75" customHeight="1" x14ac:dyDescent="0.3">
      <c r="A10280" s="15"/>
      <c r="B10280" s="5"/>
      <c r="C10280" s="5"/>
      <c r="D10280" s="5"/>
      <c r="E10280" s="5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</row>
    <row r="10281" spans="1:20" ht="45.75" customHeight="1" x14ac:dyDescent="0.3">
      <c r="A10281" s="15"/>
      <c r="B10281" s="5"/>
      <c r="C10281" s="5"/>
      <c r="D10281" s="5"/>
      <c r="E10281" s="5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</row>
    <row r="10282" spans="1:20" ht="45.75" customHeight="1" x14ac:dyDescent="0.3">
      <c r="A10282" s="15"/>
      <c r="B10282" s="5"/>
      <c r="C10282" s="5"/>
      <c r="D10282" s="5"/>
      <c r="E10282" s="5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</row>
    <row r="10283" spans="1:20" ht="45.75" customHeight="1" x14ac:dyDescent="0.3">
      <c r="A10283" s="15"/>
      <c r="B10283" s="5"/>
      <c r="C10283" s="5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</row>
    <row r="10284" spans="1:20" ht="45.75" customHeight="1" x14ac:dyDescent="0.3">
      <c r="A10284" s="15"/>
      <c r="B10284" s="5"/>
      <c r="C10284" s="5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</row>
    <row r="10285" spans="1:20" ht="45.75" customHeight="1" x14ac:dyDescent="0.3">
      <c r="A10285" s="15"/>
      <c r="B10285" s="5"/>
      <c r="C10285" s="5"/>
      <c r="D10285" s="5"/>
      <c r="E10285" s="5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</row>
    <row r="10286" spans="1:20" ht="45.75" customHeight="1" x14ac:dyDescent="0.3">
      <c r="A10286" s="15"/>
      <c r="B10286" s="5"/>
      <c r="C10286" s="5"/>
      <c r="D10286" s="5"/>
      <c r="E10286" s="5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</row>
    <row r="10287" spans="1:20" ht="45.75" customHeight="1" x14ac:dyDescent="0.3">
      <c r="A10287" s="15"/>
      <c r="B10287" s="5"/>
      <c r="C10287" s="5"/>
      <c r="D10287" s="5"/>
      <c r="E10287" s="5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</row>
    <row r="10288" spans="1:20" ht="45.75" customHeight="1" x14ac:dyDescent="0.3">
      <c r="A10288" s="15"/>
      <c r="B10288" s="5"/>
      <c r="C10288" s="5"/>
      <c r="D10288" s="5"/>
      <c r="E10288" s="5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</row>
    <row r="10289" spans="1:20" ht="45.75" customHeight="1" x14ac:dyDescent="0.3">
      <c r="A10289" s="15"/>
      <c r="B10289" s="5"/>
      <c r="C10289" s="5"/>
      <c r="D10289" s="5"/>
      <c r="E10289" s="5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</row>
    <row r="10290" spans="1:20" ht="45.75" customHeight="1" x14ac:dyDescent="0.3">
      <c r="A10290" s="15"/>
      <c r="B10290" s="5"/>
      <c r="C10290" s="5"/>
      <c r="D10290" s="5"/>
      <c r="E10290" s="5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</row>
    <row r="10291" spans="1:20" ht="45.75" customHeight="1" x14ac:dyDescent="0.3">
      <c r="A10291" s="15"/>
      <c r="B10291" s="5"/>
      <c r="C10291" s="5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</row>
    <row r="10292" spans="1:20" ht="45.75" customHeight="1" x14ac:dyDescent="0.3">
      <c r="A10292" s="15"/>
      <c r="B10292" s="5"/>
      <c r="C10292" s="5"/>
      <c r="D10292" s="5"/>
      <c r="E10292" s="5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</row>
    <row r="10293" spans="1:20" ht="45.75" customHeight="1" x14ac:dyDescent="0.3">
      <c r="A10293" s="15"/>
      <c r="B10293" s="5"/>
      <c r="C10293" s="5"/>
      <c r="D10293" s="5"/>
      <c r="E10293" s="5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</row>
    <row r="10294" spans="1:20" ht="45.75" customHeight="1" x14ac:dyDescent="0.3">
      <c r="A10294" s="15"/>
      <c r="B10294" s="5"/>
      <c r="C10294" s="5"/>
      <c r="D10294" s="5"/>
      <c r="E10294" s="5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</row>
    <row r="10295" spans="1:20" ht="45.75" customHeight="1" x14ac:dyDescent="0.3">
      <c r="A10295" s="15"/>
      <c r="B10295" s="5"/>
      <c r="C10295" s="5"/>
      <c r="D10295" s="5"/>
      <c r="E10295" s="5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</row>
    <row r="10296" spans="1:20" ht="45.75" customHeight="1" x14ac:dyDescent="0.3">
      <c r="A10296" s="15"/>
      <c r="B10296" s="5"/>
      <c r="C10296" s="5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</row>
    <row r="10297" spans="1:20" ht="45.75" customHeight="1" x14ac:dyDescent="0.3">
      <c r="A10297" s="15"/>
      <c r="B10297" s="5"/>
      <c r="C10297" s="5"/>
      <c r="D10297" s="5"/>
      <c r="E10297" s="5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</row>
    <row r="10298" spans="1:20" ht="45.75" customHeight="1" x14ac:dyDescent="0.3">
      <c r="A10298" s="15"/>
      <c r="B10298" s="5"/>
      <c r="C10298" s="5"/>
      <c r="D10298" s="5"/>
      <c r="E10298" s="5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</row>
    <row r="10299" spans="1:20" ht="45.75" customHeight="1" x14ac:dyDescent="0.3">
      <c r="A10299" s="15"/>
      <c r="B10299" s="5"/>
      <c r="C10299" s="5"/>
      <c r="D10299" s="5"/>
      <c r="E10299" s="5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</row>
    <row r="10300" spans="1:20" ht="45.75" customHeight="1" x14ac:dyDescent="0.3">
      <c r="A10300" s="15"/>
      <c r="B10300" s="5"/>
      <c r="C10300" s="5"/>
      <c r="D10300" s="5"/>
      <c r="E10300" s="5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</row>
    <row r="10301" spans="1:20" ht="45.75" customHeight="1" x14ac:dyDescent="0.3">
      <c r="A10301" s="15"/>
      <c r="B10301" s="5"/>
      <c r="C10301" s="5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</row>
    <row r="10302" spans="1:20" ht="45.75" customHeight="1" x14ac:dyDescent="0.3">
      <c r="A10302" s="15"/>
      <c r="B10302" s="5"/>
      <c r="C10302" s="5"/>
      <c r="D10302" s="5"/>
      <c r="E10302" s="5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</row>
    <row r="10303" spans="1:20" ht="45.75" customHeight="1" x14ac:dyDescent="0.3">
      <c r="A10303" s="15"/>
      <c r="B10303" s="5"/>
      <c r="C10303" s="5"/>
      <c r="D10303" s="5"/>
      <c r="E10303" s="5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</row>
    <row r="10304" spans="1:20" ht="45.75" customHeight="1" x14ac:dyDescent="0.3">
      <c r="A10304" s="15"/>
      <c r="B10304" s="5"/>
      <c r="C10304" s="5"/>
      <c r="D10304" s="5"/>
      <c r="E10304" s="5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</row>
    <row r="10305" spans="1:20" ht="45.75" customHeight="1" x14ac:dyDescent="0.3">
      <c r="A10305" s="15"/>
      <c r="B10305" s="5"/>
      <c r="C10305" s="5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</row>
    <row r="10306" spans="1:20" ht="45.75" customHeight="1" x14ac:dyDescent="0.3">
      <c r="A10306" s="15"/>
      <c r="B10306" s="5"/>
      <c r="C10306" s="5"/>
      <c r="D10306" s="5"/>
      <c r="E10306" s="5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</row>
    <row r="10307" spans="1:20" ht="45.75" customHeight="1" x14ac:dyDescent="0.3">
      <c r="A10307" s="15"/>
      <c r="B10307" s="5"/>
      <c r="C10307" s="5"/>
      <c r="D10307" s="5"/>
      <c r="E10307" s="5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</row>
    <row r="10308" spans="1:20" ht="45.75" customHeight="1" x14ac:dyDescent="0.3">
      <c r="A10308" s="15"/>
      <c r="B10308" s="5"/>
      <c r="C10308" s="5"/>
      <c r="D10308" s="5"/>
      <c r="E10308" s="5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</row>
    <row r="10309" spans="1:20" ht="45.75" customHeight="1" x14ac:dyDescent="0.3">
      <c r="A10309" s="15"/>
      <c r="B10309" s="5"/>
      <c r="C10309" s="5"/>
      <c r="D10309" s="5"/>
      <c r="E10309" s="5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</row>
    <row r="10310" spans="1:20" ht="45.75" customHeight="1" x14ac:dyDescent="0.3">
      <c r="A10310" s="15"/>
      <c r="B10310" s="5"/>
      <c r="C10310" s="5"/>
      <c r="D10310" s="5"/>
      <c r="E10310" s="5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</row>
    <row r="10311" spans="1:20" ht="45.75" customHeight="1" x14ac:dyDescent="0.3">
      <c r="A10311" s="15"/>
      <c r="B10311" s="5"/>
      <c r="C10311" s="5"/>
      <c r="D10311" s="5"/>
      <c r="E10311" s="5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</row>
    <row r="10312" spans="1:20" ht="45.75" customHeight="1" x14ac:dyDescent="0.3">
      <c r="A10312" s="15"/>
      <c r="B10312" s="5"/>
      <c r="C10312" s="5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</row>
    <row r="10313" spans="1:20" ht="45.75" customHeight="1" x14ac:dyDescent="0.3">
      <c r="A10313" s="15"/>
      <c r="B10313" s="5"/>
      <c r="C10313" s="5"/>
      <c r="D10313" s="5"/>
      <c r="E10313" s="5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</row>
    <row r="10314" spans="1:20" ht="45.75" customHeight="1" x14ac:dyDescent="0.3">
      <c r="A10314" s="15"/>
      <c r="B10314" s="5"/>
      <c r="C10314" s="5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</row>
    <row r="10315" spans="1:20" ht="45.75" customHeight="1" x14ac:dyDescent="0.3">
      <c r="A10315" s="15"/>
      <c r="B10315" s="5"/>
      <c r="C10315" s="5"/>
      <c r="D10315" s="5"/>
      <c r="E10315" s="5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</row>
    <row r="10316" spans="1:20" ht="45.75" customHeight="1" x14ac:dyDescent="0.3">
      <c r="A10316" s="15"/>
      <c r="B10316" s="5"/>
      <c r="C10316" s="5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</row>
    <row r="10317" spans="1:20" ht="45.75" customHeight="1" x14ac:dyDescent="0.3">
      <c r="A10317" s="15"/>
      <c r="B10317" s="5"/>
      <c r="C10317" s="5"/>
      <c r="D10317" s="5"/>
      <c r="E10317" s="5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</row>
    <row r="10318" spans="1:20" ht="45.75" customHeight="1" x14ac:dyDescent="0.3">
      <c r="A10318" s="15"/>
      <c r="B10318" s="5"/>
      <c r="C10318" s="5"/>
      <c r="D10318" s="5"/>
      <c r="E10318" s="5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</row>
    <row r="10319" spans="1:20" ht="45.75" customHeight="1" x14ac:dyDescent="0.3">
      <c r="A10319" s="15"/>
      <c r="B10319" s="5"/>
      <c r="C10319" s="5"/>
      <c r="D10319" s="5"/>
      <c r="E10319" s="5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</row>
    <row r="10320" spans="1:20" ht="45.75" customHeight="1" x14ac:dyDescent="0.3">
      <c r="A10320" s="15"/>
      <c r="B10320" s="5"/>
      <c r="C10320" s="5"/>
      <c r="D10320" s="5"/>
      <c r="E10320" s="5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</row>
    <row r="10321" spans="1:20" ht="45.75" customHeight="1" x14ac:dyDescent="0.3">
      <c r="A10321" s="15"/>
      <c r="B10321" s="5"/>
      <c r="C10321" s="5"/>
      <c r="D10321" s="5"/>
      <c r="E10321" s="5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</row>
    <row r="10322" spans="1:20" ht="45.75" customHeight="1" x14ac:dyDescent="0.3">
      <c r="A10322" s="15"/>
      <c r="B10322" s="5"/>
      <c r="C10322" s="5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</row>
    <row r="10323" spans="1:20" ht="45.75" customHeight="1" x14ac:dyDescent="0.3">
      <c r="A10323" s="15"/>
      <c r="B10323" s="5"/>
      <c r="C10323" s="5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</row>
    <row r="10324" spans="1:20" ht="45.75" customHeight="1" x14ac:dyDescent="0.3">
      <c r="A10324" s="15"/>
      <c r="B10324" s="5"/>
      <c r="C10324" s="5"/>
      <c r="D10324" s="5"/>
      <c r="E10324" s="5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</row>
    <row r="10325" spans="1:20" ht="45.75" customHeight="1" x14ac:dyDescent="0.3">
      <c r="A10325" s="15"/>
      <c r="B10325" s="5"/>
      <c r="C10325" s="5"/>
      <c r="D10325" s="5"/>
      <c r="E10325" s="5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</row>
    <row r="10326" spans="1:20" ht="45.75" customHeight="1" x14ac:dyDescent="0.3">
      <c r="A10326" s="15"/>
      <c r="B10326" s="5"/>
      <c r="C10326" s="5"/>
      <c r="D10326" s="5"/>
      <c r="E10326" s="5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</row>
    <row r="10327" spans="1:20" ht="45.75" customHeight="1" x14ac:dyDescent="0.3">
      <c r="A10327" s="15"/>
      <c r="B10327" s="5"/>
      <c r="C10327" s="5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</row>
    <row r="10328" spans="1:20" ht="45.75" customHeight="1" x14ac:dyDescent="0.3">
      <c r="A10328" s="15"/>
      <c r="B10328" s="5"/>
      <c r="C10328" s="5"/>
      <c r="D10328" s="5"/>
      <c r="E10328" s="5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</row>
    <row r="10329" spans="1:20" ht="45.75" customHeight="1" x14ac:dyDescent="0.3">
      <c r="A10329" s="15"/>
      <c r="B10329" s="5"/>
      <c r="C10329" s="5"/>
      <c r="D10329" s="5"/>
      <c r="E10329" s="5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</row>
    <row r="10330" spans="1:20" ht="45.75" customHeight="1" x14ac:dyDescent="0.3">
      <c r="A10330" s="15"/>
      <c r="B10330" s="5"/>
      <c r="C10330" s="5"/>
      <c r="D10330" s="5"/>
      <c r="E10330" s="5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</row>
    <row r="10331" spans="1:20" ht="45.75" customHeight="1" x14ac:dyDescent="0.3">
      <c r="A10331" s="15"/>
      <c r="B10331" s="5"/>
      <c r="C10331" s="5"/>
      <c r="D10331" s="5"/>
      <c r="E10331" s="5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</row>
    <row r="10332" spans="1:20" ht="45.75" customHeight="1" x14ac:dyDescent="0.3">
      <c r="A10332" s="15"/>
      <c r="B10332" s="5"/>
      <c r="C10332" s="5"/>
      <c r="D10332" s="5"/>
      <c r="E10332" s="5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</row>
    <row r="10333" spans="1:20" ht="45.75" customHeight="1" x14ac:dyDescent="0.3">
      <c r="A10333" s="15"/>
      <c r="B10333" s="5"/>
      <c r="C10333" s="5"/>
      <c r="D10333" s="5"/>
      <c r="E10333" s="5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</row>
    <row r="10334" spans="1:20" ht="45.75" customHeight="1" x14ac:dyDescent="0.3">
      <c r="A10334" s="15"/>
      <c r="B10334" s="5"/>
      <c r="C10334" s="5"/>
      <c r="D10334" s="5"/>
      <c r="E10334" s="5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</row>
    <row r="10335" spans="1:20" ht="45.75" customHeight="1" x14ac:dyDescent="0.3">
      <c r="A10335" s="15"/>
      <c r="B10335" s="5"/>
      <c r="C10335" s="5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</row>
    <row r="10336" spans="1:20" ht="45.75" customHeight="1" x14ac:dyDescent="0.3">
      <c r="A10336" s="15"/>
      <c r="B10336" s="5"/>
      <c r="C10336" s="5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</row>
    <row r="10337" spans="1:20" ht="45.75" customHeight="1" x14ac:dyDescent="0.3">
      <c r="A10337" s="15"/>
      <c r="B10337" s="5"/>
      <c r="C10337" s="5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</row>
    <row r="10338" spans="1:20" ht="45.75" customHeight="1" x14ac:dyDescent="0.3">
      <c r="A10338" s="15"/>
      <c r="B10338" s="5"/>
      <c r="C10338" s="5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</row>
    <row r="10339" spans="1:20" ht="45.75" customHeight="1" x14ac:dyDescent="0.3">
      <c r="A10339" s="15"/>
      <c r="B10339" s="5"/>
      <c r="C10339" s="5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</row>
    <row r="10340" spans="1:20" ht="45.75" customHeight="1" x14ac:dyDescent="0.3">
      <c r="A10340" s="15"/>
      <c r="B10340" s="5"/>
      <c r="C10340" s="5"/>
      <c r="D10340" s="5"/>
      <c r="E10340" s="5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</row>
    <row r="10341" spans="1:20" ht="45.75" customHeight="1" x14ac:dyDescent="0.3">
      <c r="A10341" s="15"/>
      <c r="B10341" s="5"/>
      <c r="C10341" s="5"/>
      <c r="D10341" s="5"/>
      <c r="E10341" s="5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</row>
    <row r="10342" spans="1:20" ht="45.75" customHeight="1" x14ac:dyDescent="0.3">
      <c r="A10342" s="15"/>
      <c r="B10342" s="5"/>
      <c r="C10342" s="5"/>
      <c r="D10342" s="5"/>
      <c r="E10342" s="5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</row>
    <row r="10343" spans="1:20" ht="45.75" customHeight="1" x14ac:dyDescent="0.3">
      <c r="A10343" s="15"/>
      <c r="B10343" s="5"/>
      <c r="C10343" s="5"/>
      <c r="D10343" s="5"/>
      <c r="E10343" s="5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</row>
    <row r="10344" spans="1:20" ht="45.75" customHeight="1" x14ac:dyDescent="0.3">
      <c r="A10344" s="15"/>
      <c r="B10344" s="5"/>
      <c r="C10344" s="5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</row>
    <row r="10345" spans="1:20" ht="45.75" customHeight="1" x14ac:dyDescent="0.3">
      <c r="A10345" s="15"/>
      <c r="B10345" s="5"/>
      <c r="C10345" s="5"/>
      <c r="D10345" s="5"/>
      <c r="E10345" s="5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</row>
    <row r="10346" spans="1:20" ht="45.75" customHeight="1" x14ac:dyDescent="0.3">
      <c r="A10346" s="15"/>
      <c r="B10346" s="5"/>
      <c r="C10346" s="5"/>
      <c r="D10346" s="5"/>
      <c r="E10346" s="5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</row>
    <row r="10347" spans="1:20" ht="45.75" customHeight="1" x14ac:dyDescent="0.3">
      <c r="A10347" s="15"/>
      <c r="B10347" s="5"/>
      <c r="C10347" s="5"/>
      <c r="D10347" s="5"/>
      <c r="E10347" s="5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</row>
    <row r="10348" spans="1:20" ht="45.75" customHeight="1" x14ac:dyDescent="0.3">
      <c r="A10348" s="15"/>
      <c r="B10348" s="5"/>
      <c r="C10348" s="5"/>
      <c r="D10348" s="5"/>
      <c r="E10348" s="5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</row>
    <row r="10349" spans="1:20" ht="45.75" customHeight="1" x14ac:dyDescent="0.3">
      <c r="A10349" s="15"/>
      <c r="B10349" s="5"/>
      <c r="C10349" s="5"/>
      <c r="D10349" s="5"/>
      <c r="E10349" s="5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</row>
    <row r="10350" spans="1:20" ht="45.75" customHeight="1" x14ac:dyDescent="0.3">
      <c r="A10350" s="15"/>
      <c r="B10350" s="5"/>
      <c r="C10350" s="5"/>
      <c r="D10350" s="5"/>
      <c r="E10350" s="5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</row>
    <row r="10351" spans="1:20" ht="45.75" customHeight="1" x14ac:dyDescent="0.3">
      <c r="A10351" s="15"/>
      <c r="B10351" s="5"/>
      <c r="C10351" s="5"/>
      <c r="D10351" s="5"/>
      <c r="E10351" s="5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</row>
    <row r="10352" spans="1:20" ht="45.75" customHeight="1" x14ac:dyDescent="0.3">
      <c r="A10352" s="15"/>
      <c r="B10352" s="5"/>
      <c r="C10352" s="5"/>
      <c r="D10352" s="5"/>
      <c r="E10352" s="5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</row>
    <row r="10353" spans="1:20" ht="45.75" customHeight="1" x14ac:dyDescent="0.3">
      <c r="A10353" s="15"/>
      <c r="B10353" s="5"/>
      <c r="C10353" s="5"/>
      <c r="D10353" s="5"/>
      <c r="E10353" s="5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</row>
    <row r="10354" spans="1:20" ht="45.75" customHeight="1" x14ac:dyDescent="0.3">
      <c r="A10354" s="15"/>
      <c r="B10354" s="5"/>
      <c r="C10354" s="5"/>
      <c r="D10354" s="5"/>
      <c r="E10354" s="5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</row>
    <row r="10355" spans="1:20" ht="45.75" customHeight="1" x14ac:dyDescent="0.3">
      <c r="A10355" s="15"/>
      <c r="B10355" s="5"/>
      <c r="C10355" s="5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</row>
    <row r="10356" spans="1:20" ht="45.75" customHeight="1" x14ac:dyDescent="0.3">
      <c r="A10356" s="15"/>
      <c r="B10356" s="5"/>
      <c r="C10356" s="5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</row>
    <row r="10357" spans="1:20" ht="45.75" customHeight="1" x14ac:dyDescent="0.3">
      <c r="A10357" s="15"/>
      <c r="B10357" s="5"/>
      <c r="C10357" s="5"/>
      <c r="D10357" s="5"/>
      <c r="E10357" s="5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</row>
    <row r="10358" spans="1:20" ht="45.75" customHeight="1" x14ac:dyDescent="0.3">
      <c r="A10358" s="15"/>
      <c r="B10358" s="5"/>
      <c r="C10358" s="5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</row>
    <row r="10359" spans="1:20" ht="45.75" customHeight="1" x14ac:dyDescent="0.3">
      <c r="A10359" s="15"/>
      <c r="B10359" s="5"/>
      <c r="C10359" s="5"/>
      <c r="D10359" s="5"/>
      <c r="E10359" s="5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</row>
    <row r="10360" spans="1:20" ht="45.75" customHeight="1" x14ac:dyDescent="0.3">
      <c r="A10360" s="15"/>
      <c r="B10360" s="5"/>
      <c r="C10360" s="5"/>
      <c r="D10360" s="5"/>
      <c r="E10360" s="5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</row>
    <row r="10361" spans="1:20" ht="45.75" customHeight="1" x14ac:dyDescent="0.3">
      <c r="A10361" s="15"/>
      <c r="B10361" s="5"/>
      <c r="C10361" s="5"/>
      <c r="D10361" s="5"/>
      <c r="E10361" s="5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</row>
    <row r="10362" spans="1:20" ht="45.75" customHeight="1" x14ac:dyDescent="0.3">
      <c r="A10362" s="15"/>
      <c r="B10362" s="5"/>
      <c r="C10362" s="5"/>
      <c r="D10362" s="5"/>
      <c r="E10362" s="5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</row>
    <row r="10363" spans="1:20" ht="45.75" customHeight="1" x14ac:dyDescent="0.3">
      <c r="A10363" s="15"/>
      <c r="B10363" s="5"/>
      <c r="C10363" s="5"/>
      <c r="D10363" s="5"/>
      <c r="E10363" s="5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</row>
    <row r="10364" spans="1:20" ht="45.75" customHeight="1" x14ac:dyDescent="0.3">
      <c r="A10364" s="15"/>
      <c r="B10364" s="5"/>
      <c r="C10364" s="5"/>
      <c r="D10364" s="5"/>
      <c r="E10364" s="5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</row>
    <row r="10365" spans="1:20" ht="45.75" customHeight="1" x14ac:dyDescent="0.3">
      <c r="A10365" s="15"/>
      <c r="B10365" s="5"/>
      <c r="C10365" s="5"/>
      <c r="D10365" s="5"/>
      <c r="E10365" s="5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</row>
    <row r="10366" spans="1:20" ht="45.75" customHeight="1" x14ac:dyDescent="0.3">
      <c r="A10366" s="15"/>
      <c r="B10366" s="5"/>
      <c r="C10366" s="5"/>
      <c r="D10366" s="5"/>
      <c r="E10366" s="5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</row>
    <row r="10367" spans="1:20" ht="45.75" customHeight="1" x14ac:dyDescent="0.3">
      <c r="A10367" s="15"/>
      <c r="B10367" s="5"/>
      <c r="C10367" s="5"/>
      <c r="D10367" s="5"/>
      <c r="E10367" s="5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</row>
    <row r="10368" spans="1:20" ht="45.75" customHeight="1" x14ac:dyDescent="0.3">
      <c r="A10368" s="15"/>
      <c r="B10368" s="5"/>
      <c r="C10368" s="5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</row>
    <row r="10369" spans="1:20" ht="45.75" customHeight="1" x14ac:dyDescent="0.3">
      <c r="A10369" s="15"/>
      <c r="B10369" s="5"/>
      <c r="C10369" s="5"/>
      <c r="D10369" s="5"/>
      <c r="E10369" s="5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</row>
    <row r="10370" spans="1:20" ht="45.75" customHeight="1" x14ac:dyDescent="0.3">
      <c r="A10370" s="15"/>
      <c r="B10370" s="5"/>
      <c r="C10370" s="5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</row>
    <row r="10371" spans="1:20" ht="45.75" customHeight="1" x14ac:dyDescent="0.3">
      <c r="A10371" s="15"/>
      <c r="B10371" s="5"/>
      <c r="C10371" s="5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</row>
    <row r="10372" spans="1:20" ht="45.75" customHeight="1" x14ac:dyDescent="0.3">
      <c r="A10372" s="15"/>
      <c r="B10372" s="5"/>
      <c r="C10372" s="5"/>
      <c r="D10372" s="5"/>
      <c r="E10372" s="5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</row>
    <row r="10373" spans="1:20" ht="45.75" customHeight="1" x14ac:dyDescent="0.3">
      <c r="A10373" s="15"/>
      <c r="B10373" s="5"/>
      <c r="C10373" s="5"/>
      <c r="D10373" s="5"/>
      <c r="E10373" s="5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</row>
    <row r="10374" spans="1:20" ht="45.75" customHeight="1" x14ac:dyDescent="0.3">
      <c r="A10374" s="15"/>
      <c r="B10374" s="5"/>
      <c r="C10374" s="5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</row>
    <row r="10375" spans="1:20" ht="45.75" customHeight="1" x14ac:dyDescent="0.3">
      <c r="A10375" s="15"/>
      <c r="B10375" s="5"/>
      <c r="C10375" s="5"/>
      <c r="D10375" s="5"/>
      <c r="E10375" s="5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</row>
    <row r="10376" spans="1:20" ht="45.75" customHeight="1" x14ac:dyDescent="0.3">
      <c r="A10376" s="15"/>
      <c r="B10376" s="5"/>
      <c r="C10376" s="5"/>
      <c r="D10376" s="5"/>
      <c r="E10376" s="5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</row>
    <row r="10377" spans="1:20" ht="45.75" customHeight="1" x14ac:dyDescent="0.3">
      <c r="A10377" s="15"/>
      <c r="B10377" s="5"/>
      <c r="C10377" s="5"/>
      <c r="D10377" s="5"/>
      <c r="E10377" s="5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</row>
    <row r="10378" spans="1:20" ht="45.75" customHeight="1" x14ac:dyDescent="0.3">
      <c r="A10378" s="15"/>
      <c r="B10378" s="5"/>
      <c r="C10378" s="5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</row>
    <row r="10379" spans="1:20" ht="45.75" customHeight="1" x14ac:dyDescent="0.3">
      <c r="A10379" s="15"/>
      <c r="B10379" s="5"/>
      <c r="C10379" s="5"/>
      <c r="D10379" s="5"/>
      <c r="E10379" s="5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</row>
    <row r="10380" spans="1:20" ht="45.75" customHeight="1" x14ac:dyDescent="0.3">
      <c r="A10380" s="15"/>
      <c r="B10380" s="5"/>
      <c r="C10380" s="5"/>
      <c r="D10380" s="5"/>
      <c r="E10380" s="5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</row>
    <row r="10381" spans="1:20" ht="45.75" customHeight="1" x14ac:dyDescent="0.3">
      <c r="A10381" s="15"/>
      <c r="B10381" s="5"/>
      <c r="C10381" s="5"/>
      <c r="D10381" s="5"/>
      <c r="E10381" s="5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</row>
    <row r="10382" spans="1:20" ht="45.75" customHeight="1" x14ac:dyDescent="0.3">
      <c r="A10382" s="15"/>
      <c r="B10382" s="5"/>
      <c r="C10382" s="5"/>
      <c r="D10382" s="5"/>
      <c r="E10382" s="5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</row>
    <row r="10383" spans="1:20" ht="45.75" customHeight="1" x14ac:dyDescent="0.3">
      <c r="A10383" s="15"/>
      <c r="B10383" s="5"/>
      <c r="C10383" s="5"/>
      <c r="D10383" s="5"/>
      <c r="E10383" s="5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</row>
    <row r="10384" spans="1:20" ht="45.75" customHeight="1" x14ac:dyDescent="0.3">
      <c r="A10384" s="15"/>
      <c r="B10384" s="5"/>
      <c r="C10384" s="5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</row>
    <row r="10385" spans="1:20" ht="45.75" customHeight="1" x14ac:dyDescent="0.3">
      <c r="A10385" s="15"/>
      <c r="B10385" s="5"/>
      <c r="C10385" s="5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</row>
    <row r="10386" spans="1:20" ht="45.75" customHeight="1" x14ac:dyDescent="0.3">
      <c r="A10386" s="15"/>
      <c r="B10386" s="5"/>
      <c r="C10386" s="5"/>
      <c r="D10386" s="5"/>
      <c r="E10386" s="5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</row>
    <row r="10387" spans="1:20" ht="45.75" customHeight="1" x14ac:dyDescent="0.3">
      <c r="A10387" s="15"/>
      <c r="B10387" s="5"/>
      <c r="C10387" s="5"/>
      <c r="D10387" s="5"/>
      <c r="E10387" s="5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</row>
    <row r="10388" spans="1:20" ht="45.75" customHeight="1" x14ac:dyDescent="0.3">
      <c r="A10388" s="15"/>
      <c r="B10388" s="5"/>
      <c r="C10388" s="5"/>
      <c r="D10388" s="5"/>
      <c r="E10388" s="5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</row>
    <row r="10389" spans="1:20" ht="45.75" customHeight="1" x14ac:dyDescent="0.3">
      <c r="A10389" s="15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</row>
    <row r="10390" spans="1:20" ht="45.75" customHeight="1" x14ac:dyDescent="0.3">
      <c r="A10390" s="15"/>
      <c r="B10390" s="5"/>
      <c r="C10390" s="5"/>
      <c r="D10390" s="5"/>
      <c r="E10390" s="5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</row>
    <row r="10391" spans="1:20" ht="45.75" customHeight="1" x14ac:dyDescent="0.3">
      <c r="A10391" s="15"/>
      <c r="B10391" s="5"/>
      <c r="C10391" s="5"/>
      <c r="D10391" s="5"/>
      <c r="E10391" s="5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</row>
    <row r="10392" spans="1:20" ht="45.75" customHeight="1" x14ac:dyDescent="0.3">
      <c r="A10392" s="15"/>
      <c r="B10392" s="5"/>
      <c r="C10392" s="5"/>
      <c r="D10392" s="5"/>
      <c r="E10392" s="5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</row>
    <row r="10393" spans="1:20" ht="45.75" customHeight="1" x14ac:dyDescent="0.3">
      <c r="A10393" s="15"/>
      <c r="B10393" s="5"/>
      <c r="C10393" s="5"/>
      <c r="D10393" s="5"/>
      <c r="E10393" s="5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</row>
    <row r="10394" spans="1:20" ht="45.75" customHeight="1" x14ac:dyDescent="0.3">
      <c r="A10394" s="15"/>
      <c r="B10394" s="5"/>
      <c r="C10394" s="5"/>
      <c r="D10394" s="5"/>
      <c r="E10394" s="5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</row>
    <row r="10395" spans="1:20" ht="45.75" customHeight="1" x14ac:dyDescent="0.3">
      <c r="A10395" s="15"/>
      <c r="B10395" s="5"/>
      <c r="C10395" s="5"/>
      <c r="D10395" s="5"/>
      <c r="E10395" s="5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</row>
    <row r="10396" spans="1:20" ht="45.75" customHeight="1" x14ac:dyDescent="0.3">
      <c r="A10396" s="15"/>
      <c r="B10396" s="5"/>
      <c r="C10396" s="5"/>
      <c r="D10396" s="5"/>
      <c r="E10396" s="5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</row>
    <row r="10397" spans="1:20" ht="45.75" customHeight="1" x14ac:dyDescent="0.3">
      <c r="A10397" s="15"/>
      <c r="B10397" s="5"/>
      <c r="C10397" s="5"/>
      <c r="D10397" s="5"/>
      <c r="E10397" s="5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</row>
    <row r="10398" spans="1:20" ht="45.75" customHeight="1" x14ac:dyDescent="0.3">
      <c r="A10398" s="15"/>
      <c r="B10398" s="5"/>
      <c r="C10398" s="5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</row>
    <row r="10399" spans="1:20" ht="45.75" customHeight="1" x14ac:dyDescent="0.3">
      <c r="A10399" s="15"/>
      <c r="B10399" s="5"/>
      <c r="C10399" s="5"/>
      <c r="D10399" s="5"/>
      <c r="E10399" s="5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</row>
    <row r="10400" spans="1:20" ht="45.75" customHeight="1" x14ac:dyDescent="0.3">
      <c r="A10400" s="15"/>
      <c r="B10400" s="5"/>
      <c r="C10400" s="5"/>
      <c r="D10400" s="5"/>
      <c r="E10400" s="5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</row>
    <row r="10401" spans="1:20" ht="45.75" customHeight="1" x14ac:dyDescent="0.3">
      <c r="A10401" s="15"/>
      <c r="B10401" s="5"/>
      <c r="C10401" s="5"/>
      <c r="D10401" s="5"/>
      <c r="E10401" s="5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</row>
    <row r="10402" spans="1:20" ht="45.75" customHeight="1" x14ac:dyDescent="0.3">
      <c r="A10402" s="15"/>
      <c r="B10402" s="5"/>
      <c r="C10402" s="5"/>
      <c r="D10402" s="5"/>
      <c r="E10402" s="5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</row>
    <row r="10403" spans="1:20" ht="45.75" customHeight="1" x14ac:dyDescent="0.3">
      <c r="A10403" s="15"/>
      <c r="B10403" s="5"/>
      <c r="C10403" s="5"/>
      <c r="D10403" s="5"/>
      <c r="E10403" s="5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</row>
    <row r="10404" spans="1:20" ht="45.75" customHeight="1" x14ac:dyDescent="0.3">
      <c r="A10404" s="15"/>
      <c r="B10404" s="5"/>
      <c r="C10404" s="5"/>
      <c r="D10404" s="5"/>
      <c r="E10404" s="5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</row>
    <row r="10405" spans="1:20" ht="45.75" customHeight="1" x14ac:dyDescent="0.3">
      <c r="A10405" s="15"/>
      <c r="B10405" s="5"/>
      <c r="C10405" s="5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</row>
    <row r="10406" spans="1:20" ht="45.75" customHeight="1" x14ac:dyDescent="0.3">
      <c r="A10406" s="15"/>
      <c r="B10406" s="5"/>
      <c r="C10406" s="5"/>
      <c r="D10406" s="5"/>
      <c r="E10406" s="5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</row>
    <row r="10407" spans="1:20" ht="45.75" customHeight="1" x14ac:dyDescent="0.3">
      <c r="A10407" s="15"/>
      <c r="B10407" s="5"/>
      <c r="C10407" s="5"/>
      <c r="D10407" s="5"/>
      <c r="E10407" s="5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</row>
    <row r="10408" spans="1:20" ht="45.75" customHeight="1" x14ac:dyDescent="0.3">
      <c r="A10408" s="15"/>
      <c r="B10408" s="5"/>
      <c r="C10408" s="5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</row>
    <row r="10409" spans="1:20" ht="45.75" customHeight="1" x14ac:dyDescent="0.3">
      <c r="A10409" s="15"/>
      <c r="B10409" s="5"/>
      <c r="C10409" s="5"/>
      <c r="D10409" s="5"/>
      <c r="E10409" s="5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</row>
    <row r="10410" spans="1:20" ht="45.75" customHeight="1" x14ac:dyDescent="0.3">
      <c r="A10410" s="15"/>
      <c r="B10410" s="5"/>
      <c r="C10410" s="5"/>
      <c r="D10410" s="5"/>
      <c r="E10410" s="5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</row>
    <row r="10411" spans="1:20" ht="45.75" customHeight="1" x14ac:dyDescent="0.3">
      <c r="A10411" s="15"/>
      <c r="B10411" s="5"/>
      <c r="C10411" s="5"/>
      <c r="D10411" s="5"/>
      <c r="E10411" s="5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</row>
    <row r="10412" spans="1:20" ht="45.75" customHeight="1" x14ac:dyDescent="0.3">
      <c r="A10412" s="15"/>
      <c r="B10412" s="5"/>
      <c r="C10412" s="5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</row>
    <row r="10413" spans="1:20" ht="45.75" customHeight="1" x14ac:dyDescent="0.3">
      <c r="A10413" s="15"/>
      <c r="B10413" s="5"/>
      <c r="C10413" s="5"/>
      <c r="D10413" s="5"/>
      <c r="E10413" s="5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</row>
    <row r="10414" spans="1:20" ht="45.75" customHeight="1" x14ac:dyDescent="0.3">
      <c r="A10414" s="15"/>
      <c r="B10414" s="5"/>
      <c r="C10414" s="5"/>
      <c r="D10414" s="5"/>
      <c r="E10414" s="5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</row>
    <row r="10415" spans="1:20" ht="45.75" customHeight="1" x14ac:dyDescent="0.3">
      <c r="A10415" s="15"/>
      <c r="B10415" s="5"/>
      <c r="C10415" s="5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</row>
    <row r="10416" spans="1:20" ht="45.75" customHeight="1" x14ac:dyDescent="0.3">
      <c r="A10416" s="15"/>
      <c r="B10416" s="5"/>
      <c r="C10416" s="5"/>
      <c r="D10416" s="5"/>
      <c r="E10416" s="5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</row>
    <row r="10417" spans="1:20" ht="45.75" customHeight="1" x14ac:dyDescent="0.3">
      <c r="A10417" s="15"/>
      <c r="B10417" s="5"/>
      <c r="C10417" s="5"/>
      <c r="D10417" s="5"/>
      <c r="E10417" s="5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</row>
    <row r="10418" spans="1:20" ht="45.75" customHeight="1" x14ac:dyDescent="0.3">
      <c r="A10418" s="15"/>
      <c r="B10418" s="5"/>
      <c r="C10418" s="5"/>
      <c r="D10418" s="5"/>
      <c r="E10418" s="5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</row>
    <row r="10419" spans="1:20" ht="45.75" customHeight="1" x14ac:dyDescent="0.3">
      <c r="A10419" s="15"/>
      <c r="B10419" s="5"/>
      <c r="C10419" s="5"/>
      <c r="D10419" s="5"/>
      <c r="E10419" s="5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</row>
    <row r="10420" spans="1:20" ht="45.75" customHeight="1" x14ac:dyDescent="0.3">
      <c r="A10420" s="15"/>
      <c r="B10420" s="5"/>
      <c r="C10420" s="5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</row>
    <row r="10421" spans="1:20" ht="45.75" customHeight="1" x14ac:dyDescent="0.3">
      <c r="A10421" s="15"/>
      <c r="B10421" s="5"/>
      <c r="C10421" s="5"/>
      <c r="D10421" s="5"/>
      <c r="E10421" s="5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</row>
    <row r="10422" spans="1:20" ht="45.75" customHeight="1" x14ac:dyDescent="0.3">
      <c r="A10422" s="15"/>
      <c r="B10422" s="5"/>
      <c r="C10422" s="5"/>
      <c r="D10422" s="5"/>
      <c r="E10422" s="5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</row>
    <row r="10423" spans="1:20" ht="45.75" customHeight="1" x14ac:dyDescent="0.3">
      <c r="A10423" s="15"/>
      <c r="B10423" s="5"/>
      <c r="C10423" s="5"/>
      <c r="D10423" s="5"/>
      <c r="E10423" s="5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</row>
    <row r="10424" spans="1:20" ht="45.75" customHeight="1" x14ac:dyDescent="0.3">
      <c r="A10424" s="15"/>
      <c r="B10424" s="5"/>
      <c r="C10424" s="5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</row>
    <row r="10425" spans="1:20" ht="45.75" customHeight="1" x14ac:dyDescent="0.3">
      <c r="A10425" s="15"/>
      <c r="B10425" s="5"/>
      <c r="C10425" s="5"/>
      <c r="D10425" s="5"/>
      <c r="E10425" s="5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</row>
    <row r="10426" spans="1:20" ht="45.75" customHeight="1" x14ac:dyDescent="0.3">
      <c r="A10426" s="15"/>
      <c r="B10426" s="5"/>
      <c r="C10426" s="5"/>
      <c r="D10426" s="5"/>
      <c r="E10426" s="5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</row>
    <row r="10427" spans="1:20" ht="45.75" customHeight="1" x14ac:dyDescent="0.3">
      <c r="A10427" s="15"/>
      <c r="B10427" s="5"/>
      <c r="C10427" s="5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</row>
    <row r="10428" spans="1:20" ht="45.75" customHeight="1" x14ac:dyDescent="0.3">
      <c r="A10428" s="15"/>
      <c r="B10428" s="5"/>
      <c r="C10428" s="5"/>
      <c r="D10428" s="5"/>
      <c r="E10428" s="5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</row>
    <row r="10429" spans="1:20" ht="45.75" customHeight="1" x14ac:dyDescent="0.3">
      <c r="A10429" s="15"/>
      <c r="B10429" s="5"/>
      <c r="C10429" s="5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</row>
    <row r="10430" spans="1:20" ht="45.75" customHeight="1" x14ac:dyDescent="0.3">
      <c r="A10430" s="15"/>
      <c r="B10430" s="5"/>
      <c r="C10430" s="5"/>
      <c r="D10430" s="5"/>
      <c r="E10430" s="5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</row>
    <row r="10431" spans="1:20" ht="45.75" customHeight="1" x14ac:dyDescent="0.3">
      <c r="A10431" s="15"/>
      <c r="B10431" s="5"/>
      <c r="C10431" s="5"/>
      <c r="D10431" s="5"/>
      <c r="E10431" s="5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</row>
    <row r="10432" spans="1:20" ht="45.75" customHeight="1" x14ac:dyDescent="0.3">
      <c r="A10432" s="15"/>
      <c r="B10432" s="5"/>
      <c r="C10432" s="5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</row>
    <row r="10433" spans="1:20" ht="45.75" customHeight="1" x14ac:dyDescent="0.3">
      <c r="A10433" s="15"/>
      <c r="B10433" s="5"/>
      <c r="C10433" s="5"/>
      <c r="D10433" s="5"/>
      <c r="E10433" s="5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</row>
    <row r="10434" spans="1:20" ht="45.75" customHeight="1" x14ac:dyDescent="0.3">
      <c r="A10434" s="15"/>
      <c r="B10434" s="5"/>
      <c r="C10434" s="5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</row>
    <row r="10435" spans="1:20" ht="45.75" customHeight="1" x14ac:dyDescent="0.3">
      <c r="A10435" s="15"/>
      <c r="B10435" s="5"/>
      <c r="C10435" s="5"/>
      <c r="D10435" s="5"/>
      <c r="E10435" s="5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</row>
    <row r="10436" spans="1:20" ht="45.75" customHeight="1" x14ac:dyDescent="0.3">
      <c r="A10436" s="15"/>
      <c r="B10436" s="5"/>
      <c r="C10436" s="5"/>
      <c r="D10436" s="5"/>
      <c r="E10436" s="5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</row>
    <row r="10437" spans="1:20" ht="45.75" customHeight="1" x14ac:dyDescent="0.3">
      <c r="A10437" s="15"/>
      <c r="B10437" s="5"/>
      <c r="C10437" s="5"/>
      <c r="D10437" s="5"/>
      <c r="E10437" s="5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</row>
    <row r="10438" spans="1:20" ht="45.75" customHeight="1" x14ac:dyDescent="0.3">
      <c r="A10438" s="15"/>
      <c r="B10438" s="5"/>
      <c r="C10438" s="5"/>
      <c r="D10438" s="5"/>
      <c r="E10438" s="5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</row>
    <row r="10439" spans="1:20" ht="45.75" customHeight="1" x14ac:dyDescent="0.3">
      <c r="A10439" s="15"/>
      <c r="B10439" s="5"/>
      <c r="C10439" s="5"/>
      <c r="D10439" s="5"/>
      <c r="E10439" s="5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</row>
    <row r="10440" spans="1:20" ht="45.75" customHeight="1" x14ac:dyDescent="0.3">
      <c r="A10440" s="15"/>
      <c r="B10440" s="5"/>
      <c r="C10440" s="5"/>
      <c r="D10440" s="5"/>
      <c r="E10440" s="5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</row>
    <row r="10441" spans="1:20" ht="45.75" customHeight="1" x14ac:dyDescent="0.3">
      <c r="A10441" s="15"/>
      <c r="B10441" s="5"/>
      <c r="C10441" s="5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</row>
    <row r="10442" spans="1:20" ht="45.75" customHeight="1" x14ac:dyDescent="0.3">
      <c r="A10442" s="15"/>
      <c r="B10442" s="5"/>
      <c r="C10442" s="5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</row>
    <row r="10443" spans="1:20" ht="45.75" customHeight="1" x14ac:dyDescent="0.3">
      <c r="A10443" s="15"/>
      <c r="B10443" s="5"/>
      <c r="C10443" s="5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</row>
    <row r="10444" spans="1:20" ht="45.75" customHeight="1" x14ac:dyDescent="0.3">
      <c r="A10444" s="15"/>
      <c r="B10444" s="5"/>
      <c r="C10444" s="5"/>
      <c r="D10444" s="5"/>
      <c r="E10444" s="5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</row>
    <row r="10445" spans="1:20" ht="45.75" customHeight="1" x14ac:dyDescent="0.3">
      <c r="A10445" s="15"/>
      <c r="B10445" s="5"/>
      <c r="C10445" s="5"/>
      <c r="D10445" s="5"/>
      <c r="E10445" s="5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</row>
    <row r="10446" spans="1:20" ht="45.75" customHeight="1" x14ac:dyDescent="0.3">
      <c r="A10446" s="15"/>
      <c r="B10446" s="5"/>
      <c r="C10446" s="5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</row>
    <row r="10447" spans="1:20" ht="45.75" customHeight="1" x14ac:dyDescent="0.3">
      <c r="A10447" s="15"/>
      <c r="B10447" s="5"/>
      <c r="C10447" s="5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</row>
    <row r="10448" spans="1:20" ht="45.75" customHeight="1" x14ac:dyDescent="0.3">
      <c r="A10448" s="15"/>
      <c r="B10448" s="5"/>
      <c r="C10448" s="5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</row>
    <row r="10449" spans="1:20" ht="45.75" customHeight="1" x14ac:dyDescent="0.3">
      <c r="A10449" s="15"/>
      <c r="B10449" s="5"/>
      <c r="C10449" s="5"/>
      <c r="D10449" s="5"/>
      <c r="E10449" s="5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</row>
    <row r="10450" spans="1:20" ht="45.75" customHeight="1" x14ac:dyDescent="0.3">
      <c r="A10450" s="15"/>
      <c r="B10450" s="5"/>
      <c r="C10450" s="5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</row>
    <row r="10451" spans="1:20" ht="45.75" customHeight="1" x14ac:dyDescent="0.3">
      <c r="A10451" s="15"/>
      <c r="B10451" s="5"/>
      <c r="C10451" s="5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</row>
    <row r="10452" spans="1:20" ht="45.75" customHeight="1" x14ac:dyDescent="0.3">
      <c r="A10452" s="15"/>
      <c r="B10452" s="5"/>
      <c r="C10452" s="5"/>
      <c r="D10452" s="5"/>
      <c r="E10452" s="5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</row>
    <row r="10453" spans="1:20" ht="45.75" customHeight="1" x14ac:dyDescent="0.3">
      <c r="A10453" s="15"/>
      <c r="B10453" s="5"/>
      <c r="C10453" s="5"/>
      <c r="D10453" s="5"/>
      <c r="E10453" s="5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</row>
    <row r="10454" spans="1:20" ht="45.75" customHeight="1" x14ac:dyDescent="0.3">
      <c r="A10454" s="15"/>
      <c r="B10454" s="5"/>
      <c r="C10454" s="5"/>
      <c r="D10454" s="5"/>
      <c r="E10454" s="5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</row>
    <row r="10455" spans="1:20" ht="45.75" customHeight="1" x14ac:dyDescent="0.3">
      <c r="A10455" s="15"/>
      <c r="B10455" s="5"/>
      <c r="C10455" s="5"/>
      <c r="D10455" s="5"/>
      <c r="E10455" s="5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</row>
    <row r="10456" spans="1:20" ht="45.75" customHeight="1" x14ac:dyDescent="0.3">
      <c r="A10456" s="15"/>
      <c r="B10456" s="5"/>
      <c r="C10456" s="5"/>
      <c r="D10456" s="5"/>
      <c r="E10456" s="5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</row>
    <row r="10457" spans="1:20" ht="45.75" customHeight="1" x14ac:dyDescent="0.3">
      <c r="A10457" s="15"/>
      <c r="B10457" s="5"/>
      <c r="C10457" s="5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</row>
    <row r="10458" spans="1:20" ht="45.75" customHeight="1" x14ac:dyDescent="0.3">
      <c r="A10458" s="15"/>
      <c r="B10458" s="5"/>
      <c r="C10458" s="5"/>
      <c r="D10458" s="5"/>
      <c r="E10458" s="5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</row>
    <row r="10459" spans="1:20" ht="45.75" customHeight="1" x14ac:dyDescent="0.3">
      <c r="A10459" s="15"/>
      <c r="B10459" s="5"/>
      <c r="C10459" s="5"/>
      <c r="D10459" s="5"/>
      <c r="E10459" s="5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</row>
    <row r="10460" spans="1:20" ht="45.75" customHeight="1" x14ac:dyDescent="0.3">
      <c r="A10460" s="15"/>
      <c r="B10460" s="5"/>
      <c r="C10460" s="5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</row>
    <row r="10461" spans="1:20" ht="45.75" customHeight="1" x14ac:dyDescent="0.3">
      <c r="A10461" s="15"/>
      <c r="B10461" s="5"/>
      <c r="C10461" s="5"/>
      <c r="D10461" s="5"/>
      <c r="E10461" s="5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</row>
    <row r="10462" spans="1:20" ht="45.75" customHeight="1" x14ac:dyDescent="0.3">
      <c r="A10462" s="15"/>
      <c r="B10462" s="5"/>
      <c r="C10462" s="5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</row>
    <row r="10463" spans="1:20" ht="45.75" customHeight="1" x14ac:dyDescent="0.3">
      <c r="A10463" s="15"/>
      <c r="B10463" s="5"/>
      <c r="C10463" s="5"/>
      <c r="D10463" s="5"/>
      <c r="E10463" s="5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</row>
    <row r="10464" spans="1:20" ht="45.75" customHeight="1" x14ac:dyDescent="0.3">
      <c r="A10464" s="15"/>
      <c r="B10464" s="5"/>
      <c r="C10464" s="5"/>
      <c r="D10464" s="5"/>
      <c r="E10464" s="5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</row>
    <row r="10465" spans="1:20" ht="45.75" customHeight="1" x14ac:dyDescent="0.3">
      <c r="A10465" s="15"/>
      <c r="B10465" s="5"/>
      <c r="C10465" s="5"/>
      <c r="D10465" s="5"/>
      <c r="E10465" s="5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</row>
    <row r="10466" spans="1:20" ht="45.75" customHeight="1" x14ac:dyDescent="0.3">
      <c r="A10466" s="15"/>
      <c r="B10466" s="5"/>
      <c r="C10466" s="5"/>
      <c r="D10466" s="5"/>
      <c r="E10466" s="5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</row>
    <row r="10467" spans="1:20" ht="45.75" customHeight="1" x14ac:dyDescent="0.3">
      <c r="A10467" s="15"/>
      <c r="B10467" s="5"/>
      <c r="C10467" s="5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</row>
    <row r="10468" spans="1:20" ht="45.75" customHeight="1" x14ac:dyDescent="0.3">
      <c r="A10468" s="15"/>
      <c r="B10468" s="5"/>
      <c r="C10468" s="5"/>
      <c r="D10468" s="5"/>
      <c r="E10468" s="5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</row>
    <row r="10469" spans="1:20" ht="45.75" customHeight="1" x14ac:dyDescent="0.3">
      <c r="A10469" s="15"/>
      <c r="B10469" s="5"/>
      <c r="C10469" s="5"/>
      <c r="D10469" s="5"/>
      <c r="E10469" s="5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</row>
    <row r="10470" spans="1:20" ht="45.75" customHeight="1" x14ac:dyDescent="0.3">
      <c r="A10470" s="15"/>
      <c r="B10470" s="5"/>
      <c r="C10470" s="5"/>
      <c r="D10470" s="5"/>
      <c r="E10470" s="5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</row>
    <row r="10471" spans="1:20" ht="45.75" customHeight="1" x14ac:dyDescent="0.3">
      <c r="A10471" s="15"/>
      <c r="B10471" s="5"/>
      <c r="C10471" s="5"/>
      <c r="D10471" s="5"/>
      <c r="E10471" s="5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</row>
    <row r="10472" spans="1:20" ht="45.75" customHeight="1" x14ac:dyDescent="0.3">
      <c r="A10472" s="15"/>
      <c r="B10472" s="5"/>
      <c r="C10472" s="5"/>
      <c r="D10472" s="5"/>
      <c r="E10472" s="5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</row>
    <row r="10473" spans="1:20" ht="45.75" customHeight="1" x14ac:dyDescent="0.3">
      <c r="A10473" s="15"/>
      <c r="B10473" s="5"/>
      <c r="C10473" s="5"/>
      <c r="D10473" s="5"/>
      <c r="E10473" s="5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</row>
    <row r="10474" spans="1:20" ht="45.75" customHeight="1" x14ac:dyDescent="0.3">
      <c r="A10474" s="15"/>
      <c r="B10474" s="5"/>
      <c r="C10474" s="5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</row>
    <row r="10475" spans="1:20" ht="45.75" customHeight="1" x14ac:dyDescent="0.3">
      <c r="A10475" s="15"/>
      <c r="B10475" s="5"/>
      <c r="C10475" s="5"/>
      <c r="D10475" s="5"/>
      <c r="E10475" s="5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</row>
    <row r="10476" spans="1:20" ht="45.75" customHeight="1" x14ac:dyDescent="0.3">
      <c r="A10476" s="15"/>
      <c r="B10476" s="5"/>
      <c r="C10476" s="5"/>
      <c r="D10476" s="5"/>
      <c r="E10476" s="5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</row>
    <row r="10477" spans="1:20" ht="45.75" customHeight="1" x14ac:dyDescent="0.3">
      <c r="A10477" s="15"/>
      <c r="B10477" s="5"/>
      <c r="C10477" s="5"/>
      <c r="D10477" s="5"/>
      <c r="E10477" s="5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</row>
    <row r="10478" spans="1:20" ht="45.75" customHeight="1" x14ac:dyDescent="0.3">
      <c r="A10478" s="15"/>
      <c r="B10478" s="5"/>
      <c r="C10478" s="5"/>
      <c r="D10478" s="5"/>
      <c r="E10478" s="5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</row>
    <row r="10479" spans="1:20" ht="45.75" customHeight="1" x14ac:dyDescent="0.3">
      <c r="A10479" s="15"/>
      <c r="B10479" s="5"/>
      <c r="C10479" s="5"/>
      <c r="D10479" s="5"/>
      <c r="E10479" s="5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</row>
    <row r="10480" spans="1:20" ht="45.75" customHeight="1" x14ac:dyDescent="0.3">
      <c r="A10480" s="15"/>
      <c r="B10480" s="5"/>
      <c r="C10480" s="5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</row>
    <row r="10481" spans="1:20" ht="45.75" customHeight="1" x14ac:dyDescent="0.3">
      <c r="A10481" s="15"/>
      <c r="B10481" s="5"/>
      <c r="C10481" s="5"/>
      <c r="D10481" s="5"/>
      <c r="E10481" s="5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</row>
    <row r="10482" spans="1:20" ht="45.75" customHeight="1" x14ac:dyDescent="0.3">
      <c r="A10482" s="15"/>
      <c r="B10482" s="5"/>
      <c r="C10482" s="5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</row>
    <row r="10483" spans="1:20" ht="45.75" customHeight="1" x14ac:dyDescent="0.3">
      <c r="A10483" s="15"/>
      <c r="B10483" s="5"/>
      <c r="C10483" s="5"/>
      <c r="D10483" s="5"/>
      <c r="E10483" s="5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</row>
    <row r="10484" spans="1:20" ht="45.75" customHeight="1" x14ac:dyDescent="0.3">
      <c r="A10484" s="15"/>
      <c r="B10484" s="5"/>
      <c r="C10484" s="5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</row>
    <row r="10485" spans="1:20" ht="45.75" customHeight="1" x14ac:dyDescent="0.3">
      <c r="A10485" s="15"/>
      <c r="B10485" s="5"/>
      <c r="C10485" s="5"/>
      <c r="D10485" s="5"/>
      <c r="E10485" s="5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</row>
    <row r="10486" spans="1:20" ht="45.75" customHeight="1" x14ac:dyDescent="0.3">
      <c r="A10486" s="15"/>
      <c r="B10486" s="5"/>
      <c r="C10486" s="5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</row>
    <row r="10487" spans="1:20" ht="45.75" customHeight="1" x14ac:dyDescent="0.3">
      <c r="A10487" s="15"/>
      <c r="B10487" s="5"/>
      <c r="C10487" s="5"/>
      <c r="D10487" s="5"/>
      <c r="E10487" s="5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</row>
    <row r="10488" spans="1:20" ht="45.75" customHeight="1" x14ac:dyDescent="0.3">
      <c r="A10488" s="15"/>
      <c r="B10488" s="5"/>
      <c r="C10488" s="5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</row>
    <row r="10489" spans="1:20" ht="45.75" customHeight="1" x14ac:dyDescent="0.3">
      <c r="A10489" s="15"/>
      <c r="B10489" s="5"/>
      <c r="C10489" s="5"/>
      <c r="D10489" s="5"/>
      <c r="E10489" s="5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</row>
    <row r="10490" spans="1:20" ht="45.75" customHeight="1" x14ac:dyDescent="0.3">
      <c r="A10490" s="15"/>
      <c r="B10490" s="5"/>
      <c r="C10490" s="5"/>
      <c r="D10490" s="5"/>
      <c r="E10490" s="5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</row>
    <row r="10491" spans="1:20" ht="45.75" customHeight="1" x14ac:dyDescent="0.3">
      <c r="A10491" s="15"/>
      <c r="B10491" s="5"/>
      <c r="C10491" s="5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</row>
    <row r="10492" spans="1:20" ht="45.75" customHeight="1" x14ac:dyDescent="0.3">
      <c r="A10492" s="15"/>
      <c r="B10492" s="5"/>
      <c r="C10492" s="5"/>
      <c r="D10492" s="5"/>
      <c r="E10492" s="5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</row>
    <row r="10493" spans="1:20" ht="45.75" customHeight="1" x14ac:dyDescent="0.3">
      <c r="A10493" s="15"/>
      <c r="B10493" s="5"/>
      <c r="C10493" s="5"/>
      <c r="D10493" s="5"/>
      <c r="E10493" s="5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</row>
    <row r="10494" spans="1:20" ht="45.75" customHeight="1" x14ac:dyDescent="0.3">
      <c r="A10494" s="15"/>
      <c r="B10494" s="5"/>
      <c r="C10494" s="5"/>
      <c r="D10494" s="5"/>
      <c r="E10494" s="5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</row>
    <row r="10495" spans="1:20" ht="45.75" customHeight="1" x14ac:dyDescent="0.3">
      <c r="A10495" s="15"/>
      <c r="B10495" s="5"/>
      <c r="C10495" s="5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</row>
    <row r="10496" spans="1:20" ht="45.75" customHeight="1" x14ac:dyDescent="0.3">
      <c r="A10496" s="15"/>
      <c r="B10496" s="5"/>
      <c r="C10496" s="5"/>
      <c r="D10496" s="5"/>
      <c r="E10496" s="5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</row>
    <row r="10497" spans="1:20" ht="45.75" customHeight="1" x14ac:dyDescent="0.3">
      <c r="A10497" s="15"/>
      <c r="B10497" s="5"/>
      <c r="C10497" s="5"/>
      <c r="D10497" s="5"/>
      <c r="E10497" s="5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</row>
    <row r="10498" spans="1:20" ht="45.75" customHeight="1" x14ac:dyDescent="0.3">
      <c r="A10498" s="15"/>
      <c r="B10498" s="5"/>
      <c r="C10498" s="5"/>
      <c r="D10498" s="5"/>
      <c r="E10498" s="5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</row>
    <row r="10499" spans="1:20" ht="45.75" customHeight="1" x14ac:dyDescent="0.3">
      <c r="A10499" s="15"/>
      <c r="B10499" s="5"/>
      <c r="C10499" s="5"/>
      <c r="D10499" s="5"/>
      <c r="E10499" s="5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</row>
    <row r="10500" spans="1:20" ht="45.75" customHeight="1" x14ac:dyDescent="0.3">
      <c r="A10500" s="15"/>
      <c r="B10500" s="5"/>
      <c r="C10500" s="5"/>
      <c r="D10500" s="5"/>
      <c r="E10500" s="5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</row>
    <row r="10501" spans="1:20" ht="45.75" customHeight="1" x14ac:dyDescent="0.3">
      <c r="A10501" s="15"/>
      <c r="B10501" s="5"/>
      <c r="C10501" s="5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</row>
    <row r="10502" spans="1:20" ht="45.75" customHeight="1" x14ac:dyDescent="0.3">
      <c r="A10502" s="15"/>
      <c r="B10502" s="5"/>
      <c r="C10502" s="5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</row>
    <row r="10503" spans="1:20" ht="45.75" customHeight="1" x14ac:dyDescent="0.3">
      <c r="A10503" s="15"/>
      <c r="B10503" s="5"/>
      <c r="C10503" s="5"/>
      <c r="D10503" s="5"/>
      <c r="E10503" s="5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</row>
    <row r="10504" spans="1:20" ht="45.75" customHeight="1" x14ac:dyDescent="0.3">
      <c r="A10504" s="15"/>
      <c r="B10504" s="5"/>
      <c r="C10504" s="5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</row>
    <row r="10505" spans="1:20" ht="45.75" customHeight="1" x14ac:dyDescent="0.3">
      <c r="A10505" s="15"/>
      <c r="B10505" s="5"/>
      <c r="C10505" s="5"/>
      <c r="D10505" s="5"/>
      <c r="E10505" s="5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</row>
    <row r="10506" spans="1:20" ht="45.75" customHeight="1" x14ac:dyDescent="0.3">
      <c r="A10506" s="15"/>
      <c r="B10506" s="5"/>
      <c r="C10506" s="5"/>
      <c r="D10506" s="5"/>
      <c r="E10506" s="5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</row>
    <row r="10507" spans="1:20" ht="45.75" customHeight="1" x14ac:dyDescent="0.3">
      <c r="A10507" s="15"/>
      <c r="B10507" s="5"/>
      <c r="C10507" s="5"/>
      <c r="D10507" s="5"/>
      <c r="E10507" s="5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</row>
    <row r="10508" spans="1:20" ht="45.75" customHeight="1" x14ac:dyDescent="0.3">
      <c r="A10508" s="15"/>
      <c r="B10508" s="5"/>
      <c r="C10508" s="5"/>
      <c r="D10508" s="5"/>
      <c r="E10508" s="5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</row>
    <row r="10509" spans="1:20" ht="45.75" customHeight="1" x14ac:dyDescent="0.3">
      <c r="A10509" s="15"/>
      <c r="B10509" s="5"/>
      <c r="C10509" s="5"/>
      <c r="D10509" s="5"/>
      <c r="E10509" s="5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</row>
    <row r="10510" spans="1:20" ht="45.75" customHeight="1" x14ac:dyDescent="0.3">
      <c r="A10510" s="15"/>
      <c r="B10510" s="5"/>
      <c r="C10510" s="5"/>
      <c r="D10510" s="5"/>
      <c r="E10510" s="5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</row>
    <row r="10511" spans="1:20" ht="45.75" customHeight="1" x14ac:dyDescent="0.3">
      <c r="A10511" s="15"/>
      <c r="B10511" s="5"/>
      <c r="C10511" s="5"/>
      <c r="D10511" s="5"/>
      <c r="E10511" s="5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</row>
    <row r="10512" spans="1:20" ht="45.75" customHeight="1" x14ac:dyDescent="0.3">
      <c r="A10512" s="15"/>
      <c r="B10512" s="5"/>
      <c r="C10512" s="5"/>
      <c r="D10512" s="5"/>
      <c r="E10512" s="5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</row>
    <row r="10513" spans="1:20" ht="45.75" customHeight="1" x14ac:dyDescent="0.3">
      <c r="A10513" s="15"/>
      <c r="B10513" s="5"/>
      <c r="C10513" s="5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</row>
    <row r="10514" spans="1:20" ht="45.75" customHeight="1" x14ac:dyDescent="0.3">
      <c r="A10514" s="15"/>
      <c r="B10514" s="5"/>
      <c r="C10514" s="5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</row>
    <row r="10515" spans="1:20" ht="45.75" customHeight="1" x14ac:dyDescent="0.3">
      <c r="A10515" s="15"/>
      <c r="B10515" s="5"/>
      <c r="C10515" s="5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</row>
    <row r="10516" spans="1:20" ht="45.75" customHeight="1" x14ac:dyDescent="0.3">
      <c r="A10516" s="15"/>
      <c r="B10516" s="5"/>
      <c r="C10516" s="5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</row>
    <row r="10517" spans="1:20" ht="45.75" customHeight="1" x14ac:dyDescent="0.3">
      <c r="A10517" s="15"/>
      <c r="B10517" s="5"/>
      <c r="C10517" s="5"/>
      <c r="D10517" s="5"/>
      <c r="E10517" s="5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</row>
    <row r="10518" spans="1:20" ht="45.75" customHeight="1" x14ac:dyDescent="0.3">
      <c r="A10518" s="15"/>
      <c r="B10518" s="5"/>
      <c r="C10518" s="5"/>
      <c r="D10518" s="5"/>
      <c r="E10518" s="5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</row>
    <row r="10519" spans="1:20" ht="45.75" customHeight="1" x14ac:dyDescent="0.3">
      <c r="A10519" s="15"/>
      <c r="B10519" s="5"/>
      <c r="C10519" s="5"/>
      <c r="D10519" s="5"/>
      <c r="E10519" s="5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</row>
    <row r="10520" spans="1:20" ht="45.75" customHeight="1" x14ac:dyDescent="0.3">
      <c r="A10520" s="15"/>
      <c r="B10520" s="5"/>
      <c r="C10520" s="5"/>
      <c r="D10520" s="5"/>
      <c r="E10520" s="5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</row>
    <row r="10521" spans="1:20" ht="45.75" customHeight="1" x14ac:dyDescent="0.3">
      <c r="A10521" s="15"/>
      <c r="B10521" s="5"/>
      <c r="C10521" s="5"/>
      <c r="D10521" s="5"/>
      <c r="E10521" s="5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</row>
    <row r="10522" spans="1:20" ht="45.75" customHeight="1" x14ac:dyDescent="0.3">
      <c r="A10522" s="15"/>
      <c r="B10522" s="5"/>
      <c r="C10522" s="5"/>
      <c r="D10522" s="5"/>
      <c r="E10522" s="5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</row>
    <row r="10523" spans="1:20" ht="45.75" customHeight="1" x14ac:dyDescent="0.3">
      <c r="A10523" s="15"/>
      <c r="B10523" s="5"/>
      <c r="C10523" s="5"/>
      <c r="D10523" s="5"/>
      <c r="E10523" s="5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</row>
    <row r="10524" spans="1:20" ht="45.75" customHeight="1" x14ac:dyDescent="0.3">
      <c r="A10524" s="15"/>
      <c r="B10524" s="5"/>
      <c r="C10524" s="5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</row>
    <row r="10525" spans="1:20" ht="45.75" customHeight="1" x14ac:dyDescent="0.3">
      <c r="A10525" s="15"/>
      <c r="B10525" s="5"/>
      <c r="C10525" s="5"/>
      <c r="D10525" s="5"/>
      <c r="E10525" s="5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</row>
    <row r="10526" spans="1:20" ht="45.75" customHeight="1" x14ac:dyDescent="0.3">
      <c r="A10526" s="15"/>
      <c r="B10526" s="5"/>
      <c r="C10526" s="5"/>
      <c r="D10526" s="5"/>
      <c r="E10526" s="5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</row>
    <row r="10527" spans="1:20" ht="45.75" customHeight="1" x14ac:dyDescent="0.3">
      <c r="A10527" s="15"/>
      <c r="B10527" s="5"/>
      <c r="C10527" s="5"/>
      <c r="D10527" s="5"/>
      <c r="E10527" s="5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</row>
    <row r="10528" spans="1:20" ht="45.75" customHeight="1" x14ac:dyDescent="0.3">
      <c r="A10528" s="15"/>
      <c r="B10528" s="5"/>
      <c r="C10528" s="5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</row>
    <row r="10529" spans="1:20" ht="45.75" customHeight="1" x14ac:dyDescent="0.3">
      <c r="A10529" s="15"/>
      <c r="B10529" s="5"/>
      <c r="C10529" s="5"/>
      <c r="D10529" s="5"/>
      <c r="E10529" s="5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</row>
    <row r="10530" spans="1:20" ht="45.75" customHeight="1" x14ac:dyDescent="0.3">
      <c r="A10530" s="15"/>
      <c r="B10530" s="5"/>
      <c r="C10530" s="5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</row>
    <row r="10531" spans="1:20" ht="45.75" customHeight="1" x14ac:dyDescent="0.3">
      <c r="A10531" s="15"/>
      <c r="B10531" s="5"/>
      <c r="C10531" s="5"/>
      <c r="D10531" s="5"/>
      <c r="E10531" s="5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</row>
    <row r="10532" spans="1:20" ht="45.75" customHeight="1" x14ac:dyDescent="0.3">
      <c r="A10532" s="15"/>
      <c r="B10532" s="5"/>
      <c r="C10532" s="5"/>
      <c r="D10532" s="5"/>
      <c r="E10532" s="5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</row>
    <row r="10533" spans="1:20" ht="45.75" customHeight="1" x14ac:dyDescent="0.3">
      <c r="A10533" s="15"/>
      <c r="B10533" s="5"/>
      <c r="C10533" s="5"/>
      <c r="D10533" s="5"/>
      <c r="E10533" s="5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</row>
    <row r="10534" spans="1:20" ht="45.75" customHeight="1" x14ac:dyDescent="0.3">
      <c r="A10534" s="15"/>
      <c r="B10534" s="5"/>
      <c r="C10534" s="5"/>
      <c r="D10534" s="5"/>
      <c r="E10534" s="5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</row>
    <row r="10535" spans="1:20" ht="45.75" customHeight="1" x14ac:dyDescent="0.3">
      <c r="A10535" s="15"/>
      <c r="B10535" s="5"/>
      <c r="C10535" s="5"/>
      <c r="D10535" s="5"/>
      <c r="E10535" s="5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</row>
    <row r="10536" spans="1:20" ht="45.75" customHeight="1" x14ac:dyDescent="0.3">
      <c r="A10536" s="15"/>
      <c r="B10536" s="5"/>
      <c r="C10536" s="5"/>
      <c r="D10536" s="5"/>
      <c r="E10536" s="5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</row>
    <row r="10537" spans="1:20" ht="45.75" customHeight="1" x14ac:dyDescent="0.3">
      <c r="A10537" s="15"/>
      <c r="B10537" s="5"/>
      <c r="C10537" s="5"/>
      <c r="D10537" s="5"/>
      <c r="E10537" s="5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</row>
    <row r="10538" spans="1:20" ht="45.75" customHeight="1" x14ac:dyDescent="0.3">
      <c r="A10538" s="15"/>
      <c r="B10538" s="5"/>
      <c r="C10538" s="5"/>
      <c r="D10538" s="5"/>
      <c r="E10538" s="5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</row>
    <row r="10539" spans="1:20" ht="45.75" customHeight="1" x14ac:dyDescent="0.3">
      <c r="A10539" s="15"/>
      <c r="B10539" s="5"/>
      <c r="C10539" s="5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</row>
    <row r="10540" spans="1:20" ht="45.75" customHeight="1" x14ac:dyDescent="0.3">
      <c r="A10540" s="15"/>
      <c r="B10540" s="5"/>
      <c r="C10540" s="5"/>
      <c r="D10540" s="5"/>
      <c r="E10540" s="5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</row>
    <row r="10541" spans="1:20" ht="45.75" customHeight="1" x14ac:dyDescent="0.3">
      <c r="A10541" s="15"/>
      <c r="B10541" s="5"/>
      <c r="C10541" s="5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</row>
    <row r="10542" spans="1:20" ht="45.75" customHeight="1" x14ac:dyDescent="0.3">
      <c r="A10542" s="15"/>
      <c r="B10542" s="5"/>
      <c r="C10542" s="5"/>
      <c r="D10542" s="5"/>
      <c r="E10542" s="5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</row>
    <row r="10543" spans="1:20" ht="45.75" customHeight="1" x14ac:dyDescent="0.3">
      <c r="A10543" s="15"/>
      <c r="B10543" s="5"/>
      <c r="C10543" s="5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</row>
    <row r="10544" spans="1:20" ht="45.75" customHeight="1" x14ac:dyDescent="0.3">
      <c r="A10544" s="15"/>
      <c r="B10544" s="5"/>
      <c r="C10544" s="5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</row>
    <row r="10545" spans="1:20" ht="45.75" customHeight="1" x14ac:dyDescent="0.3">
      <c r="A10545" s="15"/>
      <c r="B10545" s="5"/>
      <c r="C10545" s="5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</row>
    <row r="10546" spans="1:20" ht="45.75" customHeight="1" x14ac:dyDescent="0.3">
      <c r="A10546" s="15"/>
      <c r="B10546" s="5"/>
      <c r="C10546" s="5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</row>
    <row r="10547" spans="1:20" ht="45.75" customHeight="1" x14ac:dyDescent="0.3">
      <c r="A10547" s="15"/>
      <c r="B10547" s="5"/>
      <c r="C10547" s="5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</row>
    <row r="10548" spans="1:20" ht="45.75" customHeight="1" x14ac:dyDescent="0.3">
      <c r="A10548" s="15"/>
      <c r="B10548" s="5"/>
      <c r="C10548" s="5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</row>
    <row r="10549" spans="1:20" ht="45.75" customHeight="1" x14ac:dyDescent="0.3">
      <c r="A10549" s="15"/>
      <c r="B10549" s="5"/>
      <c r="C10549" s="5"/>
      <c r="D10549" s="5"/>
      <c r="E10549" s="5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</row>
    <row r="10550" spans="1:20" ht="45.75" customHeight="1" x14ac:dyDescent="0.3">
      <c r="A10550" s="15"/>
      <c r="B10550" s="5"/>
      <c r="C10550" s="5"/>
      <c r="D10550" s="5"/>
      <c r="E10550" s="5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</row>
    <row r="10551" spans="1:20" ht="45.75" customHeight="1" x14ac:dyDescent="0.3">
      <c r="A10551" s="15"/>
      <c r="B10551" s="5"/>
      <c r="C10551" s="5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</row>
    <row r="10552" spans="1:20" ht="45.75" customHeight="1" x14ac:dyDescent="0.3">
      <c r="A10552" s="15"/>
      <c r="B10552" s="5"/>
      <c r="C10552" s="5"/>
      <c r="D10552" s="5"/>
      <c r="E10552" s="5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</row>
    <row r="10553" spans="1:20" ht="45.75" customHeight="1" x14ac:dyDescent="0.3">
      <c r="A10553" s="15"/>
      <c r="B10553" s="5"/>
      <c r="C10553" s="5"/>
      <c r="D10553" s="5"/>
      <c r="E10553" s="5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</row>
    <row r="10554" spans="1:20" ht="45.75" customHeight="1" x14ac:dyDescent="0.3">
      <c r="A10554" s="15"/>
      <c r="B10554" s="5"/>
      <c r="C10554" s="5"/>
      <c r="D10554" s="5"/>
      <c r="E10554" s="5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</row>
    <row r="10555" spans="1:20" ht="45.75" customHeight="1" x14ac:dyDescent="0.3">
      <c r="A10555" s="15"/>
      <c r="B10555" s="5"/>
      <c r="C10555" s="5"/>
      <c r="D10555" s="5"/>
      <c r="E10555" s="5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</row>
    <row r="10556" spans="1:20" ht="45.75" customHeight="1" x14ac:dyDescent="0.3">
      <c r="A10556" s="15"/>
      <c r="B10556" s="5"/>
      <c r="C10556" s="5"/>
      <c r="D10556" s="5"/>
      <c r="E10556" s="5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</row>
    <row r="10557" spans="1:20" ht="45.75" customHeight="1" x14ac:dyDescent="0.3">
      <c r="A10557" s="15"/>
      <c r="B10557" s="5"/>
      <c r="C10557" s="5"/>
      <c r="D10557" s="5"/>
      <c r="E10557" s="5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</row>
    <row r="10558" spans="1:20" ht="45.75" customHeight="1" x14ac:dyDescent="0.3">
      <c r="A10558" s="15"/>
      <c r="B10558" s="5"/>
      <c r="C10558" s="5"/>
      <c r="D10558" s="5"/>
      <c r="E10558" s="5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</row>
    <row r="10559" spans="1:20" ht="45.75" customHeight="1" x14ac:dyDescent="0.3">
      <c r="A10559" s="15"/>
      <c r="B10559" s="5"/>
      <c r="C10559" s="5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</row>
    <row r="10560" spans="1:20" ht="45.75" customHeight="1" x14ac:dyDescent="0.3">
      <c r="A10560" s="15"/>
      <c r="B10560" s="5"/>
      <c r="C10560" s="5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</row>
    <row r="10561" spans="1:20" ht="45.75" customHeight="1" x14ac:dyDescent="0.3">
      <c r="A10561" s="15"/>
      <c r="B10561" s="5"/>
      <c r="C10561" s="5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</row>
    <row r="10562" spans="1:20" ht="45.75" customHeight="1" x14ac:dyDescent="0.3">
      <c r="A10562" s="15"/>
      <c r="B10562" s="5"/>
      <c r="C10562" s="5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</row>
    <row r="10563" spans="1:20" ht="45.75" customHeight="1" x14ac:dyDescent="0.3">
      <c r="A10563" s="15"/>
      <c r="B10563" s="5"/>
      <c r="C10563" s="5"/>
      <c r="D10563" s="5"/>
      <c r="E10563" s="5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</row>
    <row r="10564" spans="1:20" ht="45.75" customHeight="1" x14ac:dyDescent="0.3">
      <c r="A10564" s="15"/>
      <c r="B10564" s="5"/>
      <c r="C10564" s="5"/>
      <c r="D10564" s="5"/>
      <c r="E10564" s="5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</row>
    <row r="10565" spans="1:20" ht="45.75" customHeight="1" x14ac:dyDescent="0.3">
      <c r="A10565" s="15"/>
      <c r="B10565" s="5"/>
      <c r="C10565" s="5"/>
      <c r="D10565" s="5"/>
      <c r="E10565" s="5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</row>
    <row r="10566" spans="1:20" ht="45.75" customHeight="1" x14ac:dyDescent="0.3">
      <c r="A10566" s="15"/>
      <c r="B10566" s="5"/>
      <c r="C10566" s="5"/>
      <c r="D10566" s="5"/>
      <c r="E10566" s="5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</row>
    <row r="10567" spans="1:20" ht="45.75" customHeight="1" x14ac:dyDescent="0.3">
      <c r="A10567" s="15"/>
      <c r="B10567" s="5"/>
      <c r="C10567" s="5"/>
      <c r="D10567" s="5"/>
      <c r="E10567" s="5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</row>
    <row r="10568" spans="1:20" ht="45.75" customHeight="1" x14ac:dyDescent="0.3">
      <c r="A10568" s="15"/>
      <c r="B10568" s="5"/>
      <c r="C10568" s="5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</row>
    <row r="10569" spans="1:20" ht="45.75" customHeight="1" x14ac:dyDescent="0.3">
      <c r="A10569" s="15"/>
      <c r="B10569" s="5"/>
      <c r="C10569" s="5"/>
      <c r="D10569" s="5"/>
      <c r="E10569" s="5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</row>
    <row r="10570" spans="1:20" ht="45.75" customHeight="1" x14ac:dyDescent="0.3">
      <c r="A10570" s="15"/>
      <c r="B10570" s="5"/>
      <c r="C10570" s="5"/>
      <c r="D10570" s="5"/>
      <c r="E10570" s="5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</row>
    <row r="10571" spans="1:20" ht="45.75" customHeight="1" x14ac:dyDescent="0.3">
      <c r="A10571" s="15"/>
      <c r="B10571" s="5"/>
      <c r="C10571" s="5"/>
      <c r="D10571" s="5"/>
      <c r="E10571" s="5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</row>
    <row r="10572" spans="1:20" ht="45.75" customHeight="1" x14ac:dyDescent="0.3">
      <c r="A10572" s="15"/>
      <c r="B10572" s="5"/>
      <c r="C10572" s="5"/>
      <c r="D10572" s="5"/>
      <c r="E10572" s="5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</row>
    <row r="10573" spans="1:20" ht="45.75" customHeight="1" x14ac:dyDescent="0.3">
      <c r="A10573" s="15"/>
      <c r="B10573" s="5"/>
      <c r="C10573" s="5"/>
      <c r="D10573" s="5"/>
      <c r="E10573" s="5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</row>
    <row r="10574" spans="1:20" ht="45.75" customHeight="1" x14ac:dyDescent="0.3">
      <c r="A10574" s="15"/>
      <c r="B10574" s="5"/>
      <c r="C10574" s="5"/>
      <c r="D10574" s="5"/>
      <c r="E10574" s="5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</row>
    <row r="10575" spans="1:20" ht="45.75" customHeight="1" x14ac:dyDescent="0.3">
      <c r="A10575" s="15"/>
      <c r="B10575" s="5"/>
      <c r="C10575" s="5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</row>
    <row r="10576" spans="1:20" ht="45.75" customHeight="1" x14ac:dyDescent="0.3">
      <c r="A10576" s="15"/>
      <c r="B10576" s="5"/>
      <c r="C10576" s="5"/>
      <c r="D10576" s="5"/>
      <c r="E10576" s="5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</row>
    <row r="10577" spans="1:20" ht="45.75" customHeight="1" x14ac:dyDescent="0.3">
      <c r="A10577" s="15"/>
      <c r="B10577" s="5"/>
      <c r="C10577" s="5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</row>
    <row r="10578" spans="1:20" ht="45.75" customHeight="1" x14ac:dyDescent="0.3">
      <c r="A10578" s="15"/>
      <c r="B10578" s="5"/>
      <c r="C10578" s="5"/>
      <c r="D10578" s="5"/>
      <c r="E10578" s="5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</row>
    <row r="10579" spans="1:20" ht="45.75" customHeight="1" x14ac:dyDescent="0.3">
      <c r="A10579" s="15"/>
      <c r="B10579" s="5"/>
      <c r="C10579" s="5"/>
      <c r="D10579" s="5"/>
      <c r="E10579" s="5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</row>
    <row r="10580" spans="1:20" ht="45.75" customHeight="1" x14ac:dyDescent="0.3">
      <c r="A10580" s="15"/>
      <c r="B10580" s="5"/>
      <c r="C10580" s="5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</row>
    <row r="10581" spans="1:20" ht="45.75" customHeight="1" x14ac:dyDescent="0.3">
      <c r="A10581" s="15"/>
      <c r="B10581" s="5"/>
      <c r="C10581" s="5"/>
      <c r="D10581" s="5"/>
      <c r="E10581" s="5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</row>
    <row r="10582" spans="1:20" ht="45.75" customHeight="1" x14ac:dyDescent="0.3">
      <c r="A10582" s="15"/>
      <c r="B10582" s="5"/>
      <c r="C10582" s="5"/>
      <c r="D10582" s="5"/>
      <c r="E10582" s="5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</row>
    <row r="10583" spans="1:20" ht="45.75" customHeight="1" x14ac:dyDescent="0.3">
      <c r="A10583" s="15"/>
      <c r="B10583" s="5"/>
      <c r="C10583" s="5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</row>
    <row r="10584" spans="1:20" ht="45.75" customHeight="1" x14ac:dyDescent="0.3">
      <c r="A10584" s="15"/>
      <c r="B10584" s="5"/>
      <c r="C10584" s="5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</row>
    <row r="10585" spans="1:20" ht="45.75" customHeight="1" x14ac:dyDescent="0.3">
      <c r="A10585" s="15"/>
      <c r="B10585" s="5"/>
      <c r="C10585" s="5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</row>
    <row r="10586" spans="1:20" ht="45.75" customHeight="1" x14ac:dyDescent="0.3">
      <c r="A10586" s="15"/>
      <c r="B10586" s="5"/>
      <c r="C10586" s="5"/>
      <c r="D10586" s="5"/>
      <c r="E10586" s="5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</row>
    <row r="10587" spans="1:20" ht="45.75" customHeight="1" x14ac:dyDescent="0.3">
      <c r="A10587" s="15"/>
      <c r="B10587" s="5"/>
      <c r="C10587" s="5"/>
      <c r="D10587" s="5"/>
      <c r="E10587" s="5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</row>
    <row r="10588" spans="1:20" ht="45.75" customHeight="1" x14ac:dyDescent="0.3">
      <c r="A10588" s="15"/>
      <c r="B10588" s="5"/>
      <c r="C10588" s="5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</row>
    <row r="10589" spans="1:20" ht="45.75" customHeight="1" x14ac:dyDescent="0.3">
      <c r="A10589" s="15"/>
      <c r="B10589" s="5"/>
      <c r="C10589" s="5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</row>
    <row r="10590" spans="1:20" ht="45.75" customHeight="1" x14ac:dyDescent="0.3">
      <c r="A10590" s="15"/>
      <c r="B10590" s="5"/>
      <c r="C10590" s="5"/>
      <c r="D10590" s="5"/>
      <c r="E10590" s="5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</row>
    <row r="10591" spans="1:20" ht="45.75" customHeight="1" x14ac:dyDescent="0.3">
      <c r="A10591" s="15"/>
      <c r="B10591" s="5"/>
      <c r="C10591" s="5"/>
      <c r="D10591" s="5"/>
      <c r="E10591" s="5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</row>
    <row r="10592" spans="1:20" ht="45.75" customHeight="1" x14ac:dyDescent="0.3">
      <c r="A10592" s="15"/>
      <c r="B10592" s="5"/>
      <c r="C10592" s="5"/>
      <c r="D10592" s="5"/>
      <c r="E10592" s="5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</row>
    <row r="10593" spans="1:20" ht="45.75" customHeight="1" x14ac:dyDescent="0.3">
      <c r="A10593" s="15"/>
      <c r="B10593" s="5"/>
      <c r="C10593" s="5"/>
      <c r="D10593" s="5"/>
      <c r="E10593" s="5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</row>
    <row r="10594" spans="1:20" ht="45.75" customHeight="1" x14ac:dyDescent="0.3">
      <c r="A10594" s="15"/>
      <c r="B10594" s="5"/>
      <c r="C10594" s="5"/>
      <c r="D10594" s="5"/>
      <c r="E10594" s="5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</row>
    <row r="10595" spans="1:20" ht="45.75" customHeight="1" x14ac:dyDescent="0.3">
      <c r="A10595" s="15"/>
      <c r="B10595" s="5"/>
      <c r="C10595" s="5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</row>
    <row r="10596" spans="1:20" ht="45.75" customHeight="1" x14ac:dyDescent="0.3">
      <c r="A10596" s="15"/>
      <c r="B10596" s="5"/>
      <c r="C10596" s="5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</row>
    <row r="10597" spans="1:20" ht="45.75" customHeight="1" x14ac:dyDescent="0.3">
      <c r="A10597" s="15"/>
      <c r="B10597" s="5"/>
      <c r="C10597" s="5"/>
      <c r="D10597" s="5"/>
      <c r="E10597" s="5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</row>
    <row r="10598" spans="1:20" ht="45.75" customHeight="1" x14ac:dyDescent="0.3">
      <c r="A10598" s="15"/>
      <c r="B10598" s="5"/>
      <c r="C10598" s="5"/>
      <c r="D10598" s="5"/>
      <c r="E10598" s="5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</row>
    <row r="10599" spans="1:20" ht="45.75" customHeight="1" x14ac:dyDescent="0.3">
      <c r="A10599" s="15"/>
      <c r="B10599" s="5"/>
      <c r="C10599" s="5"/>
      <c r="D10599" s="5"/>
      <c r="E10599" s="5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</row>
    <row r="10600" spans="1:20" ht="45.75" customHeight="1" x14ac:dyDescent="0.3">
      <c r="A10600" s="15"/>
      <c r="B10600" s="5"/>
      <c r="C10600" s="5"/>
      <c r="D10600" s="5"/>
      <c r="E10600" s="5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</row>
    <row r="10601" spans="1:20" ht="45.75" customHeight="1" x14ac:dyDescent="0.3">
      <c r="A10601" s="15"/>
      <c r="B10601" s="5"/>
      <c r="C10601" s="5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</row>
    <row r="10602" spans="1:20" ht="45.75" customHeight="1" x14ac:dyDescent="0.3">
      <c r="A10602" s="15"/>
      <c r="B10602" s="5"/>
      <c r="C10602" s="5"/>
      <c r="D10602" s="5"/>
      <c r="E10602" s="5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</row>
    <row r="10603" spans="1:20" ht="45.75" customHeight="1" x14ac:dyDescent="0.3">
      <c r="A10603" s="15"/>
      <c r="B10603" s="5"/>
      <c r="C10603" s="5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</row>
    <row r="10604" spans="1:20" ht="45.75" customHeight="1" x14ac:dyDescent="0.3">
      <c r="A10604" s="15"/>
      <c r="B10604" s="5"/>
      <c r="C10604" s="5"/>
      <c r="D10604" s="5"/>
      <c r="E10604" s="5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</row>
    <row r="10605" spans="1:20" ht="45.75" customHeight="1" x14ac:dyDescent="0.3">
      <c r="A10605" s="15"/>
      <c r="B10605" s="5"/>
      <c r="C10605" s="5"/>
      <c r="D10605" s="5"/>
      <c r="E10605" s="5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</row>
    <row r="10606" spans="1:20" ht="45.75" customHeight="1" x14ac:dyDescent="0.3">
      <c r="A10606" s="15"/>
      <c r="B10606" s="5"/>
      <c r="C10606" s="5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</row>
    <row r="10607" spans="1:20" ht="45.75" customHeight="1" x14ac:dyDescent="0.3">
      <c r="A10607" s="15"/>
      <c r="B10607" s="5"/>
      <c r="C10607" s="5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</row>
    <row r="10608" spans="1:20" ht="45.75" customHeight="1" x14ac:dyDescent="0.3">
      <c r="A10608" s="15"/>
      <c r="B10608" s="5"/>
      <c r="C10608" s="5"/>
      <c r="D10608" s="5"/>
      <c r="E10608" s="5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</row>
    <row r="10609" spans="1:20" ht="45.75" customHeight="1" x14ac:dyDescent="0.3">
      <c r="A10609" s="15"/>
      <c r="B10609" s="5"/>
      <c r="C10609" s="5"/>
      <c r="D10609" s="5"/>
      <c r="E10609" s="5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</row>
    <row r="10610" spans="1:20" ht="45.75" customHeight="1" x14ac:dyDescent="0.3">
      <c r="A10610" s="15"/>
      <c r="B10610" s="5"/>
      <c r="C10610" s="5"/>
      <c r="D10610" s="5"/>
      <c r="E10610" s="5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</row>
    <row r="10611" spans="1:20" ht="45.75" customHeight="1" x14ac:dyDescent="0.3">
      <c r="A10611" s="15"/>
      <c r="B10611" s="5"/>
      <c r="C10611" s="5"/>
      <c r="D10611" s="5"/>
      <c r="E10611" s="5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</row>
    <row r="10612" spans="1:20" ht="45.75" customHeight="1" x14ac:dyDescent="0.3">
      <c r="A10612" s="15"/>
      <c r="B10612" s="5"/>
      <c r="C10612" s="5"/>
      <c r="D10612" s="5"/>
      <c r="E10612" s="5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</row>
    <row r="10613" spans="1:20" ht="45.75" customHeight="1" x14ac:dyDescent="0.3">
      <c r="A10613" s="15"/>
      <c r="B10613" s="5"/>
      <c r="C10613" s="5"/>
      <c r="D10613" s="5"/>
      <c r="E10613" s="5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</row>
    <row r="10614" spans="1:20" ht="45.75" customHeight="1" x14ac:dyDescent="0.3">
      <c r="A10614" s="15"/>
      <c r="B10614" s="5"/>
      <c r="C10614" s="5"/>
      <c r="D10614" s="5"/>
      <c r="E10614" s="5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</row>
    <row r="10615" spans="1:20" ht="45.75" customHeight="1" x14ac:dyDescent="0.3">
      <c r="A10615" s="15"/>
      <c r="B10615" s="5"/>
      <c r="C10615" s="5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</row>
    <row r="10616" spans="1:20" ht="45.75" customHeight="1" x14ac:dyDescent="0.3">
      <c r="A10616" s="15"/>
      <c r="B10616" s="5"/>
      <c r="C10616" s="5"/>
      <c r="D10616" s="5"/>
      <c r="E10616" s="5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</row>
    <row r="10617" spans="1:20" ht="45.75" customHeight="1" x14ac:dyDescent="0.3">
      <c r="A10617" s="15"/>
      <c r="B10617" s="5"/>
      <c r="C10617" s="5"/>
      <c r="D10617" s="5"/>
      <c r="E10617" s="5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</row>
    <row r="10618" spans="1:20" ht="45.75" customHeight="1" x14ac:dyDescent="0.3">
      <c r="A10618" s="15"/>
      <c r="B10618" s="5"/>
      <c r="C10618" s="5"/>
      <c r="D10618" s="5"/>
      <c r="E10618" s="5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</row>
    <row r="10619" spans="1:20" ht="45.75" customHeight="1" x14ac:dyDescent="0.3">
      <c r="A10619" s="15"/>
      <c r="B10619" s="5"/>
      <c r="C10619" s="5"/>
      <c r="D10619" s="5"/>
      <c r="E10619" s="5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</row>
    <row r="10620" spans="1:20" ht="45.75" customHeight="1" x14ac:dyDescent="0.3">
      <c r="A10620" s="15"/>
      <c r="B10620" s="5"/>
      <c r="C10620" s="5"/>
      <c r="D10620" s="5"/>
      <c r="E10620" s="5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</row>
    <row r="10621" spans="1:20" ht="45.75" customHeight="1" x14ac:dyDescent="0.3">
      <c r="A10621" s="15"/>
      <c r="B10621" s="5"/>
      <c r="C10621" s="5"/>
      <c r="D10621" s="5"/>
      <c r="E10621" s="5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</row>
    <row r="10622" spans="1:20" ht="45.75" customHeight="1" x14ac:dyDescent="0.3">
      <c r="A10622" s="15"/>
      <c r="B10622" s="5"/>
      <c r="C10622" s="5"/>
      <c r="D10622" s="5"/>
      <c r="E10622" s="5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</row>
    <row r="10623" spans="1:20" ht="45.75" customHeight="1" x14ac:dyDescent="0.3">
      <c r="A10623" s="15"/>
      <c r="B10623" s="5"/>
      <c r="C10623" s="5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</row>
    <row r="10624" spans="1:20" ht="45.75" customHeight="1" x14ac:dyDescent="0.3">
      <c r="A10624" s="15"/>
      <c r="B10624" s="5"/>
      <c r="C10624" s="5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</row>
    <row r="10625" spans="1:20" ht="45.75" customHeight="1" x14ac:dyDescent="0.3">
      <c r="A10625" s="15"/>
      <c r="B10625" s="5"/>
      <c r="C10625" s="5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</row>
    <row r="10626" spans="1:20" ht="45.75" customHeight="1" x14ac:dyDescent="0.3">
      <c r="A10626" s="15"/>
      <c r="B10626" s="5"/>
      <c r="C10626" s="5"/>
      <c r="D10626" s="5"/>
      <c r="E10626" s="5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</row>
    <row r="10627" spans="1:20" ht="45.75" customHeight="1" x14ac:dyDescent="0.3">
      <c r="A10627" s="15"/>
      <c r="B10627" s="5"/>
      <c r="C10627" s="5"/>
      <c r="D10627" s="5"/>
      <c r="E10627" s="5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</row>
    <row r="10628" spans="1:20" ht="45.75" customHeight="1" x14ac:dyDescent="0.3">
      <c r="A10628" s="15"/>
      <c r="B10628" s="5"/>
      <c r="C10628" s="5"/>
      <c r="D10628" s="5"/>
      <c r="E10628" s="5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</row>
    <row r="10629" spans="1:20" ht="45.75" customHeight="1" x14ac:dyDescent="0.3">
      <c r="A10629" s="15"/>
      <c r="B10629" s="5"/>
      <c r="C10629" s="5"/>
      <c r="D10629" s="5"/>
      <c r="E10629" s="5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</row>
    <row r="10630" spans="1:20" ht="45.75" customHeight="1" x14ac:dyDescent="0.3">
      <c r="A10630" s="15"/>
      <c r="B10630" s="5"/>
      <c r="C10630" s="5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</row>
    <row r="10631" spans="1:20" ht="45.75" customHeight="1" x14ac:dyDescent="0.3">
      <c r="A10631" s="15"/>
      <c r="B10631" s="5"/>
      <c r="C10631" s="5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</row>
    <row r="10632" spans="1:20" ht="45.75" customHeight="1" x14ac:dyDescent="0.3">
      <c r="A10632" s="15"/>
      <c r="B10632" s="5"/>
      <c r="C10632" s="5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</row>
    <row r="10633" spans="1:20" ht="45.75" customHeight="1" x14ac:dyDescent="0.3">
      <c r="A10633" s="15"/>
      <c r="B10633" s="5"/>
      <c r="C10633" s="5"/>
      <c r="D10633" s="5"/>
      <c r="E10633" s="5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</row>
    <row r="10634" spans="1:20" ht="45.75" customHeight="1" x14ac:dyDescent="0.3">
      <c r="A10634" s="15"/>
      <c r="B10634" s="5"/>
      <c r="C10634" s="5"/>
      <c r="D10634" s="5"/>
      <c r="E10634" s="5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</row>
    <row r="10635" spans="1:20" ht="45.75" customHeight="1" x14ac:dyDescent="0.3">
      <c r="A10635" s="15"/>
      <c r="B10635" s="5"/>
      <c r="C10635" s="5"/>
      <c r="D10635" s="5"/>
      <c r="E10635" s="5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</row>
    <row r="10636" spans="1:20" ht="45.75" customHeight="1" x14ac:dyDescent="0.3">
      <c r="A10636" s="15"/>
      <c r="B10636" s="5"/>
      <c r="C10636" s="5"/>
      <c r="D10636" s="5"/>
      <c r="E10636" s="5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</row>
    <row r="10637" spans="1:20" ht="45.75" customHeight="1" x14ac:dyDescent="0.3">
      <c r="A10637" s="15"/>
      <c r="B10637" s="5"/>
      <c r="C10637" s="5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</row>
    <row r="10638" spans="1:20" ht="45.75" customHeight="1" x14ac:dyDescent="0.3">
      <c r="A10638" s="15"/>
      <c r="B10638" s="5"/>
      <c r="C10638" s="5"/>
      <c r="D10638" s="5"/>
      <c r="E10638" s="5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</row>
    <row r="10639" spans="1:20" ht="45.75" customHeight="1" x14ac:dyDescent="0.3">
      <c r="A10639" s="15"/>
      <c r="B10639" s="5"/>
      <c r="C10639" s="5"/>
      <c r="D10639" s="5"/>
      <c r="E10639" s="5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</row>
    <row r="10640" spans="1:20" ht="45.75" customHeight="1" x14ac:dyDescent="0.3">
      <c r="A10640" s="15"/>
      <c r="B10640" s="5"/>
      <c r="C10640" s="5"/>
      <c r="D10640" s="5"/>
      <c r="E10640" s="5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</row>
    <row r="10641" spans="1:20" ht="45.75" customHeight="1" x14ac:dyDescent="0.3">
      <c r="A10641" s="15"/>
      <c r="B10641" s="5"/>
      <c r="C10641" s="5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</row>
    <row r="10642" spans="1:20" ht="45.75" customHeight="1" x14ac:dyDescent="0.3">
      <c r="A10642" s="15"/>
      <c r="B10642" s="5"/>
      <c r="C10642" s="5"/>
      <c r="D10642" s="5"/>
      <c r="E10642" s="5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</row>
    <row r="10643" spans="1:20" ht="45.75" customHeight="1" x14ac:dyDescent="0.3">
      <c r="A10643" s="15"/>
      <c r="B10643" s="5"/>
      <c r="C10643" s="5"/>
      <c r="D10643" s="5"/>
      <c r="E10643" s="5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</row>
    <row r="10644" spans="1:20" ht="45.75" customHeight="1" x14ac:dyDescent="0.3">
      <c r="A10644" s="15"/>
      <c r="B10644" s="5"/>
      <c r="C10644" s="5"/>
      <c r="D10644" s="5"/>
      <c r="E10644" s="5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</row>
    <row r="10645" spans="1:20" ht="45.75" customHeight="1" x14ac:dyDescent="0.3">
      <c r="A10645" s="15"/>
      <c r="B10645" s="5"/>
      <c r="C10645" s="5"/>
      <c r="D10645" s="5"/>
      <c r="E10645" s="5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</row>
    <row r="10646" spans="1:20" ht="45.75" customHeight="1" x14ac:dyDescent="0.3">
      <c r="A10646" s="15"/>
      <c r="B10646" s="5"/>
      <c r="C10646" s="5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</row>
    <row r="10647" spans="1:20" ht="45.75" customHeight="1" x14ac:dyDescent="0.3">
      <c r="A10647" s="15"/>
      <c r="B10647" s="5"/>
      <c r="C10647" s="5"/>
      <c r="D10647" s="5"/>
      <c r="E10647" s="5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</row>
    <row r="10648" spans="1:20" ht="45.75" customHeight="1" x14ac:dyDescent="0.3">
      <c r="A10648" s="15"/>
      <c r="B10648" s="5"/>
      <c r="C10648" s="5"/>
      <c r="D10648" s="5"/>
      <c r="E10648" s="5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</row>
    <row r="10649" spans="1:20" ht="45.75" customHeight="1" x14ac:dyDescent="0.3">
      <c r="A10649" s="15"/>
      <c r="B10649" s="5"/>
      <c r="C10649" s="5"/>
      <c r="D10649" s="5"/>
      <c r="E10649" s="5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</row>
    <row r="10650" spans="1:20" ht="45.75" customHeight="1" x14ac:dyDescent="0.3">
      <c r="A10650" s="15"/>
      <c r="B10650" s="5"/>
      <c r="C10650" s="5"/>
      <c r="D10650" s="5"/>
      <c r="E10650" s="5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</row>
    <row r="10651" spans="1:20" ht="45.75" customHeight="1" x14ac:dyDescent="0.3">
      <c r="A10651" s="15"/>
      <c r="B10651" s="5"/>
      <c r="C10651" s="5"/>
      <c r="D10651" s="5"/>
      <c r="E10651" s="5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</row>
    <row r="10652" spans="1:20" ht="45.75" customHeight="1" x14ac:dyDescent="0.3">
      <c r="A10652" s="15"/>
      <c r="B10652" s="5"/>
      <c r="C10652" s="5"/>
      <c r="D10652" s="5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</row>
    <row r="10653" spans="1:20" ht="45.75" customHeight="1" x14ac:dyDescent="0.3">
      <c r="A10653" s="15"/>
      <c r="B10653" s="5"/>
      <c r="C10653" s="5"/>
      <c r="D10653" s="5"/>
      <c r="E10653" s="5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</row>
    <row r="10654" spans="1:20" ht="45.75" customHeight="1" x14ac:dyDescent="0.3">
      <c r="A10654" s="15"/>
      <c r="B10654" s="5"/>
      <c r="C10654" s="5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</row>
    <row r="10655" spans="1:20" ht="45.75" customHeight="1" x14ac:dyDescent="0.3">
      <c r="A10655" s="15"/>
      <c r="B10655" s="5"/>
      <c r="C10655" s="5"/>
      <c r="D10655" s="5"/>
      <c r="E10655" s="5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</row>
    <row r="10656" spans="1:20" ht="45.75" customHeight="1" x14ac:dyDescent="0.3">
      <c r="A10656" s="15"/>
      <c r="B10656" s="5"/>
      <c r="C10656" s="5"/>
      <c r="D10656" s="5"/>
      <c r="E10656" s="5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</row>
    <row r="10657" spans="1:20" ht="45.75" customHeight="1" x14ac:dyDescent="0.3">
      <c r="A10657" s="15"/>
      <c r="B10657" s="5"/>
      <c r="C10657" s="5"/>
      <c r="D10657" s="5"/>
      <c r="E10657" s="5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</row>
    <row r="10658" spans="1:20" ht="45.75" customHeight="1" x14ac:dyDescent="0.3">
      <c r="A10658" s="15"/>
      <c r="B10658" s="5"/>
      <c r="C10658" s="5"/>
      <c r="D10658" s="5"/>
      <c r="E10658" s="5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</row>
    <row r="10659" spans="1:20" ht="45.75" customHeight="1" x14ac:dyDescent="0.3">
      <c r="A10659" s="15"/>
      <c r="B10659" s="5"/>
      <c r="C10659" s="5"/>
      <c r="D10659" s="5"/>
      <c r="E10659" s="5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</row>
    <row r="10660" spans="1:20" ht="45.75" customHeight="1" x14ac:dyDescent="0.3">
      <c r="A10660" s="15"/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</row>
    <row r="10661" spans="1:20" ht="45.75" customHeight="1" x14ac:dyDescent="0.3">
      <c r="A10661" s="15"/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</row>
    <row r="10662" spans="1:20" ht="45.75" customHeight="1" x14ac:dyDescent="0.3">
      <c r="A10662" s="15"/>
      <c r="B10662" s="5"/>
      <c r="C10662" s="5"/>
      <c r="D10662" s="5"/>
      <c r="E10662" s="5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</row>
    <row r="10663" spans="1:20" ht="45.75" customHeight="1" x14ac:dyDescent="0.3">
      <c r="A10663" s="15"/>
      <c r="B10663" s="5"/>
      <c r="C10663" s="5"/>
      <c r="D10663" s="5"/>
      <c r="E10663" s="5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</row>
    <row r="10664" spans="1:20" ht="45.75" customHeight="1" x14ac:dyDescent="0.3">
      <c r="A10664" s="15"/>
      <c r="B10664" s="5"/>
      <c r="C10664" s="5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</row>
    <row r="10665" spans="1:20" ht="45.75" customHeight="1" x14ac:dyDescent="0.3">
      <c r="A10665" s="15"/>
      <c r="B10665" s="5"/>
      <c r="C10665" s="5"/>
      <c r="D10665" s="5"/>
      <c r="E10665" s="5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</row>
    <row r="10666" spans="1:20" ht="45.75" customHeight="1" x14ac:dyDescent="0.3">
      <c r="A10666" s="15"/>
      <c r="B10666" s="5"/>
      <c r="C10666" s="5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</row>
    <row r="10667" spans="1:20" ht="45.75" customHeight="1" x14ac:dyDescent="0.3">
      <c r="A10667" s="15"/>
      <c r="B10667" s="5"/>
      <c r="C10667" s="5"/>
      <c r="D10667" s="5"/>
      <c r="E10667" s="5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</row>
    <row r="10668" spans="1:20" ht="45.75" customHeight="1" x14ac:dyDescent="0.3">
      <c r="A10668" s="15"/>
      <c r="B10668" s="5"/>
      <c r="C10668" s="5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</row>
    <row r="10669" spans="1:20" ht="45.75" customHeight="1" x14ac:dyDescent="0.3">
      <c r="A10669" s="15"/>
      <c r="B10669" s="5"/>
      <c r="C10669" s="5"/>
      <c r="D10669" s="5"/>
      <c r="E10669" s="5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</row>
    <row r="10670" spans="1:20" ht="45.75" customHeight="1" x14ac:dyDescent="0.3">
      <c r="A10670" s="15"/>
      <c r="B10670" s="5"/>
      <c r="C10670" s="5"/>
      <c r="D10670" s="5"/>
      <c r="E10670" s="5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</row>
    <row r="10671" spans="1:20" ht="45.75" customHeight="1" x14ac:dyDescent="0.3">
      <c r="A10671" s="15"/>
      <c r="B10671" s="5"/>
      <c r="C10671" s="5"/>
      <c r="D10671" s="5"/>
      <c r="E10671" s="5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</row>
    <row r="10672" spans="1:20" ht="45.75" customHeight="1" x14ac:dyDescent="0.3">
      <c r="A10672" s="15"/>
      <c r="B10672" s="5"/>
      <c r="C10672" s="5"/>
      <c r="D10672" s="5"/>
      <c r="E10672" s="5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</row>
    <row r="10673" spans="1:20" ht="45.75" customHeight="1" x14ac:dyDescent="0.3">
      <c r="A10673" s="15"/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</row>
    <row r="10674" spans="1:20" ht="45.75" customHeight="1" x14ac:dyDescent="0.3">
      <c r="A10674" s="15"/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</row>
    <row r="10675" spans="1:20" ht="45.75" customHeight="1" x14ac:dyDescent="0.3">
      <c r="A10675" s="15"/>
      <c r="B10675" s="5"/>
      <c r="C10675" s="5"/>
      <c r="D10675" s="5"/>
      <c r="E10675" s="5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</row>
    <row r="10676" spans="1:20" ht="45.75" customHeight="1" x14ac:dyDescent="0.3">
      <c r="A10676" s="15"/>
      <c r="B10676" s="5"/>
      <c r="C10676" s="5"/>
      <c r="D10676" s="5"/>
      <c r="E10676" s="5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</row>
    <row r="10677" spans="1:20" ht="45.75" customHeight="1" x14ac:dyDescent="0.3">
      <c r="A10677" s="15"/>
      <c r="B10677" s="5"/>
      <c r="C10677" s="5"/>
      <c r="D10677" s="5"/>
      <c r="E10677" s="5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</row>
    <row r="10678" spans="1:20" ht="45.75" customHeight="1" x14ac:dyDescent="0.3">
      <c r="A10678" s="15"/>
      <c r="B10678" s="5"/>
      <c r="C10678" s="5"/>
      <c r="D10678" s="5"/>
      <c r="E10678" s="5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</row>
    <row r="10679" spans="1:20" ht="45.75" customHeight="1" x14ac:dyDescent="0.3">
      <c r="A10679" s="15"/>
      <c r="B10679" s="5"/>
      <c r="C10679" s="5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</row>
    <row r="10680" spans="1:20" ht="45.75" customHeight="1" x14ac:dyDescent="0.3">
      <c r="A10680" s="15"/>
      <c r="B10680" s="5"/>
      <c r="C10680" s="5"/>
      <c r="D10680" s="5"/>
      <c r="E10680" s="5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</row>
    <row r="10681" spans="1:20" ht="45.75" customHeight="1" x14ac:dyDescent="0.3">
      <c r="A10681" s="15"/>
      <c r="B10681" s="5"/>
      <c r="C10681" s="5"/>
      <c r="D10681" s="5"/>
      <c r="E10681" s="5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</row>
    <row r="10682" spans="1:20" ht="45.75" customHeight="1" x14ac:dyDescent="0.3">
      <c r="A10682" s="15"/>
      <c r="B10682" s="5"/>
      <c r="C10682" s="5"/>
      <c r="D10682" s="5"/>
      <c r="E10682" s="5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</row>
    <row r="10683" spans="1:20" ht="45.75" customHeight="1" x14ac:dyDescent="0.3">
      <c r="A10683" s="15"/>
      <c r="B10683" s="5"/>
      <c r="C10683" s="5"/>
      <c r="D10683" s="5"/>
      <c r="E10683" s="5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</row>
    <row r="10684" spans="1:20" ht="45.75" customHeight="1" x14ac:dyDescent="0.3">
      <c r="A10684" s="15"/>
      <c r="B10684" s="5"/>
      <c r="C10684" s="5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</row>
    <row r="10685" spans="1:20" ht="45.75" customHeight="1" x14ac:dyDescent="0.3">
      <c r="A10685" s="15"/>
      <c r="B10685" s="5"/>
      <c r="C10685" s="5"/>
      <c r="D10685" s="5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</row>
    <row r="10686" spans="1:20" ht="45.75" customHeight="1" x14ac:dyDescent="0.3">
      <c r="A10686" s="15"/>
      <c r="B10686" s="5"/>
      <c r="C10686" s="5"/>
      <c r="D10686" s="5"/>
      <c r="E10686" s="5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</row>
    <row r="10687" spans="1:20" ht="45.75" customHeight="1" x14ac:dyDescent="0.3">
      <c r="A10687" s="15"/>
      <c r="B10687" s="5"/>
      <c r="C10687" s="5"/>
      <c r="D10687" s="5"/>
      <c r="E10687" s="5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</row>
    <row r="10688" spans="1:20" ht="45.75" customHeight="1" x14ac:dyDescent="0.3">
      <c r="A10688" s="15"/>
      <c r="B10688" s="5"/>
      <c r="C10688" s="5"/>
      <c r="D10688" s="5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</row>
    <row r="10689" spans="1:20" ht="45.75" customHeight="1" x14ac:dyDescent="0.3">
      <c r="A10689" s="15"/>
      <c r="B10689" s="5"/>
      <c r="C10689" s="5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</row>
    <row r="10690" spans="1:20" ht="45.75" customHeight="1" x14ac:dyDescent="0.3">
      <c r="A10690" s="15"/>
      <c r="B10690" s="5"/>
      <c r="C10690" s="5"/>
      <c r="D10690" s="5"/>
      <c r="E10690" s="5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</row>
    <row r="10691" spans="1:20" ht="45.75" customHeight="1" x14ac:dyDescent="0.3">
      <c r="A10691" s="15"/>
      <c r="B10691" s="5"/>
      <c r="C10691" s="5"/>
      <c r="D10691" s="5"/>
      <c r="E10691" s="5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</row>
    <row r="10692" spans="1:20" ht="45.75" customHeight="1" x14ac:dyDescent="0.3">
      <c r="A10692" s="15"/>
      <c r="B10692" s="5"/>
      <c r="C10692" s="5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</row>
    <row r="10693" spans="1:20" ht="45.75" customHeight="1" x14ac:dyDescent="0.3">
      <c r="A10693" s="15"/>
      <c r="B10693" s="5"/>
      <c r="C10693" s="5"/>
      <c r="D10693" s="5"/>
      <c r="E10693" s="5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</row>
    <row r="10694" spans="1:20" ht="45.75" customHeight="1" x14ac:dyDescent="0.3">
      <c r="A10694" s="15"/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</row>
    <row r="10695" spans="1:20" ht="45.75" customHeight="1" x14ac:dyDescent="0.3">
      <c r="A10695" s="15"/>
      <c r="B10695" s="5"/>
      <c r="C10695" s="5"/>
      <c r="D10695" s="5"/>
      <c r="E10695" s="5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</row>
    <row r="10696" spans="1:20" ht="45.75" customHeight="1" x14ac:dyDescent="0.3">
      <c r="A10696" s="15"/>
      <c r="B10696" s="5"/>
      <c r="C10696" s="5"/>
      <c r="D10696" s="5"/>
      <c r="E10696" s="5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</row>
    <row r="10697" spans="1:20" ht="45.75" customHeight="1" x14ac:dyDescent="0.3">
      <c r="A10697" s="15"/>
      <c r="B10697" s="5"/>
      <c r="C10697" s="5"/>
      <c r="D10697" s="5"/>
      <c r="E10697" s="5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</row>
    <row r="10698" spans="1:20" ht="45.75" customHeight="1" x14ac:dyDescent="0.3">
      <c r="A10698" s="15"/>
      <c r="B10698" s="5"/>
      <c r="C10698" s="5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</row>
    <row r="10699" spans="1:20" ht="45.75" customHeight="1" x14ac:dyDescent="0.3">
      <c r="A10699" s="15"/>
      <c r="B10699" s="5"/>
      <c r="C10699" s="5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</row>
    <row r="10700" spans="1:20" ht="45.75" customHeight="1" x14ac:dyDescent="0.3">
      <c r="A10700" s="15"/>
      <c r="B10700" s="5"/>
      <c r="C10700" s="5"/>
      <c r="D10700" s="5"/>
      <c r="E10700" s="5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</row>
    <row r="10701" spans="1:20" ht="45.75" customHeight="1" x14ac:dyDescent="0.3">
      <c r="A10701" s="15"/>
      <c r="B10701" s="5"/>
      <c r="C10701" s="5"/>
      <c r="D10701" s="5"/>
      <c r="E10701" s="5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</row>
    <row r="10702" spans="1:20" ht="45.75" customHeight="1" x14ac:dyDescent="0.3">
      <c r="A10702" s="15"/>
      <c r="B10702" s="5"/>
      <c r="C10702" s="5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</row>
    <row r="10703" spans="1:20" ht="45.75" customHeight="1" x14ac:dyDescent="0.3">
      <c r="A10703" s="15"/>
      <c r="B10703" s="5"/>
      <c r="C10703" s="5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</row>
    <row r="10704" spans="1:20" ht="45.75" customHeight="1" x14ac:dyDescent="0.3">
      <c r="A10704" s="15"/>
      <c r="B10704" s="5"/>
      <c r="C10704" s="5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</row>
    <row r="10705" spans="1:20" ht="45.75" customHeight="1" x14ac:dyDescent="0.3">
      <c r="A10705" s="15"/>
      <c r="B10705" s="5"/>
      <c r="C10705" s="5"/>
      <c r="D10705" s="5"/>
      <c r="E10705" s="5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</row>
    <row r="10706" spans="1:20" ht="45.75" customHeight="1" x14ac:dyDescent="0.3">
      <c r="A10706" s="15"/>
      <c r="B10706" s="5"/>
      <c r="C10706" s="5"/>
      <c r="D10706" s="5"/>
      <c r="E10706" s="5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</row>
    <row r="10707" spans="1:20" ht="45.75" customHeight="1" x14ac:dyDescent="0.3">
      <c r="A10707" s="15"/>
      <c r="B10707" s="5"/>
      <c r="C10707" s="5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</row>
    <row r="10708" spans="1:20" ht="45.75" customHeight="1" x14ac:dyDescent="0.3">
      <c r="A10708" s="15"/>
      <c r="B10708" s="5"/>
      <c r="C10708" s="5"/>
      <c r="D10708" s="5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</row>
    <row r="10709" spans="1:20" ht="45.75" customHeight="1" x14ac:dyDescent="0.3">
      <c r="A10709" s="15"/>
      <c r="B10709" s="5"/>
      <c r="C10709" s="5"/>
      <c r="D10709" s="5"/>
      <c r="E10709" s="5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</row>
    <row r="10710" spans="1:20" ht="45.75" customHeight="1" x14ac:dyDescent="0.3">
      <c r="A10710" s="15"/>
      <c r="B10710" s="5"/>
      <c r="C10710" s="5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</row>
    <row r="10711" spans="1:20" ht="45.75" customHeight="1" x14ac:dyDescent="0.3">
      <c r="A10711" s="15"/>
      <c r="B10711" s="5"/>
      <c r="C10711" s="5"/>
      <c r="D10711" s="5"/>
      <c r="E10711" s="5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</row>
    <row r="10712" spans="1:20" ht="45.75" customHeight="1" x14ac:dyDescent="0.3">
      <c r="A10712" s="15"/>
      <c r="B10712" s="5"/>
      <c r="C10712" s="5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</row>
    <row r="10713" spans="1:20" ht="45.75" customHeight="1" x14ac:dyDescent="0.3">
      <c r="A10713" s="15"/>
      <c r="B10713" s="5"/>
      <c r="C10713" s="5"/>
      <c r="D10713" s="5"/>
      <c r="E10713" s="5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</row>
    <row r="10714" spans="1:20" ht="45.75" customHeight="1" x14ac:dyDescent="0.3">
      <c r="A10714" s="15"/>
      <c r="B10714" s="5"/>
      <c r="C10714" s="5"/>
      <c r="D10714" s="5"/>
      <c r="E10714" s="5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</row>
    <row r="10715" spans="1:20" ht="45.75" customHeight="1" x14ac:dyDescent="0.3">
      <c r="A10715" s="15"/>
      <c r="B10715" s="5"/>
      <c r="C10715" s="5"/>
      <c r="D10715" s="5"/>
      <c r="E10715" s="5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</row>
    <row r="10716" spans="1:20" ht="45.75" customHeight="1" x14ac:dyDescent="0.3">
      <c r="A10716" s="15"/>
      <c r="B10716" s="5"/>
      <c r="C10716" s="5"/>
      <c r="D10716" s="5"/>
      <c r="E10716" s="5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</row>
    <row r="10717" spans="1:20" ht="45.75" customHeight="1" x14ac:dyDescent="0.3">
      <c r="A10717" s="15"/>
      <c r="B10717" s="5"/>
      <c r="C10717" s="5"/>
      <c r="D10717" s="5"/>
      <c r="E10717" s="5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</row>
    <row r="10718" spans="1:20" ht="45.75" customHeight="1" x14ac:dyDescent="0.3">
      <c r="A10718" s="15"/>
      <c r="B10718" s="5"/>
      <c r="C10718" s="5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</row>
    <row r="10719" spans="1:20" ht="45.75" customHeight="1" x14ac:dyDescent="0.3">
      <c r="A10719" s="15"/>
      <c r="B10719" s="5"/>
      <c r="C10719" s="5"/>
      <c r="D10719" s="5"/>
      <c r="E10719" s="5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</row>
    <row r="10720" spans="1:20" ht="45.75" customHeight="1" x14ac:dyDescent="0.3">
      <c r="A10720" s="15"/>
      <c r="B10720" s="5"/>
      <c r="C10720" s="5"/>
      <c r="D10720" s="5"/>
      <c r="E10720" s="5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</row>
    <row r="10721" spans="1:20" ht="45.75" customHeight="1" x14ac:dyDescent="0.3">
      <c r="A10721" s="15"/>
      <c r="B10721" s="5"/>
      <c r="C10721" s="5"/>
      <c r="D10721" s="5"/>
      <c r="E10721" s="5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</row>
    <row r="10722" spans="1:20" ht="45.75" customHeight="1" x14ac:dyDescent="0.3">
      <c r="A10722" s="15"/>
      <c r="B10722" s="5"/>
      <c r="C10722" s="5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</row>
    <row r="10723" spans="1:20" ht="45.75" customHeight="1" x14ac:dyDescent="0.3">
      <c r="A10723" s="15"/>
      <c r="B10723" s="5"/>
      <c r="C10723" s="5"/>
      <c r="D10723" s="5"/>
      <c r="E10723" s="5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</row>
    <row r="10724" spans="1:20" ht="45.75" customHeight="1" x14ac:dyDescent="0.3">
      <c r="A10724" s="15"/>
      <c r="B10724" s="5"/>
      <c r="C10724" s="5"/>
      <c r="D10724" s="5"/>
      <c r="E10724" s="5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</row>
    <row r="10725" spans="1:20" ht="45.75" customHeight="1" x14ac:dyDescent="0.3">
      <c r="A10725" s="15"/>
      <c r="B10725" s="5"/>
      <c r="C10725" s="5"/>
      <c r="D10725" s="5"/>
      <c r="E10725" s="5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</row>
    <row r="10726" spans="1:20" ht="45.75" customHeight="1" x14ac:dyDescent="0.3">
      <c r="A10726" s="15"/>
      <c r="B10726" s="5"/>
      <c r="C10726" s="5"/>
      <c r="D10726" s="5"/>
      <c r="E10726" s="5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</row>
    <row r="10727" spans="1:20" ht="45.75" customHeight="1" x14ac:dyDescent="0.3">
      <c r="A10727" s="15"/>
      <c r="B10727" s="5"/>
      <c r="C10727" s="5"/>
      <c r="D10727" s="5"/>
      <c r="E10727" s="5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</row>
    <row r="10728" spans="1:20" ht="45.75" customHeight="1" x14ac:dyDescent="0.3">
      <c r="A10728" s="15"/>
      <c r="B10728" s="5"/>
      <c r="C10728" s="5"/>
      <c r="D10728" s="5"/>
      <c r="E10728" s="5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</row>
    <row r="10729" spans="1:20" ht="45.75" customHeight="1" x14ac:dyDescent="0.3">
      <c r="A10729" s="15"/>
      <c r="B10729" s="5"/>
      <c r="C10729" s="5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</row>
    <row r="10730" spans="1:20" ht="45.75" customHeight="1" x14ac:dyDescent="0.3">
      <c r="A10730" s="15"/>
      <c r="B10730" s="5"/>
      <c r="C10730" s="5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</row>
    <row r="10731" spans="1:20" ht="45.75" customHeight="1" x14ac:dyDescent="0.3">
      <c r="A10731" s="15"/>
      <c r="B10731" s="5"/>
      <c r="C10731" s="5"/>
      <c r="D10731" s="5"/>
      <c r="E10731" s="5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</row>
    <row r="10732" spans="1:20" ht="45.75" customHeight="1" x14ac:dyDescent="0.3">
      <c r="A10732" s="15"/>
      <c r="B10732" s="5"/>
      <c r="C10732" s="5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</row>
    <row r="10733" spans="1:20" ht="45.75" customHeight="1" x14ac:dyDescent="0.3">
      <c r="A10733" s="15"/>
      <c r="B10733" s="5"/>
      <c r="C10733" s="5"/>
      <c r="D10733" s="5"/>
      <c r="E10733" s="5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</row>
    <row r="10734" spans="1:20" ht="45.75" customHeight="1" x14ac:dyDescent="0.3">
      <c r="A10734" s="15"/>
      <c r="B10734" s="5"/>
      <c r="C10734" s="5"/>
      <c r="D10734" s="5"/>
      <c r="E10734" s="5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</row>
    <row r="10735" spans="1:20" ht="45.75" customHeight="1" x14ac:dyDescent="0.3">
      <c r="A10735" s="15"/>
      <c r="B10735" s="5"/>
      <c r="C10735" s="5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</row>
    <row r="10736" spans="1:20" ht="45.75" customHeight="1" x14ac:dyDescent="0.3">
      <c r="A10736" s="15"/>
      <c r="B10736" s="5"/>
      <c r="C10736" s="5"/>
      <c r="D10736" s="5"/>
      <c r="E10736" s="5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</row>
    <row r="10737" spans="1:20" ht="45.75" customHeight="1" x14ac:dyDescent="0.3">
      <c r="A10737" s="15"/>
      <c r="B10737" s="5"/>
      <c r="C10737" s="5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</row>
    <row r="10738" spans="1:20" ht="45.75" customHeight="1" x14ac:dyDescent="0.3">
      <c r="A10738" s="15"/>
      <c r="B10738" s="5"/>
      <c r="C10738" s="5"/>
      <c r="D10738" s="5"/>
      <c r="E10738" s="5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</row>
    <row r="10739" spans="1:20" ht="45.75" customHeight="1" x14ac:dyDescent="0.3">
      <c r="A10739" s="15"/>
      <c r="B10739" s="5"/>
      <c r="C10739" s="5"/>
      <c r="D10739" s="5"/>
      <c r="E10739" s="5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</row>
    <row r="10740" spans="1:20" ht="45.75" customHeight="1" x14ac:dyDescent="0.3">
      <c r="A10740" s="15"/>
      <c r="B10740" s="5"/>
      <c r="C10740" s="5"/>
      <c r="D10740" s="5"/>
      <c r="E10740" s="5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</row>
    <row r="10741" spans="1:20" ht="45.75" customHeight="1" x14ac:dyDescent="0.3">
      <c r="A10741" s="15"/>
      <c r="B10741" s="5"/>
      <c r="C10741" s="5"/>
      <c r="D10741" s="5"/>
      <c r="E10741" s="5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</row>
    <row r="10742" spans="1:20" ht="45.75" customHeight="1" x14ac:dyDescent="0.3">
      <c r="A10742" s="15"/>
      <c r="B10742" s="5"/>
      <c r="C10742" s="5"/>
      <c r="D10742" s="5"/>
      <c r="E10742" s="5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</row>
    <row r="10743" spans="1:20" ht="45.75" customHeight="1" x14ac:dyDescent="0.3">
      <c r="A10743" s="15"/>
      <c r="B10743" s="5"/>
      <c r="C10743" s="5"/>
      <c r="D10743" s="5"/>
      <c r="E10743" s="5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</row>
    <row r="10744" spans="1:20" ht="45.75" customHeight="1" x14ac:dyDescent="0.3">
      <c r="A10744" s="15"/>
      <c r="B10744" s="5"/>
      <c r="C10744" s="5"/>
      <c r="D10744" s="5"/>
      <c r="E10744" s="5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</row>
    <row r="10745" spans="1:20" ht="45.75" customHeight="1" x14ac:dyDescent="0.3">
      <c r="A10745" s="15"/>
      <c r="B10745" s="5"/>
      <c r="C10745" s="5"/>
      <c r="D10745" s="5"/>
      <c r="E10745" s="5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</row>
    <row r="10746" spans="1:20" ht="45.75" customHeight="1" x14ac:dyDescent="0.3">
      <c r="A10746" s="15"/>
      <c r="B10746" s="5"/>
      <c r="C10746" s="5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</row>
    <row r="10747" spans="1:20" ht="45.75" customHeight="1" x14ac:dyDescent="0.3">
      <c r="A10747" s="15"/>
      <c r="B10747" s="5"/>
      <c r="C10747" s="5"/>
      <c r="D10747" s="5"/>
      <c r="E10747" s="5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</row>
    <row r="10748" spans="1:20" ht="45.75" customHeight="1" x14ac:dyDescent="0.3">
      <c r="A10748" s="15"/>
      <c r="B10748" s="5"/>
      <c r="C10748" s="5"/>
      <c r="D10748" s="5"/>
      <c r="E10748" s="5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</row>
    <row r="10749" spans="1:20" ht="45.75" customHeight="1" x14ac:dyDescent="0.3">
      <c r="A10749" s="15"/>
      <c r="B10749" s="5"/>
      <c r="C10749" s="5"/>
      <c r="D10749" s="5"/>
      <c r="E10749" s="5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</row>
    <row r="10750" spans="1:20" ht="45.75" customHeight="1" x14ac:dyDescent="0.3">
      <c r="A10750" s="15"/>
      <c r="B10750" s="5"/>
      <c r="C10750" s="5"/>
      <c r="D10750" s="5"/>
      <c r="E10750" s="5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</row>
    <row r="10751" spans="1:20" ht="45.75" customHeight="1" x14ac:dyDescent="0.3">
      <c r="A10751" s="15"/>
      <c r="B10751" s="5"/>
      <c r="C10751" s="5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</row>
    <row r="10752" spans="1:20" ht="45.75" customHeight="1" x14ac:dyDescent="0.3">
      <c r="A10752" s="15"/>
      <c r="B10752" s="5"/>
      <c r="C10752" s="5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</row>
    <row r="10753" spans="1:20" ht="45.75" customHeight="1" x14ac:dyDescent="0.3">
      <c r="A10753" s="15"/>
      <c r="B10753" s="5"/>
      <c r="C10753" s="5"/>
      <c r="D10753" s="5"/>
      <c r="E10753" s="5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</row>
    <row r="10754" spans="1:20" ht="45.75" customHeight="1" x14ac:dyDescent="0.3">
      <c r="A10754" s="15"/>
      <c r="B10754" s="5"/>
      <c r="C10754" s="5"/>
      <c r="D10754" s="5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</row>
    <row r="10755" spans="1:20" ht="45.75" customHeight="1" x14ac:dyDescent="0.3">
      <c r="A10755" s="15"/>
      <c r="B10755" s="5"/>
      <c r="C10755" s="5"/>
      <c r="D10755" s="5"/>
      <c r="E10755" s="5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</row>
    <row r="10756" spans="1:20" ht="45.75" customHeight="1" x14ac:dyDescent="0.3">
      <c r="A10756" s="15"/>
      <c r="B10756" s="5"/>
      <c r="C10756" s="5"/>
      <c r="D10756" s="5"/>
      <c r="E10756" s="5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</row>
    <row r="10757" spans="1:20" ht="45.75" customHeight="1" x14ac:dyDescent="0.3">
      <c r="A10757" s="15"/>
      <c r="B10757" s="5"/>
      <c r="C10757" s="5"/>
      <c r="D10757" s="5"/>
      <c r="E10757" s="5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</row>
    <row r="10758" spans="1:20" ht="45.75" customHeight="1" x14ac:dyDescent="0.3">
      <c r="A10758" s="15"/>
      <c r="B10758" s="5"/>
      <c r="C10758" s="5"/>
      <c r="D10758" s="5"/>
      <c r="E10758" s="5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</row>
    <row r="10759" spans="1:20" ht="45.75" customHeight="1" x14ac:dyDescent="0.3">
      <c r="A10759" s="15"/>
      <c r="B10759" s="5"/>
      <c r="C10759" s="5"/>
      <c r="D10759" s="5"/>
      <c r="E10759" s="5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</row>
    <row r="10760" spans="1:20" ht="45.75" customHeight="1" x14ac:dyDescent="0.3">
      <c r="A10760" s="15"/>
      <c r="B10760" s="5"/>
      <c r="C10760" s="5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</row>
    <row r="10761" spans="1:20" ht="45.75" customHeight="1" x14ac:dyDescent="0.3">
      <c r="A10761" s="15"/>
      <c r="B10761" s="5"/>
      <c r="C10761" s="5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</row>
    <row r="10762" spans="1:20" ht="45.75" customHeight="1" x14ac:dyDescent="0.3">
      <c r="A10762" s="15"/>
      <c r="B10762" s="5"/>
      <c r="C10762" s="5"/>
      <c r="D10762" s="5"/>
      <c r="E10762" s="5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</row>
    <row r="10763" spans="1:20" ht="45.75" customHeight="1" x14ac:dyDescent="0.3">
      <c r="A10763" s="15"/>
      <c r="B10763" s="5"/>
      <c r="C10763" s="5"/>
      <c r="D10763" s="5"/>
      <c r="E10763" s="5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</row>
    <row r="10764" spans="1:20" ht="45.75" customHeight="1" x14ac:dyDescent="0.3">
      <c r="A10764" s="15"/>
      <c r="B10764" s="5"/>
      <c r="C10764" s="5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</row>
    <row r="10765" spans="1:20" ht="45.75" customHeight="1" x14ac:dyDescent="0.3">
      <c r="A10765" s="15"/>
      <c r="B10765" s="5"/>
      <c r="C10765" s="5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</row>
    <row r="10766" spans="1:20" ht="45.75" customHeight="1" x14ac:dyDescent="0.3">
      <c r="A10766" s="15"/>
      <c r="B10766" s="5"/>
      <c r="C10766" s="5"/>
      <c r="D10766" s="5"/>
      <c r="E10766" s="5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</row>
    <row r="10767" spans="1:20" ht="45.75" customHeight="1" x14ac:dyDescent="0.3">
      <c r="A10767" s="15"/>
      <c r="B10767" s="5"/>
      <c r="C10767" s="5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</row>
    <row r="10768" spans="1:20" ht="45.75" customHeight="1" x14ac:dyDescent="0.3">
      <c r="A10768" s="15"/>
      <c r="B10768" s="5"/>
      <c r="C10768" s="5"/>
      <c r="D10768" s="5"/>
      <c r="E10768" s="5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</row>
    <row r="10769" spans="1:20" ht="45.75" customHeight="1" x14ac:dyDescent="0.3">
      <c r="A10769" s="15"/>
      <c r="B10769" s="5"/>
      <c r="C10769" s="5"/>
      <c r="D10769" s="5"/>
      <c r="E10769" s="5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</row>
    <row r="10770" spans="1:20" ht="45.75" customHeight="1" x14ac:dyDescent="0.3">
      <c r="A10770" s="15"/>
      <c r="B10770" s="5"/>
      <c r="C10770" s="5"/>
      <c r="D10770" s="5"/>
      <c r="E10770" s="5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</row>
    <row r="10771" spans="1:20" ht="45.75" customHeight="1" x14ac:dyDescent="0.3">
      <c r="A10771" s="15"/>
      <c r="B10771" s="5"/>
      <c r="C10771" s="5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</row>
    <row r="10772" spans="1:20" ht="45.75" customHeight="1" x14ac:dyDescent="0.3">
      <c r="A10772" s="15"/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</row>
    <row r="10773" spans="1:20" ht="45.75" customHeight="1" x14ac:dyDescent="0.3">
      <c r="A10773" s="15"/>
      <c r="B10773" s="5"/>
      <c r="C10773" s="5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</row>
    <row r="10774" spans="1:20" ht="45.75" customHeight="1" x14ac:dyDescent="0.3">
      <c r="A10774" s="15"/>
      <c r="B10774" s="5"/>
      <c r="C10774" s="5"/>
      <c r="D10774" s="5"/>
      <c r="E10774" s="5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</row>
    <row r="10775" spans="1:20" ht="45.75" customHeight="1" x14ac:dyDescent="0.3">
      <c r="A10775" s="15"/>
      <c r="B10775" s="5"/>
      <c r="C10775" s="5"/>
      <c r="D10775" s="5"/>
      <c r="E10775" s="5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</row>
    <row r="10776" spans="1:20" ht="45.75" customHeight="1" x14ac:dyDescent="0.3">
      <c r="A10776" s="15"/>
      <c r="B10776" s="5"/>
      <c r="C10776" s="5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</row>
    <row r="10777" spans="1:20" ht="45.75" customHeight="1" x14ac:dyDescent="0.3">
      <c r="A10777" s="15"/>
      <c r="B10777" s="5"/>
      <c r="C10777" s="5"/>
      <c r="D10777" s="5"/>
      <c r="E10777" s="5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</row>
    <row r="10778" spans="1:20" ht="45.75" customHeight="1" x14ac:dyDescent="0.3">
      <c r="A10778" s="15"/>
      <c r="B10778" s="5"/>
      <c r="C10778" s="5"/>
      <c r="D10778" s="5"/>
      <c r="E10778" s="5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</row>
    <row r="10779" spans="1:20" ht="45.75" customHeight="1" x14ac:dyDescent="0.3">
      <c r="A10779" s="15"/>
      <c r="B10779" s="5"/>
      <c r="C10779" s="5"/>
      <c r="D10779" s="5"/>
      <c r="E10779" s="5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</row>
    <row r="10780" spans="1:20" ht="45.75" customHeight="1" x14ac:dyDescent="0.3">
      <c r="A10780" s="15"/>
      <c r="B10780" s="5"/>
      <c r="C10780" s="5"/>
      <c r="D10780" s="5"/>
      <c r="E10780" s="5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</row>
    <row r="10781" spans="1:20" ht="45.75" customHeight="1" x14ac:dyDescent="0.3">
      <c r="A10781" s="15"/>
      <c r="B10781" s="5"/>
      <c r="C10781" s="5"/>
      <c r="D10781" s="5"/>
      <c r="E10781" s="5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</row>
    <row r="10782" spans="1:20" ht="45.75" customHeight="1" x14ac:dyDescent="0.3">
      <c r="A10782" s="15"/>
      <c r="B10782" s="5"/>
      <c r="C10782" s="5"/>
      <c r="D10782" s="5"/>
      <c r="E10782" s="5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</row>
    <row r="10783" spans="1:20" ht="45.75" customHeight="1" x14ac:dyDescent="0.3">
      <c r="A10783" s="15"/>
      <c r="B10783" s="5"/>
      <c r="C10783" s="5"/>
      <c r="D10783" s="5"/>
      <c r="E10783" s="5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</row>
    <row r="10784" spans="1:20" ht="45.75" customHeight="1" x14ac:dyDescent="0.3">
      <c r="A10784" s="15"/>
      <c r="B10784" s="5"/>
      <c r="C10784" s="5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</row>
    <row r="10785" spans="1:20" ht="45.75" customHeight="1" x14ac:dyDescent="0.3">
      <c r="A10785" s="15"/>
      <c r="B10785" s="5"/>
      <c r="C10785" s="5"/>
      <c r="D10785" s="5"/>
      <c r="E10785" s="5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</row>
    <row r="10786" spans="1:20" ht="45.75" customHeight="1" x14ac:dyDescent="0.3">
      <c r="A10786" s="15"/>
      <c r="B10786" s="5"/>
      <c r="C10786" s="5"/>
      <c r="D10786" s="5"/>
      <c r="E10786" s="5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</row>
    <row r="10787" spans="1:20" ht="45.75" customHeight="1" x14ac:dyDescent="0.3">
      <c r="A10787" s="15"/>
      <c r="B10787" s="5"/>
      <c r="C10787" s="5"/>
      <c r="D10787" s="5"/>
      <c r="E10787" s="5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</row>
    <row r="10788" spans="1:20" ht="45.75" customHeight="1" x14ac:dyDescent="0.3">
      <c r="A10788" s="15"/>
      <c r="B10788" s="5"/>
      <c r="C10788" s="5"/>
      <c r="D10788" s="5"/>
      <c r="E10788" s="5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</row>
    <row r="10789" spans="1:20" ht="45.75" customHeight="1" x14ac:dyDescent="0.3">
      <c r="A10789" s="15"/>
      <c r="B10789" s="5"/>
      <c r="C10789" s="5"/>
      <c r="D10789" s="5"/>
      <c r="E10789" s="5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</row>
    <row r="10790" spans="1:20" ht="45.75" customHeight="1" x14ac:dyDescent="0.3">
      <c r="A10790" s="15"/>
      <c r="B10790" s="5"/>
      <c r="C10790" s="5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</row>
    <row r="10791" spans="1:20" ht="45.75" customHeight="1" x14ac:dyDescent="0.3">
      <c r="A10791" s="15"/>
      <c r="B10791" s="5"/>
      <c r="C10791" s="5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</row>
    <row r="10792" spans="1:20" ht="45.75" customHeight="1" x14ac:dyDescent="0.3">
      <c r="A10792" s="15"/>
      <c r="B10792" s="5"/>
      <c r="C10792" s="5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</row>
    <row r="10793" spans="1:20" ht="45.75" customHeight="1" x14ac:dyDescent="0.3">
      <c r="A10793" s="15"/>
      <c r="B10793" s="5"/>
      <c r="C10793" s="5"/>
      <c r="D10793" s="5"/>
      <c r="E10793" s="5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</row>
    <row r="10794" spans="1:20" ht="45.75" customHeight="1" x14ac:dyDescent="0.3">
      <c r="A10794" s="15"/>
      <c r="B10794" s="5"/>
      <c r="C10794" s="5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</row>
    <row r="10795" spans="1:20" ht="45.75" customHeight="1" x14ac:dyDescent="0.3">
      <c r="A10795" s="15"/>
      <c r="B10795" s="5"/>
      <c r="C10795" s="5"/>
      <c r="D10795" s="5"/>
      <c r="E10795" s="5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</row>
    <row r="10796" spans="1:20" ht="45.75" customHeight="1" x14ac:dyDescent="0.3">
      <c r="A10796" s="15"/>
      <c r="B10796" s="5"/>
      <c r="C10796" s="5"/>
      <c r="D10796" s="5"/>
      <c r="E10796" s="5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</row>
    <row r="10797" spans="1:20" ht="45.75" customHeight="1" x14ac:dyDescent="0.3">
      <c r="A10797" s="15"/>
      <c r="B10797" s="5"/>
      <c r="C10797" s="5"/>
      <c r="D10797" s="5"/>
      <c r="E10797" s="5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</row>
    <row r="10798" spans="1:20" ht="45.75" customHeight="1" x14ac:dyDescent="0.3">
      <c r="A10798" s="15"/>
      <c r="B10798" s="5"/>
      <c r="C10798" s="5"/>
      <c r="D10798" s="5"/>
      <c r="E10798" s="5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</row>
    <row r="10799" spans="1:20" ht="45.75" customHeight="1" x14ac:dyDescent="0.3">
      <c r="A10799" s="15"/>
      <c r="B10799" s="5"/>
      <c r="C10799" s="5"/>
      <c r="D10799" s="5"/>
      <c r="E10799" s="5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</row>
    <row r="10800" spans="1:20" ht="45.75" customHeight="1" x14ac:dyDescent="0.3">
      <c r="A10800" s="15"/>
      <c r="B10800" s="5"/>
      <c r="C10800" s="5"/>
      <c r="D10800" s="5"/>
      <c r="E10800" s="5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</row>
    <row r="10801" spans="1:20" ht="45.75" customHeight="1" x14ac:dyDescent="0.3">
      <c r="A10801" s="15"/>
      <c r="B10801" s="5"/>
      <c r="C10801" s="5"/>
      <c r="D10801" s="5"/>
      <c r="E10801" s="5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</row>
    <row r="10802" spans="1:20" ht="45.75" customHeight="1" x14ac:dyDescent="0.3">
      <c r="A10802" s="15"/>
      <c r="B10802" s="5"/>
      <c r="C10802" s="5"/>
      <c r="D10802" s="5"/>
      <c r="E10802" s="5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</row>
    <row r="10803" spans="1:20" ht="45.75" customHeight="1" x14ac:dyDescent="0.3">
      <c r="A10803" s="15"/>
      <c r="B10803" s="5"/>
      <c r="C10803" s="5"/>
      <c r="D10803" s="5"/>
      <c r="E10803" s="5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</row>
    <row r="10804" spans="1:20" ht="45.75" customHeight="1" x14ac:dyDescent="0.3">
      <c r="A10804" s="15"/>
      <c r="B10804" s="5"/>
      <c r="C10804" s="5"/>
      <c r="D10804" s="5"/>
      <c r="E10804" s="5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</row>
    <row r="10805" spans="1:20" ht="45.75" customHeight="1" x14ac:dyDescent="0.3">
      <c r="A10805" s="15"/>
      <c r="B10805" s="5"/>
      <c r="C10805" s="5"/>
      <c r="D10805" s="5"/>
      <c r="E10805" s="5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</row>
    <row r="10806" spans="1:20" ht="45.75" customHeight="1" x14ac:dyDescent="0.3">
      <c r="A10806" s="15"/>
      <c r="B10806" s="5"/>
      <c r="C10806" s="5"/>
      <c r="D10806" s="5"/>
      <c r="E10806" s="5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</row>
    <row r="10807" spans="1:20" ht="45.75" customHeight="1" x14ac:dyDescent="0.3">
      <c r="A10807" s="15"/>
      <c r="B10807" s="5"/>
      <c r="C10807" s="5"/>
      <c r="D10807" s="5"/>
      <c r="E10807" s="5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</row>
    <row r="10808" spans="1:20" ht="45.75" customHeight="1" x14ac:dyDescent="0.3">
      <c r="A10808" s="15"/>
      <c r="B10808" s="5"/>
      <c r="C10808" s="5"/>
      <c r="D10808" s="5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</row>
    <row r="10809" spans="1:20" ht="45.75" customHeight="1" x14ac:dyDescent="0.3">
      <c r="A10809" s="15"/>
      <c r="B10809" s="5"/>
      <c r="C10809" s="5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</row>
    <row r="10810" spans="1:20" ht="45.75" customHeight="1" x14ac:dyDescent="0.3">
      <c r="A10810" s="15"/>
      <c r="B10810" s="5"/>
      <c r="C10810" s="5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</row>
    <row r="10811" spans="1:20" ht="45.75" customHeight="1" x14ac:dyDescent="0.3">
      <c r="A10811" s="15"/>
      <c r="B10811" s="5"/>
      <c r="C10811" s="5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</row>
    <row r="10812" spans="1:20" ht="45.75" customHeight="1" x14ac:dyDescent="0.3">
      <c r="A10812" s="15"/>
      <c r="B10812" s="5"/>
      <c r="C10812" s="5"/>
      <c r="D10812" s="5"/>
      <c r="E10812" s="5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</row>
    <row r="10813" spans="1:20" ht="45.75" customHeight="1" x14ac:dyDescent="0.3">
      <c r="A10813" s="15"/>
      <c r="B10813" s="5"/>
      <c r="C10813" s="5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</row>
    <row r="10814" spans="1:20" ht="45.75" customHeight="1" x14ac:dyDescent="0.3">
      <c r="A10814" s="15"/>
      <c r="B10814" s="5"/>
      <c r="C10814" s="5"/>
      <c r="D10814" s="5"/>
      <c r="E10814" s="5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</row>
    <row r="10815" spans="1:20" ht="45.75" customHeight="1" x14ac:dyDescent="0.3">
      <c r="A10815" s="15"/>
      <c r="B10815" s="5"/>
      <c r="C10815" s="5"/>
      <c r="D10815" s="5"/>
      <c r="E10815" s="5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</row>
    <row r="10816" spans="1:20" ht="45.75" customHeight="1" x14ac:dyDescent="0.3">
      <c r="A10816" s="15"/>
      <c r="B10816" s="5"/>
      <c r="C10816" s="5"/>
      <c r="D10816" s="5"/>
      <c r="E10816" s="5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</row>
    <row r="10817" spans="1:20" ht="45.75" customHeight="1" x14ac:dyDescent="0.3">
      <c r="A10817" s="15"/>
      <c r="B10817" s="5"/>
      <c r="C10817" s="5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</row>
    <row r="10818" spans="1:20" ht="45.75" customHeight="1" x14ac:dyDescent="0.3">
      <c r="A10818" s="15"/>
      <c r="B10818" s="5"/>
      <c r="C10818" s="5"/>
      <c r="D10818" s="5"/>
      <c r="E10818" s="5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</row>
    <row r="10819" spans="1:20" ht="45.75" customHeight="1" x14ac:dyDescent="0.3">
      <c r="A10819" s="15"/>
      <c r="B10819" s="5"/>
      <c r="C10819" s="5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</row>
    <row r="10820" spans="1:20" ht="45.75" customHeight="1" x14ac:dyDescent="0.3">
      <c r="A10820" s="15"/>
      <c r="B10820" s="5"/>
      <c r="C10820" s="5"/>
      <c r="D10820" s="5"/>
      <c r="E10820" s="5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</row>
    <row r="10821" spans="1:20" ht="45.75" customHeight="1" x14ac:dyDescent="0.3">
      <c r="A10821" s="15"/>
      <c r="B10821" s="5"/>
      <c r="C10821" s="5"/>
      <c r="D10821" s="5"/>
      <c r="E10821" s="5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</row>
    <row r="10822" spans="1:20" ht="45.75" customHeight="1" x14ac:dyDescent="0.3">
      <c r="A10822" s="15"/>
      <c r="B10822" s="5"/>
      <c r="C10822" s="5"/>
      <c r="D10822" s="5"/>
      <c r="E10822" s="5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</row>
    <row r="10823" spans="1:20" ht="45.75" customHeight="1" x14ac:dyDescent="0.3">
      <c r="A10823" s="15"/>
      <c r="B10823" s="5"/>
      <c r="C10823" s="5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</row>
    <row r="10824" spans="1:20" ht="45.75" customHeight="1" x14ac:dyDescent="0.3">
      <c r="A10824" s="15"/>
      <c r="B10824" s="5"/>
      <c r="C10824" s="5"/>
      <c r="D10824" s="5"/>
      <c r="E10824" s="5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</row>
    <row r="10825" spans="1:20" ht="45.75" customHeight="1" x14ac:dyDescent="0.3">
      <c r="A10825" s="15"/>
      <c r="B10825" s="5"/>
      <c r="C10825" s="5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</row>
    <row r="10826" spans="1:20" ht="45.75" customHeight="1" x14ac:dyDescent="0.3">
      <c r="A10826" s="15"/>
      <c r="B10826" s="5"/>
      <c r="C10826" s="5"/>
      <c r="D10826" s="5"/>
      <c r="E10826" s="5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</row>
    <row r="10827" spans="1:20" ht="45.75" customHeight="1" x14ac:dyDescent="0.3">
      <c r="A10827" s="15"/>
      <c r="B10827" s="5"/>
      <c r="C10827" s="5"/>
      <c r="D10827" s="5"/>
      <c r="E10827" s="5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</row>
    <row r="10828" spans="1:20" ht="45.75" customHeight="1" x14ac:dyDescent="0.3">
      <c r="A10828" s="15"/>
      <c r="B10828" s="5"/>
      <c r="C10828" s="5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</row>
    <row r="10829" spans="1:20" ht="45.75" customHeight="1" x14ac:dyDescent="0.3">
      <c r="A10829" s="15"/>
      <c r="B10829" s="5"/>
      <c r="C10829" s="5"/>
      <c r="D10829" s="5"/>
      <c r="E10829" s="5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</row>
    <row r="10830" spans="1:20" ht="45.75" customHeight="1" x14ac:dyDescent="0.3">
      <c r="A10830" s="15"/>
      <c r="B10830" s="5"/>
      <c r="C10830" s="5"/>
      <c r="D10830" s="5"/>
      <c r="E10830" s="5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</row>
    <row r="10831" spans="1:20" ht="45.75" customHeight="1" x14ac:dyDescent="0.3">
      <c r="A10831" s="15"/>
      <c r="B10831" s="5"/>
      <c r="C10831" s="5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</row>
    <row r="10832" spans="1:20" ht="45.75" customHeight="1" x14ac:dyDescent="0.3">
      <c r="A10832" s="15"/>
      <c r="B10832" s="5"/>
      <c r="C10832" s="5"/>
      <c r="D10832" s="5"/>
      <c r="E10832" s="5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</row>
    <row r="10833" spans="1:20" ht="45.75" customHeight="1" x14ac:dyDescent="0.3">
      <c r="A10833" s="15"/>
      <c r="B10833" s="5"/>
      <c r="C10833" s="5"/>
      <c r="D10833" s="5"/>
      <c r="E10833" s="5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</row>
    <row r="10834" spans="1:20" ht="45.75" customHeight="1" x14ac:dyDescent="0.3">
      <c r="A10834" s="15"/>
      <c r="B10834" s="5"/>
      <c r="C10834" s="5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</row>
    <row r="10835" spans="1:20" ht="45.75" customHeight="1" x14ac:dyDescent="0.3">
      <c r="A10835" s="15"/>
      <c r="B10835" s="5"/>
      <c r="C10835" s="5"/>
      <c r="D10835" s="5"/>
      <c r="E10835" s="5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</row>
    <row r="10836" spans="1:20" ht="45.75" customHeight="1" x14ac:dyDescent="0.3">
      <c r="A10836" s="15"/>
      <c r="B10836" s="5"/>
      <c r="C10836" s="5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</row>
    <row r="10837" spans="1:20" ht="45.75" customHeight="1" x14ac:dyDescent="0.3">
      <c r="A10837" s="15"/>
      <c r="B10837" s="5"/>
      <c r="C10837" s="5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</row>
    <row r="10838" spans="1:20" ht="45.75" customHeight="1" x14ac:dyDescent="0.3">
      <c r="A10838" s="15"/>
      <c r="B10838" s="5"/>
      <c r="C10838" s="5"/>
      <c r="D10838" s="5"/>
      <c r="E10838" s="5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</row>
    <row r="10839" spans="1:20" ht="45.75" customHeight="1" x14ac:dyDescent="0.3">
      <c r="A10839" s="15"/>
      <c r="B10839" s="5"/>
      <c r="C10839" s="5"/>
      <c r="D10839" s="5"/>
      <c r="E10839" s="5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</row>
    <row r="10840" spans="1:20" ht="45.75" customHeight="1" x14ac:dyDescent="0.3">
      <c r="A10840" s="15"/>
      <c r="B10840" s="5"/>
      <c r="C10840" s="5"/>
      <c r="D10840" s="5"/>
      <c r="E10840" s="5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</row>
    <row r="10841" spans="1:20" ht="45.75" customHeight="1" x14ac:dyDescent="0.3">
      <c r="A10841" s="15"/>
      <c r="B10841" s="5"/>
      <c r="C10841" s="5"/>
      <c r="D10841" s="5"/>
      <c r="E10841" s="5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</row>
    <row r="10842" spans="1:20" ht="45.75" customHeight="1" x14ac:dyDescent="0.3">
      <c r="A10842" s="15"/>
      <c r="B10842" s="5"/>
      <c r="C10842" s="5"/>
      <c r="D10842" s="5"/>
      <c r="E10842" s="5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</row>
    <row r="10843" spans="1:20" ht="45.75" customHeight="1" x14ac:dyDescent="0.3">
      <c r="A10843" s="15"/>
      <c r="B10843" s="5"/>
      <c r="C10843" s="5"/>
      <c r="D10843" s="5"/>
      <c r="E10843" s="5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</row>
    <row r="10844" spans="1:20" ht="45.75" customHeight="1" x14ac:dyDescent="0.3">
      <c r="A10844" s="15"/>
      <c r="B10844" s="5"/>
      <c r="C10844" s="5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</row>
    <row r="10845" spans="1:20" ht="45.75" customHeight="1" x14ac:dyDescent="0.3">
      <c r="A10845" s="15"/>
      <c r="B10845" s="5"/>
      <c r="C10845" s="5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</row>
    <row r="10846" spans="1:20" ht="45.75" customHeight="1" x14ac:dyDescent="0.3">
      <c r="A10846" s="15"/>
      <c r="B10846" s="5"/>
      <c r="C10846" s="5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</row>
    <row r="10847" spans="1:20" ht="45.75" customHeight="1" x14ac:dyDescent="0.3">
      <c r="A10847" s="15"/>
      <c r="B10847" s="5"/>
      <c r="C10847" s="5"/>
      <c r="D10847" s="5"/>
      <c r="E10847" s="5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</row>
    <row r="10848" spans="1:20" ht="45.75" customHeight="1" x14ac:dyDescent="0.3">
      <c r="A10848" s="15"/>
      <c r="B10848" s="5"/>
      <c r="C10848" s="5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</row>
    <row r="10849" spans="1:20" ht="45.75" customHeight="1" x14ac:dyDescent="0.3">
      <c r="A10849" s="15"/>
      <c r="B10849" s="5"/>
      <c r="C10849" s="5"/>
      <c r="D10849" s="5"/>
      <c r="E10849" s="5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</row>
    <row r="10850" spans="1:20" ht="45.75" customHeight="1" x14ac:dyDescent="0.3">
      <c r="A10850" s="15"/>
      <c r="B10850" s="5"/>
      <c r="C10850" s="5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</row>
    <row r="10851" spans="1:20" ht="45.75" customHeight="1" x14ac:dyDescent="0.3">
      <c r="A10851" s="15"/>
      <c r="B10851" s="5"/>
      <c r="C10851" s="5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</row>
    <row r="10852" spans="1:20" ht="45.75" customHeight="1" x14ac:dyDescent="0.3">
      <c r="A10852" s="15"/>
      <c r="B10852" s="5"/>
      <c r="C10852" s="5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</row>
    <row r="10853" spans="1:20" ht="45.75" customHeight="1" x14ac:dyDescent="0.3">
      <c r="A10853" s="15"/>
      <c r="B10853" s="5"/>
      <c r="C10853" s="5"/>
      <c r="D10853" s="5"/>
      <c r="E10853" s="5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</row>
    <row r="10854" spans="1:20" ht="45.75" customHeight="1" x14ac:dyDescent="0.3">
      <c r="A10854" s="15"/>
      <c r="B10854" s="5"/>
      <c r="C10854" s="5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</row>
    <row r="10855" spans="1:20" ht="45.75" customHeight="1" x14ac:dyDescent="0.3">
      <c r="A10855" s="15"/>
      <c r="B10855" s="5"/>
      <c r="C10855" s="5"/>
      <c r="D10855" s="5"/>
      <c r="E10855" s="5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</row>
    <row r="10856" spans="1:20" ht="45.75" customHeight="1" x14ac:dyDescent="0.3">
      <c r="A10856" s="15"/>
      <c r="B10856" s="5"/>
      <c r="C10856" s="5"/>
      <c r="D10856" s="5"/>
      <c r="E10856" s="5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</row>
    <row r="10857" spans="1:20" ht="45.75" customHeight="1" x14ac:dyDescent="0.3">
      <c r="A10857" s="15"/>
      <c r="B10857" s="5"/>
      <c r="C10857" s="5"/>
      <c r="D10857" s="5"/>
      <c r="E10857" s="5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</row>
    <row r="10858" spans="1:20" ht="45.75" customHeight="1" x14ac:dyDescent="0.3">
      <c r="A10858" s="15"/>
      <c r="B10858" s="5"/>
      <c r="C10858" s="5"/>
      <c r="D10858" s="5"/>
      <c r="E10858" s="5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</row>
    <row r="10859" spans="1:20" ht="45.75" customHeight="1" x14ac:dyDescent="0.3">
      <c r="A10859" s="15"/>
      <c r="B10859" s="5"/>
      <c r="C10859" s="5"/>
      <c r="D10859" s="5"/>
      <c r="E10859" s="5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</row>
    <row r="10860" spans="1:20" ht="45.75" customHeight="1" x14ac:dyDescent="0.3">
      <c r="A10860" s="15"/>
      <c r="B10860" s="5"/>
      <c r="C10860" s="5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</row>
    <row r="10861" spans="1:20" ht="45.75" customHeight="1" x14ac:dyDescent="0.3">
      <c r="A10861" s="15"/>
      <c r="B10861" s="5"/>
      <c r="C10861" s="5"/>
      <c r="D10861" s="5"/>
      <c r="E10861" s="5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</row>
    <row r="10862" spans="1:20" ht="45.75" customHeight="1" x14ac:dyDescent="0.3">
      <c r="A10862" s="15"/>
      <c r="B10862" s="5"/>
      <c r="C10862" s="5"/>
      <c r="D10862" s="5"/>
      <c r="E10862" s="5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</row>
    <row r="10863" spans="1:20" ht="45.75" customHeight="1" x14ac:dyDescent="0.3">
      <c r="A10863" s="15"/>
      <c r="B10863" s="5"/>
      <c r="C10863" s="5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</row>
    <row r="10864" spans="1:20" ht="45.75" customHeight="1" x14ac:dyDescent="0.3">
      <c r="A10864" s="15"/>
      <c r="B10864" s="5"/>
      <c r="C10864" s="5"/>
      <c r="D10864" s="5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</row>
    <row r="10865" spans="1:20" ht="45.75" customHeight="1" x14ac:dyDescent="0.3">
      <c r="A10865" s="15"/>
      <c r="B10865" s="5"/>
      <c r="C10865" s="5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</row>
    <row r="10866" spans="1:20" ht="45.75" customHeight="1" x14ac:dyDescent="0.3">
      <c r="A10866" s="15"/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</row>
    <row r="10867" spans="1:20" ht="45.75" customHeight="1" x14ac:dyDescent="0.3">
      <c r="A10867" s="15"/>
      <c r="B10867" s="5"/>
      <c r="C10867" s="5"/>
      <c r="D10867" s="5"/>
      <c r="E10867" s="5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</row>
    <row r="10868" spans="1:20" ht="45.75" customHeight="1" x14ac:dyDescent="0.3">
      <c r="A10868" s="15"/>
      <c r="B10868" s="5"/>
      <c r="C10868" s="5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</row>
    <row r="10869" spans="1:20" ht="45.75" customHeight="1" x14ac:dyDescent="0.3">
      <c r="A10869" s="15"/>
      <c r="B10869" s="5"/>
      <c r="C10869" s="5"/>
      <c r="D10869" s="5"/>
      <c r="E10869" s="5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</row>
    <row r="10870" spans="1:20" ht="45.75" customHeight="1" x14ac:dyDescent="0.3">
      <c r="A10870" s="15"/>
      <c r="B10870" s="5"/>
      <c r="C10870" s="5"/>
      <c r="D10870" s="5"/>
      <c r="E10870" s="5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</row>
    <row r="10871" spans="1:20" ht="45.75" customHeight="1" x14ac:dyDescent="0.3">
      <c r="A10871" s="15"/>
      <c r="B10871" s="5"/>
      <c r="C10871" s="5"/>
      <c r="D10871" s="5"/>
      <c r="E10871" s="5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</row>
    <row r="10872" spans="1:20" ht="45.75" customHeight="1" x14ac:dyDescent="0.3">
      <c r="A10872" s="15"/>
      <c r="B10872" s="5"/>
      <c r="C10872" s="5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</row>
    <row r="10873" spans="1:20" ht="45.75" customHeight="1" x14ac:dyDescent="0.3">
      <c r="A10873" s="15"/>
      <c r="B10873" s="5"/>
      <c r="C10873" s="5"/>
      <c r="D10873" s="5"/>
      <c r="E10873" s="5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</row>
    <row r="10874" spans="1:20" ht="45.75" customHeight="1" x14ac:dyDescent="0.3">
      <c r="A10874" s="15"/>
      <c r="B10874" s="5"/>
      <c r="C10874" s="5"/>
      <c r="D10874" s="5"/>
      <c r="E10874" s="5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</row>
    <row r="10875" spans="1:20" ht="45.75" customHeight="1" x14ac:dyDescent="0.3">
      <c r="A10875" s="15"/>
      <c r="B10875" s="5"/>
      <c r="C10875" s="5"/>
      <c r="D10875" s="5"/>
      <c r="E10875" s="5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</row>
    <row r="10876" spans="1:20" ht="45.75" customHeight="1" x14ac:dyDescent="0.3">
      <c r="A10876" s="15"/>
      <c r="B10876" s="5"/>
      <c r="C10876" s="5"/>
      <c r="D10876" s="5"/>
      <c r="E10876" s="5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</row>
    <row r="10877" spans="1:20" ht="45.75" customHeight="1" x14ac:dyDescent="0.3">
      <c r="A10877" s="15"/>
      <c r="B10877" s="5"/>
      <c r="C10877" s="5"/>
      <c r="D10877" s="5"/>
      <c r="E10877" s="5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</row>
    <row r="10878" spans="1:20" ht="45.75" customHeight="1" x14ac:dyDescent="0.3">
      <c r="A10878" s="15"/>
      <c r="B10878" s="5"/>
      <c r="C10878" s="5"/>
      <c r="D10878" s="5"/>
      <c r="E10878" s="5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</row>
    <row r="10879" spans="1:20" ht="45.75" customHeight="1" x14ac:dyDescent="0.3">
      <c r="A10879" s="15"/>
      <c r="B10879" s="5"/>
      <c r="C10879" s="5"/>
      <c r="D10879" s="5"/>
      <c r="E10879" s="5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</row>
    <row r="10880" spans="1:20" ht="45.75" customHeight="1" x14ac:dyDescent="0.3">
      <c r="A10880" s="15"/>
      <c r="B10880" s="5"/>
      <c r="C10880" s="5"/>
      <c r="D10880" s="5"/>
      <c r="E10880" s="5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</row>
    <row r="10881" spans="1:20" ht="45.75" customHeight="1" x14ac:dyDescent="0.3">
      <c r="A10881" s="15"/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</row>
    <row r="10882" spans="1:20" ht="45.75" customHeight="1" x14ac:dyDescent="0.3">
      <c r="A10882" s="15"/>
      <c r="B10882" s="5"/>
      <c r="C10882" s="5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</row>
    <row r="10883" spans="1:20" ht="45.75" customHeight="1" x14ac:dyDescent="0.3">
      <c r="A10883" s="15"/>
      <c r="B10883" s="5"/>
      <c r="C10883" s="5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</row>
    <row r="10884" spans="1:20" ht="45.75" customHeight="1" x14ac:dyDescent="0.3">
      <c r="A10884" s="15"/>
      <c r="B10884" s="5"/>
      <c r="C10884" s="5"/>
      <c r="D10884" s="5"/>
      <c r="E10884" s="5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</row>
    <row r="10885" spans="1:20" ht="45.75" customHeight="1" x14ac:dyDescent="0.3">
      <c r="A10885" s="15"/>
      <c r="B10885" s="5"/>
      <c r="C10885" s="5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</row>
    <row r="10886" spans="1:20" ht="45.75" customHeight="1" x14ac:dyDescent="0.3">
      <c r="A10886" s="15"/>
      <c r="B10886" s="5"/>
      <c r="C10886" s="5"/>
      <c r="D10886" s="5"/>
      <c r="E10886" s="5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</row>
    <row r="10887" spans="1:20" ht="45.75" customHeight="1" x14ac:dyDescent="0.3">
      <c r="A10887" s="15"/>
      <c r="B10887" s="5"/>
      <c r="C10887" s="5"/>
      <c r="D10887" s="5"/>
      <c r="E10887" s="5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</row>
    <row r="10888" spans="1:20" ht="45.75" customHeight="1" x14ac:dyDescent="0.3">
      <c r="A10888" s="15"/>
      <c r="B10888" s="5"/>
      <c r="C10888" s="5"/>
      <c r="D10888" s="5"/>
      <c r="E10888" s="5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</row>
    <row r="10889" spans="1:20" ht="45.75" customHeight="1" x14ac:dyDescent="0.3">
      <c r="A10889" s="15"/>
      <c r="B10889" s="5"/>
      <c r="C10889" s="5"/>
      <c r="D10889" s="5"/>
      <c r="E10889" s="5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</row>
    <row r="10890" spans="1:20" ht="45.75" customHeight="1" x14ac:dyDescent="0.3">
      <c r="A10890" s="15"/>
      <c r="B10890" s="5"/>
      <c r="C10890" s="5"/>
      <c r="D10890" s="5"/>
      <c r="E10890" s="5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</row>
    <row r="10891" spans="1:20" ht="45.75" customHeight="1" x14ac:dyDescent="0.3">
      <c r="A10891" s="15"/>
      <c r="B10891" s="5"/>
      <c r="C10891" s="5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</row>
    <row r="10892" spans="1:20" ht="45.75" customHeight="1" x14ac:dyDescent="0.3">
      <c r="A10892" s="15"/>
      <c r="B10892" s="5"/>
      <c r="C10892" s="5"/>
      <c r="D10892" s="5"/>
      <c r="E10892" s="5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</row>
    <row r="10893" spans="1:20" ht="45.75" customHeight="1" x14ac:dyDescent="0.3">
      <c r="A10893" s="15"/>
      <c r="B10893" s="5"/>
      <c r="C10893" s="5"/>
      <c r="D10893" s="5"/>
      <c r="E10893" s="5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</row>
    <row r="10894" spans="1:20" ht="45.75" customHeight="1" x14ac:dyDescent="0.3">
      <c r="A10894" s="15"/>
      <c r="B10894" s="5"/>
      <c r="C10894" s="5"/>
      <c r="D10894" s="5"/>
      <c r="E10894" s="5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</row>
    <row r="10895" spans="1:20" ht="45.75" customHeight="1" x14ac:dyDescent="0.3">
      <c r="A10895" s="15"/>
      <c r="B10895" s="5"/>
      <c r="C10895" s="5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</row>
    <row r="10896" spans="1:20" ht="45.75" customHeight="1" x14ac:dyDescent="0.3">
      <c r="A10896" s="15"/>
      <c r="B10896" s="5"/>
      <c r="C10896" s="5"/>
      <c r="D10896" s="5"/>
      <c r="E10896" s="5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</row>
    <row r="10897" spans="1:20" ht="45.75" customHeight="1" x14ac:dyDescent="0.3">
      <c r="A10897" s="15"/>
      <c r="B10897" s="5"/>
      <c r="C10897" s="5"/>
      <c r="D10897" s="5"/>
      <c r="E10897" s="5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</row>
    <row r="10898" spans="1:20" ht="45.75" customHeight="1" x14ac:dyDescent="0.3">
      <c r="A10898" s="15"/>
      <c r="B10898" s="5"/>
      <c r="C10898" s="5"/>
      <c r="D10898" s="5"/>
      <c r="E10898" s="5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</row>
    <row r="10899" spans="1:20" ht="45.75" customHeight="1" x14ac:dyDescent="0.3">
      <c r="A10899" s="15"/>
      <c r="B10899" s="5"/>
      <c r="C10899" s="5"/>
      <c r="D10899" s="5"/>
      <c r="E10899" s="5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</row>
    <row r="10900" spans="1:20" ht="45.75" customHeight="1" x14ac:dyDescent="0.3">
      <c r="A10900" s="15"/>
      <c r="B10900" s="5"/>
      <c r="C10900" s="5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</row>
    <row r="10901" spans="1:20" ht="45.75" customHeight="1" x14ac:dyDescent="0.3">
      <c r="A10901" s="15"/>
      <c r="B10901" s="5"/>
      <c r="C10901" s="5"/>
      <c r="D10901" s="5"/>
      <c r="E10901" s="5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</row>
    <row r="10902" spans="1:20" ht="45.75" customHeight="1" x14ac:dyDescent="0.3">
      <c r="A10902" s="15"/>
      <c r="B10902" s="5"/>
      <c r="C10902" s="5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</row>
    <row r="10903" spans="1:20" ht="45.75" customHeight="1" x14ac:dyDescent="0.3">
      <c r="A10903" s="15"/>
      <c r="B10903" s="5"/>
      <c r="C10903" s="5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</row>
    <row r="10904" spans="1:20" ht="45.75" customHeight="1" x14ac:dyDescent="0.3">
      <c r="A10904" s="15"/>
      <c r="B10904" s="5"/>
      <c r="C10904" s="5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</row>
    <row r="10905" spans="1:20" ht="45.75" customHeight="1" x14ac:dyDescent="0.3">
      <c r="A10905" s="15"/>
      <c r="B10905" s="5"/>
      <c r="C10905" s="5"/>
      <c r="D10905" s="5"/>
      <c r="E10905" s="5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</row>
    <row r="10906" spans="1:20" ht="45.75" customHeight="1" x14ac:dyDescent="0.3">
      <c r="A10906" s="15"/>
      <c r="B10906" s="5"/>
      <c r="C10906" s="5"/>
      <c r="D10906" s="5"/>
      <c r="E10906" s="5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</row>
    <row r="10907" spans="1:20" ht="45.75" customHeight="1" x14ac:dyDescent="0.3">
      <c r="A10907" s="15"/>
      <c r="B10907" s="5"/>
      <c r="C10907" s="5"/>
      <c r="D10907" s="5"/>
      <c r="E10907" s="5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</row>
    <row r="10908" spans="1:20" ht="45.75" customHeight="1" x14ac:dyDescent="0.3">
      <c r="A10908" s="15"/>
      <c r="B10908" s="5"/>
      <c r="C10908" s="5"/>
      <c r="D10908" s="5"/>
      <c r="E10908" s="5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</row>
    <row r="10909" spans="1:20" ht="45.75" customHeight="1" x14ac:dyDescent="0.3">
      <c r="A10909" s="15"/>
      <c r="B10909" s="5"/>
      <c r="C10909" s="5"/>
      <c r="D10909" s="5"/>
      <c r="E10909" s="5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</row>
    <row r="10910" spans="1:20" ht="45.75" customHeight="1" x14ac:dyDescent="0.3">
      <c r="A10910" s="15"/>
      <c r="B10910" s="5"/>
      <c r="C10910" s="5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</row>
    <row r="10911" spans="1:20" ht="45.75" customHeight="1" x14ac:dyDescent="0.3">
      <c r="A10911" s="15"/>
      <c r="B10911" s="5"/>
      <c r="C10911" s="5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</row>
    <row r="10912" spans="1:20" ht="45.75" customHeight="1" x14ac:dyDescent="0.3">
      <c r="A10912" s="15"/>
      <c r="B10912" s="5"/>
      <c r="C10912" s="5"/>
      <c r="D10912" s="5"/>
      <c r="E10912" s="5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</row>
    <row r="10913" spans="1:20" ht="45.75" customHeight="1" x14ac:dyDescent="0.3">
      <c r="A10913" s="15"/>
      <c r="B10913" s="5"/>
      <c r="C10913" s="5"/>
      <c r="D10913" s="5"/>
      <c r="E10913" s="5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</row>
    <row r="10914" spans="1:20" ht="45.75" customHeight="1" x14ac:dyDescent="0.3">
      <c r="A10914" s="15"/>
      <c r="B10914" s="5"/>
      <c r="C10914" s="5"/>
      <c r="D10914" s="5"/>
      <c r="E10914" s="5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</row>
    <row r="10915" spans="1:20" ht="45.75" customHeight="1" x14ac:dyDescent="0.3">
      <c r="A10915" s="15"/>
      <c r="B10915" s="5"/>
      <c r="C10915" s="5"/>
      <c r="D10915" s="5"/>
      <c r="E10915" s="5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</row>
    <row r="10916" spans="1:20" ht="45.75" customHeight="1" x14ac:dyDescent="0.3">
      <c r="A10916" s="15"/>
      <c r="B10916" s="5"/>
      <c r="C10916" s="5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</row>
    <row r="10917" spans="1:20" ht="45.75" customHeight="1" x14ac:dyDescent="0.3">
      <c r="A10917" s="15"/>
      <c r="B10917" s="5"/>
      <c r="C10917" s="5"/>
      <c r="D10917" s="5"/>
      <c r="E10917" s="5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</row>
    <row r="10918" spans="1:20" ht="45.75" customHeight="1" x14ac:dyDescent="0.3">
      <c r="A10918" s="15"/>
      <c r="B10918" s="5"/>
      <c r="C10918" s="5"/>
      <c r="D10918" s="5"/>
      <c r="E10918" s="5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</row>
    <row r="10919" spans="1:20" ht="45.75" customHeight="1" x14ac:dyDescent="0.3">
      <c r="A10919" s="15"/>
      <c r="B10919" s="5"/>
      <c r="C10919" s="5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</row>
    <row r="10920" spans="1:20" ht="45.75" customHeight="1" x14ac:dyDescent="0.3">
      <c r="A10920" s="15"/>
      <c r="B10920" s="5"/>
      <c r="C10920" s="5"/>
      <c r="D10920" s="5"/>
      <c r="E10920" s="5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</row>
    <row r="10921" spans="1:20" ht="45.75" customHeight="1" x14ac:dyDescent="0.3">
      <c r="A10921" s="15"/>
      <c r="B10921" s="5"/>
      <c r="C10921" s="5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</row>
    <row r="10922" spans="1:20" ht="45.75" customHeight="1" x14ac:dyDescent="0.3">
      <c r="A10922" s="15"/>
      <c r="B10922" s="5"/>
      <c r="C10922" s="5"/>
      <c r="D10922" s="5"/>
      <c r="E10922" s="5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</row>
    <row r="10923" spans="1:20" ht="45.75" customHeight="1" x14ac:dyDescent="0.3">
      <c r="A10923" s="15"/>
      <c r="B10923" s="5"/>
      <c r="C10923" s="5"/>
      <c r="D10923" s="5"/>
      <c r="E10923" s="5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</row>
    <row r="10924" spans="1:20" ht="45.75" customHeight="1" x14ac:dyDescent="0.3">
      <c r="A10924" s="15"/>
      <c r="B10924" s="5"/>
      <c r="C10924" s="5"/>
      <c r="D10924" s="5"/>
      <c r="E10924" s="5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</row>
    <row r="10925" spans="1:20" ht="45.75" customHeight="1" x14ac:dyDescent="0.3">
      <c r="A10925" s="15"/>
      <c r="B10925" s="5"/>
      <c r="C10925" s="5"/>
      <c r="D10925" s="5"/>
      <c r="E10925" s="5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</row>
    <row r="10926" spans="1:20" ht="45.75" customHeight="1" x14ac:dyDescent="0.3">
      <c r="A10926" s="15"/>
      <c r="B10926" s="5"/>
      <c r="C10926" s="5"/>
      <c r="D10926" s="5"/>
      <c r="E10926" s="5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</row>
    <row r="10927" spans="1:20" ht="45.75" customHeight="1" x14ac:dyDescent="0.3">
      <c r="A10927" s="15"/>
      <c r="B10927" s="5"/>
      <c r="C10927" s="5"/>
      <c r="D10927" s="5"/>
      <c r="E10927" s="5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</row>
    <row r="10928" spans="1:20" ht="45.75" customHeight="1" x14ac:dyDescent="0.3">
      <c r="A10928" s="15"/>
      <c r="B10928" s="5"/>
      <c r="C10928" s="5"/>
      <c r="D10928" s="5"/>
      <c r="E10928" s="5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</row>
    <row r="10929" spans="1:20" ht="45.75" customHeight="1" x14ac:dyDescent="0.3">
      <c r="A10929" s="15"/>
      <c r="B10929" s="5"/>
      <c r="C10929" s="5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</row>
    <row r="10930" spans="1:20" ht="45.75" customHeight="1" x14ac:dyDescent="0.3">
      <c r="A10930" s="15"/>
      <c r="B10930" s="5"/>
      <c r="C10930" s="5"/>
      <c r="D10930" s="5"/>
      <c r="E10930" s="5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</row>
    <row r="10931" spans="1:20" ht="45.75" customHeight="1" x14ac:dyDescent="0.3">
      <c r="A10931" s="15"/>
      <c r="B10931" s="5"/>
      <c r="C10931" s="5"/>
      <c r="D10931" s="5"/>
      <c r="E10931" s="5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</row>
    <row r="10932" spans="1:20" ht="45.75" customHeight="1" x14ac:dyDescent="0.3">
      <c r="A10932" s="15"/>
      <c r="B10932" s="5"/>
      <c r="C10932" s="5"/>
      <c r="D10932" s="5"/>
      <c r="E10932" s="5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</row>
    <row r="10933" spans="1:20" ht="45.75" customHeight="1" x14ac:dyDescent="0.3">
      <c r="A10933" s="15"/>
      <c r="B10933" s="5"/>
      <c r="C10933" s="5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</row>
    <row r="10934" spans="1:20" ht="45.75" customHeight="1" x14ac:dyDescent="0.3">
      <c r="A10934" s="15"/>
      <c r="B10934" s="5"/>
      <c r="C10934" s="5"/>
      <c r="D10934" s="5"/>
      <c r="E10934" s="5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</row>
    <row r="10935" spans="1:20" ht="45.75" customHeight="1" x14ac:dyDescent="0.3">
      <c r="A10935" s="15"/>
      <c r="B10935" s="5"/>
      <c r="C10935" s="5"/>
      <c r="D10935" s="5"/>
      <c r="E10935" s="5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</row>
    <row r="10936" spans="1:20" ht="45.75" customHeight="1" x14ac:dyDescent="0.3">
      <c r="A10936" s="15"/>
      <c r="B10936" s="5"/>
      <c r="C10936" s="5"/>
      <c r="D10936" s="5"/>
      <c r="E10936" s="5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</row>
    <row r="10937" spans="1:20" ht="45.75" customHeight="1" x14ac:dyDescent="0.3">
      <c r="A10937" s="15"/>
      <c r="B10937" s="5"/>
      <c r="C10937" s="5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</row>
    <row r="10938" spans="1:20" ht="45.75" customHeight="1" x14ac:dyDescent="0.3">
      <c r="A10938" s="15"/>
      <c r="B10938" s="5"/>
      <c r="C10938" s="5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</row>
    <row r="10939" spans="1:20" ht="45.75" customHeight="1" x14ac:dyDescent="0.3">
      <c r="A10939" s="15"/>
      <c r="B10939" s="5"/>
      <c r="C10939" s="5"/>
      <c r="D10939" s="5"/>
      <c r="E10939" s="5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</row>
    <row r="10940" spans="1:20" ht="45.75" customHeight="1" x14ac:dyDescent="0.3">
      <c r="A10940" s="15"/>
      <c r="B10940" s="5"/>
      <c r="C10940" s="5"/>
      <c r="D10940" s="5"/>
      <c r="E10940" s="5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</row>
    <row r="10941" spans="1:20" ht="45.75" customHeight="1" x14ac:dyDescent="0.3">
      <c r="A10941" s="15"/>
      <c r="B10941" s="5"/>
      <c r="C10941" s="5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</row>
    <row r="10942" spans="1:20" ht="45.75" customHeight="1" x14ac:dyDescent="0.3">
      <c r="A10942" s="15"/>
      <c r="B10942" s="5"/>
      <c r="C10942" s="5"/>
      <c r="D10942" s="5"/>
      <c r="E10942" s="5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</row>
    <row r="10943" spans="1:20" ht="45.75" customHeight="1" x14ac:dyDescent="0.3">
      <c r="A10943" s="15"/>
      <c r="B10943" s="5"/>
      <c r="C10943" s="5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</row>
    <row r="10944" spans="1:20" ht="45.75" customHeight="1" x14ac:dyDescent="0.3">
      <c r="A10944" s="15"/>
      <c r="B10944" s="5"/>
      <c r="C10944" s="5"/>
      <c r="D10944" s="5"/>
      <c r="E10944" s="5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</row>
    <row r="10945" spans="1:20" ht="45.75" customHeight="1" x14ac:dyDescent="0.3">
      <c r="A10945" s="15"/>
      <c r="B10945" s="5"/>
      <c r="C10945" s="5"/>
      <c r="D10945" s="5"/>
      <c r="E10945" s="5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</row>
    <row r="10946" spans="1:20" ht="45.75" customHeight="1" x14ac:dyDescent="0.3">
      <c r="A10946" s="15"/>
      <c r="B10946" s="5"/>
      <c r="C10946" s="5"/>
      <c r="D10946" s="5"/>
      <c r="E10946" s="5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</row>
    <row r="10947" spans="1:20" ht="45.75" customHeight="1" x14ac:dyDescent="0.3">
      <c r="A10947" s="15"/>
      <c r="B10947" s="5"/>
      <c r="C10947" s="5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</row>
    <row r="10948" spans="1:20" ht="45.75" customHeight="1" x14ac:dyDescent="0.3">
      <c r="A10948" s="15"/>
      <c r="B10948" s="5"/>
      <c r="C10948" s="5"/>
      <c r="D10948" s="5"/>
      <c r="E10948" s="5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</row>
    <row r="10949" spans="1:20" ht="45.75" customHeight="1" x14ac:dyDescent="0.3">
      <c r="A10949" s="15"/>
      <c r="B10949" s="5"/>
      <c r="C10949" s="5"/>
      <c r="D10949" s="5"/>
      <c r="E10949" s="5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</row>
    <row r="10950" spans="1:20" ht="45.75" customHeight="1" x14ac:dyDescent="0.3">
      <c r="A10950" s="15"/>
      <c r="B10950" s="5"/>
      <c r="C10950" s="5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</row>
    <row r="10951" spans="1:20" ht="45.75" customHeight="1" x14ac:dyDescent="0.3">
      <c r="A10951" s="15"/>
      <c r="B10951" s="5"/>
      <c r="C10951" s="5"/>
      <c r="D10951" s="5"/>
      <c r="E10951" s="5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</row>
    <row r="10952" spans="1:20" ht="45.75" customHeight="1" x14ac:dyDescent="0.3">
      <c r="A10952" s="15"/>
      <c r="B10952" s="5"/>
      <c r="C10952" s="5"/>
      <c r="D10952" s="5"/>
      <c r="E10952" s="5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</row>
    <row r="10953" spans="1:20" ht="45.75" customHeight="1" x14ac:dyDescent="0.3">
      <c r="A10953" s="15"/>
      <c r="B10953" s="5"/>
      <c r="C10953" s="5"/>
      <c r="D10953" s="5"/>
      <c r="E10953" s="5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</row>
    <row r="10954" spans="1:20" ht="45.75" customHeight="1" x14ac:dyDescent="0.3">
      <c r="A10954" s="15"/>
      <c r="B10954" s="5"/>
      <c r="C10954" s="5"/>
      <c r="D10954" s="5"/>
      <c r="E10954" s="5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</row>
    <row r="10955" spans="1:20" ht="45.75" customHeight="1" x14ac:dyDescent="0.3">
      <c r="A10955" s="15"/>
      <c r="B10955" s="5"/>
      <c r="C10955" s="5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</row>
    <row r="10956" spans="1:20" ht="45.75" customHeight="1" x14ac:dyDescent="0.3">
      <c r="A10956" s="15"/>
      <c r="B10956" s="5"/>
      <c r="C10956" s="5"/>
      <c r="D10956" s="5"/>
      <c r="E10956" s="5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</row>
    <row r="10957" spans="1:20" ht="45.75" customHeight="1" x14ac:dyDescent="0.3">
      <c r="A10957" s="15"/>
      <c r="B10957" s="5"/>
      <c r="C10957" s="5"/>
      <c r="D10957" s="5"/>
      <c r="E10957" s="5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</row>
    <row r="10958" spans="1:20" ht="45.75" customHeight="1" x14ac:dyDescent="0.3">
      <c r="A10958" s="15"/>
      <c r="B10958" s="5"/>
      <c r="C10958" s="5"/>
      <c r="D10958" s="5"/>
      <c r="E10958" s="5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</row>
    <row r="10959" spans="1:20" ht="45.75" customHeight="1" x14ac:dyDescent="0.3">
      <c r="A10959" s="15"/>
      <c r="B10959" s="5"/>
      <c r="C10959" s="5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</row>
    <row r="10960" spans="1:20" ht="45.75" customHeight="1" x14ac:dyDescent="0.3">
      <c r="A10960" s="15"/>
      <c r="B10960" s="5"/>
      <c r="C10960" s="5"/>
      <c r="D10960" s="5"/>
      <c r="E10960" s="5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</row>
    <row r="10961" spans="1:20" ht="45.75" customHeight="1" x14ac:dyDescent="0.3">
      <c r="A10961" s="15"/>
      <c r="B10961" s="5"/>
      <c r="C10961" s="5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</row>
    <row r="10962" spans="1:20" ht="45.75" customHeight="1" x14ac:dyDescent="0.3">
      <c r="A10962" s="15"/>
      <c r="B10962" s="5"/>
      <c r="C10962" s="5"/>
      <c r="D10962" s="5"/>
      <c r="E10962" s="5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</row>
    <row r="10963" spans="1:20" ht="45.75" customHeight="1" x14ac:dyDescent="0.3">
      <c r="A10963" s="15"/>
      <c r="B10963" s="5"/>
      <c r="C10963" s="5"/>
      <c r="D10963" s="5"/>
      <c r="E10963" s="5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</row>
    <row r="10964" spans="1:20" ht="45.75" customHeight="1" x14ac:dyDescent="0.3">
      <c r="A10964" s="15"/>
      <c r="B10964" s="5"/>
      <c r="C10964" s="5"/>
      <c r="D10964" s="5"/>
      <c r="E10964" s="5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</row>
    <row r="10965" spans="1:20" ht="45.75" customHeight="1" x14ac:dyDescent="0.3">
      <c r="A10965" s="15"/>
      <c r="B10965" s="5"/>
      <c r="C10965" s="5"/>
      <c r="D10965" s="5"/>
      <c r="E10965" s="5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</row>
    <row r="10966" spans="1:20" ht="45.75" customHeight="1" x14ac:dyDescent="0.3">
      <c r="A10966" s="15"/>
      <c r="B10966" s="5"/>
      <c r="C10966" s="5"/>
      <c r="D10966" s="5"/>
      <c r="E10966" s="5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</row>
    <row r="10967" spans="1:20" ht="45.75" customHeight="1" x14ac:dyDescent="0.3">
      <c r="A10967" s="15"/>
      <c r="B10967" s="5"/>
      <c r="C10967" s="5"/>
      <c r="D10967" s="5"/>
      <c r="E10967" s="5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</row>
    <row r="10968" spans="1:20" ht="45.75" customHeight="1" x14ac:dyDescent="0.3">
      <c r="A10968" s="15"/>
      <c r="B10968" s="5"/>
      <c r="C10968" s="5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</row>
    <row r="10969" spans="1:20" ht="45.75" customHeight="1" x14ac:dyDescent="0.3">
      <c r="A10969" s="15"/>
      <c r="B10969" s="5"/>
      <c r="C10969" s="5"/>
      <c r="D10969" s="5"/>
      <c r="E10969" s="5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</row>
    <row r="10970" spans="1:20" ht="45.75" customHeight="1" x14ac:dyDescent="0.3">
      <c r="A10970" s="15"/>
      <c r="B10970" s="5"/>
      <c r="C10970" s="5"/>
      <c r="D10970" s="5"/>
      <c r="E10970" s="5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</row>
    <row r="10971" spans="1:20" ht="45.75" customHeight="1" x14ac:dyDescent="0.3">
      <c r="A10971" s="15"/>
      <c r="B10971" s="5"/>
      <c r="C10971" s="5"/>
      <c r="D10971" s="5"/>
      <c r="E10971" s="5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</row>
    <row r="10972" spans="1:20" ht="45.75" customHeight="1" x14ac:dyDescent="0.3">
      <c r="A10972" s="15"/>
      <c r="B10972" s="5"/>
      <c r="C10972" s="5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</row>
    <row r="10973" spans="1:20" ht="45.75" customHeight="1" x14ac:dyDescent="0.3">
      <c r="A10973" s="15"/>
      <c r="B10973" s="5"/>
      <c r="C10973" s="5"/>
      <c r="D10973" s="5"/>
      <c r="E10973" s="5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</row>
    <row r="10974" spans="1:20" ht="45.75" customHeight="1" x14ac:dyDescent="0.3">
      <c r="A10974" s="15"/>
      <c r="B10974" s="5"/>
      <c r="C10974" s="5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</row>
    <row r="10975" spans="1:20" ht="45.75" customHeight="1" x14ac:dyDescent="0.3">
      <c r="A10975" s="15"/>
      <c r="B10975" s="5"/>
      <c r="C10975" s="5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</row>
    <row r="10976" spans="1:20" ht="45.75" customHeight="1" x14ac:dyDescent="0.3">
      <c r="A10976" s="15"/>
      <c r="B10976" s="5"/>
      <c r="C10976" s="5"/>
      <c r="D10976" s="5"/>
      <c r="E10976" s="5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</row>
    <row r="10977" spans="1:20" ht="45.75" customHeight="1" x14ac:dyDescent="0.3">
      <c r="A10977" s="15"/>
      <c r="B10977" s="5"/>
      <c r="C10977" s="5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</row>
    <row r="10978" spans="1:20" ht="45.75" customHeight="1" x14ac:dyDescent="0.3">
      <c r="A10978" s="15"/>
      <c r="B10978" s="5"/>
      <c r="C10978" s="5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</row>
    <row r="10979" spans="1:20" ht="45.75" customHeight="1" x14ac:dyDescent="0.3">
      <c r="A10979" s="15"/>
      <c r="B10979" s="5"/>
      <c r="C10979" s="5"/>
      <c r="D10979" s="5"/>
      <c r="E10979" s="5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</row>
    <row r="10980" spans="1:20" ht="45.75" customHeight="1" x14ac:dyDescent="0.3">
      <c r="A10980" s="15"/>
      <c r="B10980" s="5"/>
      <c r="C10980" s="5"/>
      <c r="D10980" s="5"/>
      <c r="E10980" s="5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</row>
    <row r="10981" spans="1:20" ht="45.75" customHeight="1" x14ac:dyDescent="0.3">
      <c r="A10981" s="15"/>
      <c r="B10981" s="5"/>
      <c r="C10981" s="5"/>
      <c r="D10981" s="5"/>
      <c r="E10981" s="5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</row>
    <row r="10982" spans="1:20" ht="45.75" customHeight="1" x14ac:dyDescent="0.3">
      <c r="A10982" s="15"/>
      <c r="B10982" s="5"/>
      <c r="C10982" s="5"/>
      <c r="D10982" s="5"/>
      <c r="E10982" s="5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</row>
    <row r="10983" spans="1:20" ht="45.75" customHeight="1" x14ac:dyDescent="0.3">
      <c r="A10983" s="15"/>
      <c r="B10983" s="5"/>
      <c r="C10983" s="5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</row>
    <row r="10984" spans="1:20" ht="45.75" customHeight="1" x14ac:dyDescent="0.3">
      <c r="A10984" s="15"/>
      <c r="B10984" s="5"/>
      <c r="C10984" s="5"/>
      <c r="D10984" s="5"/>
      <c r="E10984" s="5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</row>
    <row r="10985" spans="1:20" ht="45.75" customHeight="1" x14ac:dyDescent="0.3">
      <c r="A10985" s="15"/>
      <c r="B10985" s="5"/>
      <c r="C10985" s="5"/>
      <c r="D10985" s="5"/>
      <c r="E10985" s="5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</row>
    <row r="10986" spans="1:20" ht="45.75" customHeight="1" x14ac:dyDescent="0.3">
      <c r="A10986" s="15"/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</row>
    <row r="10987" spans="1:20" ht="45.75" customHeight="1" x14ac:dyDescent="0.3">
      <c r="A10987" s="15"/>
      <c r="B10987" s="5"/>
      <c r="C10987" s="5"/>
      <c r="D10987" s="5"/>
      <c r="E10987" s="5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</row>
    <row r="10988" spans="1:20" ht="45.75" customHeight="1" x14ac:dyDescent="0.3">
      <c r="A10988" s="15"/>
      <c r="B10988" s="5"/>
      <c r="C10988" s="5"/>
      <c r="D10988" s="5"/>
      <c r="E10988" s="5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</row>
    <row r="10989" spans="1:20" ht="45.75" customHeight="1" x14ac:dyDescent="0.3">
      <c r="A10989" s="15"/>
      <c r="B10989" s="5"/>
      <c r="C10989" s="5"/>
      <c r="D10989" s="5"/>
      <c r="E10989" s="5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</row>
    <row r="10990" spans="1:20" ht="45.75" customHeight="1" x14ac:dyDescent="0.3">
      <c r="A10990" s="15"/>
      <c r="B10990" s="5"/>
      <c r="C10990" s="5"/>
      <c r="D10990" s="5"/>
      <c r="E10990" s="5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</row>
    <row r="10991" spans="1:20" ht="45.75" customHeight="1" x14ac:dyDescent="0.3">
      <c r="A10991" s="15"/>
      <c r="B10991" s="5"/>
      <c r="C10991" s="5"/>
      <c r="D10991" s="5"/>
      <c r="E10991" s="5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</row>
    <row r="10992" spans="1:20" ht="45.75" customHeight="1" x14ac:dyDescent="0.3">
      <c r="A10992" s="15"/>
      <c r="B10992" s="5"/>
      <c r="C10992" s="5"/>
      <c r="D10992" s="5"/>
      <c r="E10992" s="5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</row>
    <row r="10993" spans="1:20" ht="45.75" customHeight="1" x14ac:dyDescent="0.3">
      <c r="A10993" s="15"/>
      <c r="B10993" s="5"/>
      <c r="C10993" s="5"/>
      <c r="D10993" s="5"/>
      <c r="E10993" s="5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</row>
    <row r="10994" spans="1:20" ht="45.75" customHeight="1" x14ac:dyDescent="0.3">
      <c r="A10994" s="15"/>
      <c r="B10994" s="5"/>
      <c r="C10994" s="5"/>
      <c r="D10994" s="5"/>
      <c r="E10994" s="5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</row>
    <row r="10995" spans="1:20" ht="45.75" customHeight="1" x14ac:dyDescent="0.3">
      <c r="A10995" s="15"/>
      <c r="B10995" s="5"/>
      <c r="C10995" s="5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</row>
    <row r="10996" spans="1:20" ht="45.75" customHeight="1" x14ac:dyDescent="0.3">
      <c r="A10996" s="15"/>
      <c r="B10996" s="5"/>
      <c r="C10996" s="5"/>
      <c r="D10996" s="5"/>
      <c r="E10996" s="5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</row>
    <row r="10997" spans="1:20" ht="45.75" customHeight="1" x14ac:dyDescent="0.3">
      <c r="A10997" s="15"/>
      <c r="B10997" s="5"/>
      <c r="C10997" s="5"/>
      <c r="D10997" s="5"/>
      <c r="E10997" s="5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</row>
    <row r="10998" spans="1:20" ht="45.75" customHeight="1" x14ac:dyDescent="0.3">
      <c r="A10998" s="15"/>
      <c r="B10998" s="5"/>
      <c r="C10998" s="5"/>
      <c r="D10998" s="5"/>
      <c r="E10998" s="5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</row>
    <row r="10999" spans="1:20" ht="45.75" customHeight="1" x14ac:dyDescent="0.3">
      <c r="A10999" s="15"/>
      <c r="B10999" s="5"/>
      <c r="C10999" s="5"/>
      <c r="D10999" s="5"/>
      <c r="E10999" s="5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</row>
    <row r="11000" spans="1:20" ht="45.75" customHeight="1" x14ac:dyDescent="0.3">
      <c r="A11000" s="15"/>
      <c r="B11000" s="5"/>
      <c r="C11000" s="5"/>
      <c r="D11000" s="5"/>
      <c r="E11000" s="5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</row>
    <row r="11001" spans="1:20" ht="45.75" customHeight="1" x14ac:dyDescent="0.3">
      <c r="A11001" s="15"/>
      <c r="B11001" s="5"/>
      <c r="C11001" s="5"/>
      <c r="D11001" s="5"/>
      <c r="E11001" s="5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</row>
    <row r="11002" spans="1:20" ht="45.75" customHeight="1" x14ac:dyDescent="0.3">
      <c r="A11002" s="15"/>
      <c r="B11002" s="5"/>
      <c r="C11002" s="5"/>
      <c r="D11002" s="5"/>
      <c r="E11002" s="5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</row>
    <row r="11003" spans="1:20" ht="45.75" customHeight="1" x14ac:dyDescent="0.3">
      <c r="A11003" s="15"/>
      <c r="B11003" s="5"/>
      <c r="C11003" s="5"/>
      <c r="D11003" s="5"/>
      <c r="E11003" s="5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</row>
    <row r="11004" spans="1:20" ht="45.75" customHeight="1" x14ac:dyDescent="0.3">
      <c r="A11004" s="15"/>
      <c r="B11004" s="5"/>
      <c r="C11004" s="5"/>
      <c r="D11004" s="5"/>
      <c r="E11004" s="5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</row>
    <row r="11005" spans="1:20" ht="45.75" customHeight="1" x14ac:dyDescent="0.3">
      <c r="A11005" s="15"/>
      <c r="B11005" s="5"/>
      <c r="C11005" s="5"/>
      <c r="D11005" s="5"/>
      <c r="E11005" s="5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</row>
  </sheetData>
  <autoFilter ref="A1:R39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001"/>
  <sheetViews>
    <sheetView workbookViewId="0"/>
  </sheetViews>
  <sheetFormatPr baseColWidth="10" defaultColWidth="14.44140625" defaultRowHeight="15" customHeight="1" x14ac:dyDescent="0.3"/>
  <cols>
    <col min="1" max="1" width="12.88671875" customWidth="1"/>
    <col min="2" max="26" width="20.33203125" customWidth="1"/>
  </cols>
  <sheetData>
    <row r="2" spans="1:26" ht="42" customHeight="1" x14ac:dyDescent="0.3">
      <c r="A2" s="5" t="s">
        <v>1</v>
      </c>
      <c r="B2" s="5" t="s">
        <v>24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" customHeight="1" x14ac:dyDescent="0.3">
      <c r="A3" s="5" t="s">
        <v>2</v>
      </c>
      <c r="B3" s="5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" customHeight="1" x14ac:dyDescent="0.3">
      <c r="A4" s="5" t="s">
        <v>3</v>
      </c>
      <c r="B4" s="5" t="s">
        <v>26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42" customHeight="1" x14ac:dyDescent="0.3">
      <c r="A5" s="5" t="s">
        <v>4</v>
      </c>
      <c r="B5" s="5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2" customHeight="1" x14ac:dyDescent="0.3">
      <c r="A6" s="24" t="s">
        <v>5</v>
      </c>
      <c r="B6" s="5" t="s">
        <v>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" customHeight="1" x14ac:dyDescent="0.3">
      <c r="A7" s="5" t="s">
        <v>29</v>
      </c>
      <c r="B7" s="5" t="s">
        <v>30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2" customHeight="1" x14ac:dyDescent="0.3">
      <c r="A8" s="5" t="s">
        <v>31</v>
      </c>
      <c r="B8" s="5" t="s">
        <v>32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2" customHeight="1" x14ac:dyDescent="0.3">
      <c r="A9" s="5" t="s">
        <v>33</v>
      </c>
      <c r="B9" s="5" t="s">
        <v>34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2" customHeight="1" x14ac:dyDescent="0.3">
      <c r="A10" s="5" t="s">
        <v>35</v>
      </c>
      <c r="B10" s="5" t="s">
        <v>36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 x14ac:dyDescent="0.3">
      <c r="A11" s="5" t="s">
        <v>7</v>
      </c>
      <c r="B11" s="5" t="s">
        <v>37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2" customHeight="1" x14ac:dyDescent="0.3">
      <c r="A12" s="5" t="s">
        <v>8</v>
      </c>
      <c r="B12" s="5" t="s">
        <v>38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2" customHeight="1" x14ac:dyDescent="0.3">
      <c r="A13" s="5" t="s">
        <v>9</v>
      </c>
      <c r="B13" s="5" t="s">
        <v>39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2" customHeight="1" x14ac:dyDescent="0.3">
      <c r="A14" s="5" t="s">
        <v>20</v>
      </c>
      <c r="B14" s="5" t="s">
        <v>40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42" customHeight="1" x14ac:dyDescent="0.3">
      <c r="A15" s="5" t="s">
        <v>41</v>
      </c>
      <c r="B15" s="5" t="s">
        <v>42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2" customHeight="1" x14ac:dyDescent="0.3">
      <c r="A16" s="5" t="s">
        <v>43</v>
      </c>
      <c r="B16" s="5" t="s">
        <v>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42" customHeight="1" x14ac:dyDescent="0.3">
      <c r="A17" s="5" t="s">
        <v>14</v>
      </c>
      <c r="B17" s="5" t="s">
        <v>45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2" customHeight="1" x14ac:dyDescent="0.3">
      <c r="A18" s="5" t="s">
        <v>15</v>
      </c>
      <c r="B18" s="5" t="s">
        <v>46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42" customHeight="1" x14ac:dyDescent="0.3">
      <c r="A19" s="5" t="s">
        <v>16</v>
      </c>
      <c r="B19" s="5" t="s">
        <v>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2" customHeight="1" x14ac:dyDescent="0.3">
      <c r="A20" s="5" t="s">
        <v>48</v>
      </c>
      <c r="B20" s="5" t="s">
        <v>49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42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2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42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42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42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42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42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42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42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42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42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42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42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42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42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42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42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42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42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42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42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42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42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42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42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42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42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42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42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42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42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42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42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42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42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42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42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42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42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42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42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42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42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42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42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42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42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42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42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42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42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42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42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42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42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42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42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42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42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42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42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42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42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42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42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42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42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42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42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42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42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42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42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42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42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42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42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42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42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42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42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42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42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42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42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42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42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42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42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42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42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42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42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42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42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42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42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42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42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42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42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42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42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42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42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42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42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42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42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42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42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42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42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42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42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42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42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42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42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42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42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42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42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42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42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42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42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42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42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42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42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42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42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42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42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42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42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42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42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42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42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42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42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42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42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42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42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42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42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42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42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42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42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42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42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42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42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42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42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42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42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42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42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42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42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42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42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42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42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42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42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42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42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42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42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42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42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42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42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42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42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42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42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42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42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42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42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42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42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42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42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42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42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42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42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42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42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42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42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42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42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42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42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42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42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42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42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42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42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42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42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42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42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42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42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42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42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42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42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42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42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42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42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42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42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42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42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42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42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42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42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42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42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42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42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42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42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42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42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42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42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42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42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42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42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42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42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42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42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42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42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42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42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42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42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42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42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42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42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42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42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42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42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42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42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42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42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42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42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42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42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42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42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42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42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42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42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42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42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42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42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42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42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42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42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42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42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42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42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42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42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42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42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42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42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42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42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42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42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42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42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42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42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42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42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42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42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42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42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42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42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42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42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42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42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42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42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42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42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42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42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42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42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42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42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42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42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42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42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42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42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42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42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42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42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42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42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42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42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42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42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42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42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42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42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42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42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42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42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42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42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42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42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42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42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42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42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42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42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42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42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42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42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42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42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42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42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42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42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42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42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42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42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42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42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42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42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42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42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42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42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42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42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42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42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42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42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42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42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42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42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42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42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42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42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42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42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42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42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42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42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42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42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42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42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42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42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42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42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42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42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42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42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42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42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42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42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42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42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42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42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42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42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42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42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42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42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42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42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42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42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42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42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42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42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42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42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42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42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42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42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42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42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42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42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42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42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42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42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42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42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42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42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42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42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42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42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42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42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42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42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42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42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42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42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42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42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42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42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42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42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42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42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42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42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42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42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42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42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42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42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42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42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42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42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42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42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42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42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42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42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42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42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42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42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42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42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42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42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42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42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42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42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42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42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42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42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42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42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42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42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42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42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42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42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42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42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42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42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42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42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42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42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42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42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42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42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42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42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42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42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42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42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42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42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42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42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42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42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42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42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42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42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42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42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42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42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42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42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42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42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42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42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42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42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42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42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42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42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42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42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42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42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42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42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42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42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42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42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42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42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42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42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42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42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42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42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42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42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42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42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42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42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42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42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42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42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42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42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42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42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42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42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42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42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42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42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42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42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42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42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42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42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42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42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42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42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42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42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42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42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42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42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42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42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42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42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42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42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42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42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42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42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42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42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42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42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42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42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42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42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42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42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42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42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42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42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42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42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42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42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42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42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42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42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42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42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42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42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42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42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42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42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42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42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42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42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42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42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42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42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42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42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42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42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42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42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42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42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42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42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42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42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42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42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42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42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42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42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42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42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42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42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42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42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42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42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42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42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42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42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42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42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42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42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42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42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42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42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42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42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42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42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42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42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42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42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42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42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42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42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42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42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42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42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42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42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42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42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42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42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42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42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42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42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42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42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42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42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42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42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42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42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42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42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42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42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42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42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42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42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42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42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42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42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42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42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42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42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42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42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42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42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42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42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42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42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42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42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42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42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42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42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42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42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42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42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42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42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42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42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42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42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42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42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42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42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42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42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42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42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42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42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42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42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42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42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42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42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42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42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42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42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42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42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42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42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42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42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42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42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42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42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42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42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42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42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42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42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42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42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42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42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42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42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42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42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42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42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42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42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42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42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42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42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42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42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42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42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42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42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42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42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42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42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42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42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42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42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42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42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42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42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42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42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42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42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42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42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42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42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42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42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42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42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42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42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42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42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42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42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42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42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42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42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42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42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42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42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42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42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42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42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42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42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42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42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42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42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42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42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42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42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42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42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42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42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42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42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42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42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42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42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42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42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42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42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42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42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42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42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42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42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42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42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42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42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42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42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42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42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42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42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42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42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42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42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42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42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42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42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42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42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42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42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42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42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42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42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42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42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42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42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42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42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42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42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42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42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42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42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42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42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42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42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42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42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42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42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42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42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42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42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42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42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42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42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42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42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42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42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42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42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42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42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42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42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42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42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42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42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42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42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42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42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42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42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42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42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42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42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baseColWidth="10" defaultColWidth="14.44140625" defaultRowHeight="15" customHeight="1" x14ac:dyDescent="0.3"/>
  <cols>
    <col min="1" max="1" width="8.88671875" customWidth="1"/>
    <col min="2" max="2" width="18.6640625" customWidth="1"/>
    <col min="3" max="5" width="8.88671875" customWidth="1"/>
    <col min="6" max="6" width="18.33203125" customWidth="1"/>
    <col min="7" max="9" width="8.88671875" customWidth="1"/>
    <col min="10" max="10" width="23.6640625" customWidth="1"/>
    <col min="11" max="11" width="12.6640625" customWidth="1"/>
    <col min="12" max="13" width="8.88671875" customWidth="1"/>
    <col min="14" max="14" width="19.88671875" customWidth="1"/>
    <col min="15" max="15" width="18" customWidth="1"/>
    <col min="16" max="26" width="8.88671875" customWidth="1"/>
  </cols>
  <sheetData>
    <row r="1" spans="1:15" ht="14.25" customHeight="1" x14ac:dyDescent="0.3">
      <c r="A1" s="16">
        <v>1</v>
      </c>
      <c r="B1" s="17">
        <v>1500000</v>
      </c>
      <c r="E1" s="16" t="s">
        <v>20</v>
      </c>
      <c r="F1" s="18" t="s">
        <v>21</v>
      </c>
      <c r="I1" s="16" t="s">
        <v>22</v>
      </c>
      <c r="J1" s="18" t="s">
        <v>23</v>
      </c>
      <c r="M1" s="16">
        <v>1</v>
      </c>
      <c r="N1" s="7">
        <v>5290000000000</v>
      </c>
      <c r="O1" s="16">
        <v>1</v>
      </c>
    </row>
    <row r="2" spans="1:15" ht="14.25" customHeight="1" x14ac:dyDescent="0.3">
      <c r="A2" s="16">
        <v>2</v>
      </c>
      <c r="B2" s="9">
        <v>2300000</v>
      </c>
      <c r="E2" s="16">
        <v>1</v>
      </c>
      <c r="F2" s="9">
        <v>5000000</v>
      </c>
      <c r="I2" s="16">
        <v>1</v>
      </c>
      <c r="J2" s="19">
        <v>2250000000000</v>
      </c>
      <c r="K2" s="16">
        <f>J129/I128</f>
        <v>20524954145854.168</v>
      </c>
      <c r="M2" s="16">
        <v>2</v>
      </c>
      <c r="N2" s="7">
        <v>90000000000</v>
      </c>
    </row>
    <row r="3" spans="1:15" ht="14.25" customHeight="1" x14ac:dyDescent="0.3">
      <c r="A3" s="16">
        <v>3</v>
      </c>
      <c r="B3" s="9">
        <v>300000</v>
      </c>
      <c r="E3" s="16">
        <v>1</v>
      </c>
      <c r="F3" s="9">
        <v>4300000</v>
      </c>
      <c r="I3" s="16">
        <v>2</v>
      </c>
      <c r="J3" s="7">
        <v>25000000000000</v>
      </c>
      <c r="M3" s="16">
        <v>3</v>
      </c>
      <c r="N3" s="7">
        <v>8410000000000</v>
      </c>
      <c r="O3" s="16">
        <f>N280/M279</f>
        <v>6292185012421.9395</v>
      </c>
    </row>
    <row r="4" spans="1:15" ht="14.25" customHeight="1" x14ac:dyDescent="0.3">
      <c r="A4" s="16">
        <v>4</v>
      </c>
      <c r="B4" s="9">
        <v>2900000</v>
      </c>
      <c r="E4" s="16">
        <v>1</v>
      </c>
      <c r="F4" s="9">
        <v>4000000</v>
      </c>
      <c r="I4" s="16">
        <v>3</v>
      </c>
      <c r="J4" s="7">
        <v>6250000000000</v>
      </c>
      <c r="M4" s="16">
        <v>4</v>
      </c>
      <c r="N4" s="7">
        <v>5290000000000</v>
      </c>
    </row>
    <row r="5" spans="1:15" ht="14.25" customHeight="1" x14ac:dyDescent="0.3">
      <c r="A5" s="16">
        <v>5</v>
      </c>
      <c r="B5" s="9">
        <v>2300000</v>
      </c>
      <c r="E5" s="16">
        <v>1</v>
      </c>
      <c r="F5" s="9">
        <v>6000000</v>
      </c>
      <c r="J5" s="7">
        <v>6250000000000</v>
      </c>
      <c r="M5" s="16">
        <v>5</v>
      </c>
      <c r="N5" s="7">
        <v>18490000000000</v>
      </c>
    </row>
    <row r="6" spans="1:15" ht="14.25" customHeight="1" x14ac:dyDescent="0.3">
      <c r="A6" s="16">
        <v>6</v>
      </c>
      <c r="B6" s="9">
        <v>900000</v>
      </c>
      <c r="E6" s="16">
        <v>1</v>
      </c>
      <c r="F6" s="9">
        <v>1800000</v>
      </c>
      <c r="I6" s="16">
        <v>4</v>
      </c>
      <c r="J6" s="7">
        <v>722500000000</v>
      </c>
      <c r="K6" s="16">
        <f>K2-O3</f>
        <v>14232769133432.229</v>
      </c>
      <c r="M6" s="16">
        <v>6</v>
      </c>
      <c r="N6" s="7">
        <v>16000000000000</v>
      </c>
    </row>
    <row r="7" spans="1:15" ht="14.25" customHeight="1" x14ac:dyDescent="0.3">
      <c r="A7" s="16">
        <v>7</v>
      </c>
      <c r="B7" s="9">
        <v>200000</v>
      </c>
      <c r="E7" s="16">
        <v>1</v>
      </c>
      <c r="F7" s="9">
        <v>1100000</v>
      </c>
      <c r="I7" s="16">
        <v>5</v>
      </c>
      <c r="J7" s="7">
        <v>1440000000000</v>
      </c>
      <c r="M7" s="16">
        <v>7</v>
      </c>
      <c r="N7" s="7">
        <v>36000000000000</v>
      </c>
    </row>
    <row r="8" spans="1:15" ht="14.25" customHeight="1" x14ac:dyDescent="0.3">
      <c r="A8" s="16">
        <v>8</v>
      </c>
      <c r="B8" s="9">
        <v>450000</v>
      </c>
      <c r="E8" s="16">
        <v>1</v>
      </c>
      <c r="F8" s="9">
        <v>2500000</v>
      </c>
      <c r="I8" s="16">
        <v>6</v>
      </c>
      <c r="J8" s="7">
        <v>12250000000000</v>
      </c>
      <c r="M8" s="16">
        <v>8</v>
      </c>
      <c r="N8" s="7">
        <v>3240000000000</v>
      </c>
    </row>
    <row r="9" spans="1:15" ht="14.25" customHeight="1" x14ac:dyDescent="0.3">
      <c r="A9" s="16">
        <v>9</v>
      </c>
      <c r="B9" s="9">
        <v>900000</v>
      </c>
      <c r="E9" s="16">
        <v>1</v>
      </c>
      <c r="F9" s="9">
        <v>900000</v>
      </c>
      <c r="J9" s="7">
        <v>1210000000000</v>
      </c>
      <c r="K9" s="16">
        <f>O3-K2</f>
        <v>-14232769133432.229</v>
      </c>
      <c r="M9" s="16">
        <v>9</v>
      </c>
      <c r="N9" s="7">
        <v>1210000000000</v>
      </c>
    </row>
    <row r="10" spans="1:15" ht="14.25" customHeight="1" x14ac:dyDescent="0.3">
      <c r="A10" s="16">
        <v>10</v>
      </c>
      <c r="B10" s="9">
        <v>1600000</v>
      </c>
      <c r="E10" s="16">
        <v>1</v>
      </c>
      <c r="F10" s="9">
        <v>1400000</v>
      </c>
      <c r="I10" s="16">
        <v>7</v>
      </c>
      <c r="J10" s="7">
        <v>9000000000000</v>
      </c>
      <c r="M10" s="16">
        <v>10</v>
      </c>
      <c r="N10" s="7">
        <v>810000000000</v>
      </c>
    </row>
    <row r="11" spans="1:15" ht="14.25" customHeight="1" x14ac:dyDescent="0.3">
      <c r="A11" s="16">
        <v>11</v>
      </c>
      <c r="B11" s="9">
        <v>1200000</v>
      </c>
      <c r="E11" s="16">
        <v>1</v>
      </c>
      <c r="F11" s="9">
        <v>2500000</v>
      </c>
      <c r="I11" s="16">
        <v>8</v>
      </c>
      <c r="J11" s="7">
        <v>25000000000000</v>
      </c>
      <c r="M11" s="16">
        <v>11</v>
      </c>
      <c r="N11" s="7">
        <v>40000000000</v>
      </c>
    </row>
    <row r="12" spans="1:15" ht="14.25" customHeight="1" x14ac:dyDescent="0.3">
      <c r="A12" s="16">
        <v>12</v>
      </c>
      <c r="B12" s="9">
        <v>1350000</v>
      </c>
      <c r="E12" s="16">
        <v>1</v>
      </c>
      <c r="F12" s="9">
        <v>900000</v>
      </c>
      <c r="I12" s="16">
        <v>9</v>
      </c>
      <c r="J12" s="7">
        <v>20250000000000</v>
      </c>
      <c r="M12" s="16">
        <v>12</v>
      </c>
      <c r="N12" s="7">
        <v>202500000000</v>
      </c>
    </row>
    <row r="13" spans="1:15" ht="14.25" customHeight="1" x14ac:dyDescent="0.3">
      <c r="A13" s="16">
        <v>13</v>
      </c>
      <c r="B13" s="9">
        <v>1200000</v>
      </c>
      <c r="E13" s="16">
        <v>1</v>
      </c>
      <c r="F13" s="9">
        <v>1000000</v>
      </c>
      <c r="J13" s="7">
        <v>810000000000</v>
      </c>
      <c r="M13" s="16">
        <v>13</v>
      </c>
      <c r="N13" s="7">
        <v>810000000000</v>
      </c>
    </row>
    <row r="14" spans="1:15" ht="14.25" customHeight="1" x14ac:dyDescent="0.3">
      <c r="A14" s="16">
        <v>14</v>
      </c>
      <c r="B14" s="9">
        <v>850000</v>
      </c>
      <c r="E14" s="16">
        <v>1</v>
      </c>
      <c r="F14" s="9">
        <v>1200000</v>
      </c>
      <c r="I14" s="16">
        <v>10</v>
      </c>
      <c r="J14" s="7">
        <v>6250000000000</v>
      </c>
      <c r="M14" s="16">
        <v>14</v>
      </c>
      <c r="N14" s="7">
        <v>810000000000</v>
      </c>
    </row>
    <row r="15" spans="1:15" ht="14.25" customHeight="1" x14ac:dyDescent="0.3">
      <c r="A15" s="16">
        <v>15</v>
      </c>
      <c r="B15" s="9">
        <v>2000000</v>
      </c>
      <c r="E15" s="16">
        <v>1</v>
      </c>
      <c r="F15" s="9">
        <v>1000000</v>
      </c>
      <c r="I15" s="16">
        <v>11</v>
      </c>
      <c r="J15" s="7">
        <v>2560000000000</v>
      </c>
      <c r="M15" s="16">
        <v>15</v>
      </c>
      <c r="N15" s="7">
        <v>2560000000000</v>
      </c>
    </row>
    <row r="16" spans="1:15" ht="14.25" customHeight="1" x14ac:dyDescent="0.3">
      <c r="A16" s="16">
        <v>16</v>
      </c>
      <c r="B16" s="9">
        <v>20000000</v>
      </c>
      <c r="E16" s="16">
        <v>1</v>
      </c>
      <c r="F16" s="9">
        <v>3500000</v>
      </c>
      <c r="I16" s="16">
        <v>12</v>
      </c>
      <c r="J16" s="7">
        <v>3610000000000</v>
      </c>
      <c r="M16" s="16">
        <v>16</v>
      </c>
      <c r="N16" s="7">
        <v>1960000000000</v>
      </c>
    </row>
    <row r="17" spans="1:14" ht="14.25" customHeight="1" x14ac:dyDescent="0.3">
      <c r="A17" s="16">
        <v>17</v>
      </c>
      <c r="B17" s="9">
        <v>1500000</v>
      </c>
      <c r="E17" s="16">
        <v>1</v>
      </c>
      <c r="F17" s="9">
        <v>3500000</v>
      </c>
      <c r="J17" s="7">
        <v>4000000000000</v>
      </c>
      <c r="M17" s="16">
        <v>17</v>
      </c>
      <c r="N17" s="7">
        <v>1440000000000</v>
      </c>
    </row>
    <row r="18" spans="1:14" ht="14.25" customHeight="1" x14ac:dyDescent="0.3">
      <c r="A18" s="16">
        <v>18</v>
      </c>
      <c r="B18" s="9">
        <v>1100000</v>
      </c>
      <c r="E18" s="16">
        <v>1</v>
      </c>
      <c r="F18" s="9">
        <v>2700000</v>
      </c>
      <c r="I18" s="16">
        <v>13</v>
      </c>
      <c r="J18" s="7">
        <v>2250000000000</v>
      </c>
      <c r="M18" s="16">
        <v>18</v>
      </c>
      <c r="N18" s="7">
        <v>1822500000000</v>
      </c>
    </row>
    <row r="19" spans="1:14" ht="14.25" customHeight="1" x14ac:dyDescent="0.3">
      <c r="A19" s="16">
        <v>19</v>
      </c>
      <c r="B19" s="9">
        <v>1500000</v>
      </c>
      <c r="E19" s="16">
        <v>1</v>
      </c>
      <c r="F19" s="9">
        <v>3000000</v>
      </c>
      <c r="I19" s="16">
        <v>14</v>
      </c>
      <c r="J19" s="7">
        <v>1210000000000</v>
      </c>
      <c r="M19" s="16">
        <v>19</v>
      </c>
      <c r="N19" s="7">
        <v>810000000000</v>
      </c>
    </row>
    <row r="20" spans="1:14" ht="14.25" customHeight="1" x14ac:dyDescent="0.3">
      <c r="A20" s="16">
        <v>20</v>
      </c>
      <c r="B20" s="9">
        <v>4000000</v>
      </c>
      <c r="E20" s="16">
        <v>1</v>
      </c>
      <c r="F20" s="9">
        <v>1014980</v>
      </c>
      <c r="I20" s="16">
        <v>15</v>
      </c>
      <c r="J20" s="7">
        <v>2250000000000</v>
      </c>
      <c r="M20" s="16">
        <v>20</v>
      </c>
      <c r="N20" s="7">
        <v>1000000000000</v>
      </c>
    </row>
    <row r="21" spans="1:14" ht="14.25" customHeight="1" x14ac:dyDescent="0.3">
      <c r="A21" s="16">
        <v>21</v>
      </c>
      <c r="B21" s="9">
        <v>1183000</v>
      </c>
      <c r="E21" s="16">
        <v>1</v>
      </c>
      <c r="F21" s="9">
        <v>4500000</v>
      </c>
      <c r="J21" s="7">
        <v>9000000000000</v>
      </c>
      <c r="M21" s="16">
        <v>21</v>
      </c>
      <c r="N21" s="7">
        <v>1440000000000</v>
      </c>
    </row>
    <row r="22" spans="1:14" ht="14.25" customHeight="1" x14ac:dyDescent="0.3">
      <c r="A22" s="16">
        <v>22</v>
      </c>
      <c r="B22" s="9">
        <v>1500000</v>
      </c>
      <c r="E22" s="16">
        <v>1</v>
      </c>
      <c r="F22" s="9">
        <v>2500000</v>
      </c>
      <c r="I22" s="16">
        <v>16</v>
      </c>
      <c r="J22" s="7">
        <v>3240000000000</v>
      </c>
      <c r="M22" s="16">
        <v>22</v>
      </c>
      <c r="N22" s="7">
        <v>1000000000000</v>
      </c>
    </row>
    <row r="23" spans="1:14" ht="14.25" customHeight="1" x14ac:dyDescent="0.3">
      <c r="A23" s="16">
        <v>23</v>
      </c>
      <c r="B23" s="9">
        <v>1500000</v>
      </c>
      <c r="E23" s="16">
        <v>1</v>
      </c>
      <c r="F23" s="9">
        <v>5000000</v>
      </c>
      <c r="I23" s="16">
        <v>17</v>
      </c>
      <c r="J23" s="7">
        <v>49000000000000</v>
      </c>
      <c r="M23" s="16">
        <v>23</v>
      </c>
      <c r="N23" s="7">
        <v>12250000000000</v>
      </c>
    </row>
    <row r="24" spans="1:14" ht="14.25" customHeight="1" x14ac:dyDescent="0.3">
      <c r="A24" s="16">
        <v>24</v>
      </c>
      <c r="B24" s="9">
        <v>2500000</v>
      </c>
      <c r="E24" s="16">
        <v>1</v>
      </c>
      <c r="F24" s="9">
        <v>2200000</v>
      </c>
      <c r="I24" s="16">
        <v>18</v>
      </c>
      <c r="J24" s="7">
        <v>6250000000000</v>
      </c>
      <c r="M24" s="16">
        <v>24</v>
      </c>
      <c r="N24" s="7">
        <v>4000000000000</v>
      </c>
    </row>
    <row r="25" spans="1:14" ht="14.25" customHeight="1" x14ac:dyDescent="0.3">
      <c r="A25" s="16">
        <v>25</v>
      </c>
      <c r="B25" s="9">
        <v>1200000</v>
      </c>
      <c r="E25" s="16">
        <v>1</v>
      </c>
      <c r="F25" s="9">
        <v>4500000</v>
      </c>
      <c r="J25" s="7">
        <v>2560000000000</v>
      </c>
      <c r="M25" s="16">
        <v>25</v>
      </c>
      <c r="N25" s="7">
        <v>400000000000000</v>
      </c>
    </row>
    <row r="26" spans="1:14" ht="14.25" customHeight="1" x14ac:dyDescent="0.3">
      <c r="A26" s="16">
        <v>26</v>
      </c>
      <c r="B26" s="9">
        <v>800000</v>
      </c>
      <c r="E26" s="16">
        <v>1</v>
      </c>
      <c r="F26" s="9">
        <v>1500000</v>
      </c>
      <c r="I26" s="16">
        <v>19</v>
      </c>
      <c r="J26" s="7">
        <v>6250000000000</v>
      </c>
      <c r="M26" s="16">
        <v>26</v>
      </c>
      <c r="N26" s="7">
        <v>2250000000000</v>
      </c>
    </row>
    <row r="27" spans="1:14" ht="14.25" customHeight="1" x14ac:dyDescent="0.3">
      <c r="A27" s="16">
        <v>27</v>
      </c>
      <c r="B27" s="9">
        <v>900000</v>
      </c>
      <c r="E27" s="16">
        <v>1</v>
      </c>
      <c r="F27" s="9">
        <v>3200000</v>
      </c>
      <c r="I27" s="16">
        <v>20</v>
      </c>
      <c r="J27" s="7">
        <v>960400000000</v>
      </c>
      <c r="M27" s="16">
        <v>27</v>
      </c>
      <c r="N27" s="7">
        <v>2250000000000</v>
      </c>
    </row>
    <row r="28" spans="1:14" ht="14.25" customHeight="1" x14ac:dyDescent="0.3">
      <c r="A28" s="16">
        <v>28</v>
      </c>
      <c r="B28" s="9">
        <v>1900000</v>
      </c>
      <c r="E28" s="16">
        <v>1</v>
      </c>
      <c r="F28" s="9">
        <v>800000</v>
      </c>
      <c r="I28" s="16">
        <v>21</v>
      </c>
      <c r="J28" s="7">
        <v>810000000000</v>
      </c>
      <c r="M28" s="16">
        <v>28</v>
      </c>
      <c r="N28" s="7">
        <v>7290000000000</v>
      </c>
    </row>
    <row r="29" spans="1:14" ht="14.25" customHeight="1" x14ac:dyDescent="0.3">
      <c r="A29" s="16">
        <v>29</v>
      </c>
      <c r="B29" s="9">
        <v>1000000</v>
      </c>
      <c r="E29" s="16">
        <v>1</v>
      </c>
      <c r="F29" s="9">
        <v>900000</v>
      </c>
      <c r="J29" s="7">
        <v>2560000000000</v>
      </c>
      <c r="M29" s="16">
        <v>29</v>
      </c>
      <c r="N29" s="7">
        <v>16000000000000</v>
      </c>
    </row>
    <row r="30" spans="1:14" ht="14.25" customHeight="1" x14ac:dyDescent="0.3">
      <c r="A30" s="16">
        <v>30</v>
      </c>
      <c r="B30" s="9">
        <v>1100000</v>
      </c>
      <c r="E30" s="16">
        <v>1</v>
      </c>
      <c r="F30" s="9">
        <v>7000000</v>
      </c>
      <c r="I30" s="16">
        <v>22</v>
      </c>
      <c r="J30" s="7">
        <v>64000000000000</v>
      </c>
      <c r="M30" s="16">
        <v>30</v>
      </c>
      <c r="N30" s="7">
        <v>1399489000000</v>
      </c>
    </row>
    <row r="31" spans="1:14" ht="14.25" customHeight="1" x14ac:dyDescent="0.3">
      <c r="A31" s="16">
        <v>31</v>
      </c>
      <c r="B31" s="9">
        <v>3600000</v>
      </c>
      <c r="E31" s="16">
        <v>1</v>
      </c>
      <c r="F31" s="9">
        <v>2500000</v>
      </c>
      <c r="I31" s="16">
        <v>23</v>
      </c>
      <c r="J31" s="7">
        <v>81000000000000</v>
      </c>
      <c r="M31" s="16">
        <v>31</v>
      </c>
      <c r="N31" s="7">
        <v>1030184400400</v>
      </c>
    </row>
    <row r="32" spans="1:14" ht="14.25" customHeight="1" x14ac:dyDescent="0.3">
      <c r="A32" s="16">
        <v>32</v>
      </c>
      <c r="B32" s="9">
        <v>2600000</v>
      </c>
      <c r="E32" s="16">
        <v>1</v>
      </c>
      <c r="F32" s="9">
        <v>6000000</v>
      </c>
      <c r="I32" s="16">
        <v>24</v>
      </c>
      <c r="J32" s="7">
        <v>2250000000000</v>
      </c>
      <c r="M32" s="16">
        <v>32</v>
      </c>
      <c r="N32" s="7">
        <v>20250000000000</v>
      </c>
    </row>
    <row r="33" spans="1:14" ht="14.25" customHeight="1" x14ac:dyDescent="0.3">
      <c r="A33" s="16">
        <v>33</v>
      </c>
      <c r="B33" s="9">
        <v>2000000</v>
      </c>
      <c r="E33" s="16">
        <v>1</v>
      </c>
      <c r="F33" s="9">
        <v>1600000</v>
      </c>
      <c r="J33" s="7">
        <v>1030184400400</v>
      </c>
      <c r="M33" s="16">
        <v>33</v>
      </c>
      <c r="N33" s="7">
        <v>2250000000000</v>
      </c>
    </row>
    <row r="34" spans="1:14" ht="14.25" customHeight="1" x14ac:dyDescent="0.3">
      <c r="A34" s="16">
        <v>34</v>
      </c>
      <c r="B34" s="9">
        <v>950000</v>
      </c>
      <c r="E34" s="16">
        <v>1</v>
      </c>
      <c r="F34" s="9">
        <v>4500000</v>
      </c>
      <c r="I34" s="16">
        <v>25</v>
      </c>
      <c r="J34" s="7">
        <v>4120737601600</v>
      </c>
      <c r="M34" s="16">
        <v>34</v>
      </c>
      <c r="N34" s="7">
        <v>2250000000000</v>
      </c>
    </row>
    <row r="35" spans="1:14" ht="14.25" customHeight="1" x14ac:dyDescent="0.3">
      <c r="A35" s="16">
        <v>35</v>
      </c>
      <c r="B35" s="9">
        <v>1100000</v>
      </c>
      <c r="E35" s="16">
        <v>1</v>
      </c>
      <c r="F35" s="9">
        <v>5100000</v>
      </c>
      <c r="I35" s="16">
        <v>26</v>
      </c>
      <c r="J35" s="7">
        <v>4000000000000</v>
      </c>
      <c r="M35" s="16">
        <v>35</v>
      </c>
      <c r="N35" s="7">
        <v>6250000000000</v>
      </c>
    </row>
    <row r="36" spans="1:14" ht="14.25" customHeight="1" x14ac:dyDescent="0.3">
      <c r="A36" s="16">
        <v>36</v>
      </c>
      <c r="B36" s="9">
        <v>110000</v>
      </c>
      <c r="E36" s="16">
        <v>1</v>
      </c>
      <c r="F36" s="9">
        <v>8200000</v>
      </c>
      <c r="I36" s="16">
        <v>27</v>
      </c>
      <c r="J36" s="7">
        <v>400000000000000</v>
      </c>
      <c r="M36" s="16">
        <v>36</v>
      </c>
      <c r="N36" s="7">
        <v>4840000000000</v>
      </c>
    </row>
    <row r="37" spans="1:14" ht="14.25" customHeight="1" x14ac:dyDescent="0.3">
      <c r="A37" s="16">
        <v>37</v>
      </c>
      <c r="B37" s="9">
        <v>1500000</v>
      </c>
      <c r="E37" s="16">
        <v>1</v>
      </c>
      <c r="F37" s="9">
        <v>1300000</v>
      </c>
      <c r="J37" s="7">
        <v>824464000000</v>
      </c>
      <c r="M37" s="16">
        <v>37</v>
      </c>
      <c r="N37" s="7">
        <v>6250000000000</v>
      </c>
    </row>
    <row r="38" spans="1:14" ht="14.25" customHeight="1" x14ac:dyDescent="0.3">
      <c r="A38" s="16">
        <v>38</v>
      </c>
      <c r="B38" s="9">
        <v>800000</v>
      </c>
      <c r="E38" s="16">
        <v>1</v>
      </c>
      <c r="F38" s="9">
        <v>3000000</v>
      </c>
      <c r="I38" s="16">
        <v>28</v>
      </c>
      <c r="J38" s="7">
        <v>9000000000000</v>
      </c>
      <c r="M38" s="16">
        <v>38</v>
      </c>
      <c r="N38" s="7">
        <v>2250000000000</v>
      </c>
    </row>
    <row r="39" spans="1:14" ht="14.25" customHeight="1" x14ac:dyDescent="0.3">
      <c r="A39" s="16">
        <v>39</v>
      </c>
      <c r="B39" s="9">
        <v>1100000</v>
      </c>
      <c r="E39" s="16">
        <v>1</v>
      </c>
      <c r="F39" s="9">
        <v>500000</v>
      </c>
      <c r="I39" s="16">
        <v>29</v>
      </c>
      <c r="J39" s="7">
        <v>824464000000</v>
      </c>
      <c r="M39" s="16">
        <v>39</v>
      </c>
      <c r="N39" s="7">
        <v>10240000000000</v>
      </c>
    </row>
    <row r="40" spans="1:14" ht="14.25" customHeight="1" x14ac:dyDescent="0.3">
      <c r="A40" s="16">
        <v>40</v>
      </c>
      <c r="B40" s="9">
        <v>980000</v>
      </c>
      <c r="E40" s="16">
        <v>1</v>
      </c>
      <c r="F40" s="9">
        <v>1500000</v>
      </c>
      <c r="I40" s="16">
        <v>30</v>
      </c>
      <c r="J40" s="7">
        <v>3240000000000</v>
      </c>
      <c r="M40" s="16">
        <v>40</v>
      </c>
      <c r="N40" s="7">
        <v>1440000000000</v>
      </c>
    </row>
    <row r="41" spans="1:14" ht="14.25" customHeight="1" x14ac:dyDescent="0.3">
      <c r="A41" s="16">
        <v>41</v>
      </c>
      <c r="B41" s="9">
        <v>600000</v>
      </c>
      <c r="E41" s="16">
        <v>1</v>
      </c>
      <c r="F41" s="9">
        <v>1500000</v>
      </c>
      <c r="J41" s="7">
        <v>824464000000</v>
      </c>
      <c r="M41" s="16">
        <v>41</v>
      </c>
      <c r="N41" s="7">
        <v>640000000000</v>
      </c>
    </row>
    <row r="42" spans="1:14" ht="14.25" customHeight="1" x14ac:dyDescent="0.3">
      <c r="A42" s="16">
        <v>42</v>
      </c>
      <c r="B42" s="9">
        <v>1500000</v>
      </c>
      <c r="E42" s="16">
        <v>1</v>
      </c>
      <c r="F42" s="9">
        <v>1800000</v>
      </c>
      <c r="I42" s="16">
        <v>31</v>
      </c>
      <c r="J42" s="7">
        <v>824464000000</v>
      </c>
      <c r="M42" s="16">
        <v>42</v>
      </c>
      <c r="N42" s="7">
        <v>640000000000</v>
      </c>
    </row>
    <row r="43" spans="1:14" ht="14.25" customHeight="1" x14ac:dyDescent="0.3">
      <c r="A43" s="16">
        <v>43</v>
      </c>
      <c r="B43" s="9">
        <v>3000000</v>
      </c>
      <c r="E43" s="16">
        <v>1</v>
      </c>
      <c r="F43" s="9">
        <v>5000000</v>
      </c>
      <c r="I43" s="16">
        <v>32</v>
      </c>
      <c r="J43" s="7">
        <v>1000000000000</v>
      </c>
      <c r="M43" s="16">
        <v>43</v>
      </c>
      <c r="N43" s="7">
        <v>810000000000</v>
      </c>
    </row>
    <row r="44" spans="1:14" ht="14.25" customHeight="1" x14ac:dyDescent="0.3">
      <c r="A44" s="16">
        <v>44</v>
      </c>
      <c r="B44" s="9">
        <v>908000</v>
      </c>
      <c r="E44" s="16">
        <v>1</v>
      </c>
      <c r="F44" s="9">
        <v>2600000</v>
      </c>
      <c r="I44" s="16">
        <v>33</v>
      </c>
      <c r="J44" s="7">
        <v>1000000000000</v>
      </c>
      <c r="M44" s="16">
        <v>44</v>
      </c>
      <c r="N44" s="7">
        <v>49000000000000</v>
      </c>
    </row>
    <row r="45" spans="1:14" ht="14.25" customHeight="1" x14ac:dyDescent="0.3">
      <c r="A45" s="16">
        <v>45</v>
      </c>
      <c r="B45" s="9">
        <v>930000</v>
      </c>
      <c r="E45" s="16">
        <v>1</v>
      </c>
      <c r="F45" s="9">
        <v>6000000</v>
      </c>
      <c r="J45" s="7">
        <v>6250000000000</v>
      </c>
      <c r="M45" s="16">
        <v>45</v>
      </c>
      <c r="N45" s="7">
        <v>36000000000000</v>
      </c>
    </row>
    <row r="46" spans="1:14" ht="14.25" customHeight="1" x14ac:dyDescent="0.3">
      <c r="A46" s="16">
        <v>46</v>
      </c>
      <c r="B46" s="9">
        <v>1200000</v>
      </c>
      <c r="E46" s="16">
        <v>1</v>
      </c>
      <c r="F46" s="9">
        <v>1200000</v>
      </c>
      <c r="I46" s="16">
        <v>34</v>
      </c>
      <c r="J46" s="7">
        <v>1210000000000</v>
      </c>
      <c r="M46" s="16">
        <v>46</v>
      </c>
      <c r="N46" s="7">
        <v>20250000000000</v>
      </c>
    </row>
    <row r="47" spans="1:14" ht="14.25" customHeight="1" x14ac:dyDescent="0.3">
      <c r="A47" s="16">
        <v>47</v>
      </c>
      <c r="B47" s="9">
        <v>908000</v>
      </c>
      <c r="E47" s="16">
        <v>1</v>
      </c>
      <c r="F47" s="9">
        <v>1400000</v>
      </c>
      <c r="I47" s="16">
        <v>35</v>
      </c>
      <c r="J47" s="7">
        <v>1000000000000</v>
      </c>
      <c r="M47" s="16">
        <v>47</v>
      </c>
      <c r="N47" s="7">
        <v>1000000000000</v>
      </c>
    </row>
    <row r="48" spans="1:14" ht="14.25" customHeight="1" x14ac:dyDescent="0.3">
      <c r="A48" s="16">
        <v>48</v>
      </c>
      <c r="B48" s="9">
        <v>908000</v>
      </c>
      <c r="E48" s="16">
        <v>1</v>
      </c>
      <c r="F48" s="9">
        <v>1300000</v>
      </c>
      <c r="I48" s="16">
        <v>36</v>
      </c>
      <c r="J48" s="7">
        <v>25000000000000</v>
      </c>
      <c r="M48" s="16">
        <v>48</v>
      </c>
      <c r="N48" s="7">
        <v>1210000000000</v>
      </c>
    </row>
    <row r="49" spans="1:14" ht="14.25" customHeight="1" x14ac:dyDescent="0.3">
      <c r="A49" s="16">
        <v>49</v>
      </c>
      <c r="B49" s="9">
        <v>1800000</v>
      </c>
      <c r="E49" s="16">
        <v>1</v>
      </c>
      <c r="F49" s="9">
        <v>980000</v>
      </c>
      <c r="J49" s="7">
        <v>6250000000000</v>
      </c>
      <c r="M49" s="16">
        <v>49</v>
      </c>
      <c r="N49" s="7">
        <v>26010000000000</v>
      </c>
    </row>
    <row r="50" spans="1:14" ht="14.25" customHeight="1" x14ac:dyDescent="0.3">
      <c r="A50" s="16">
        <v>50</v>
      </c>
      <c r="B50" s="9">
        <v>1000000</v>
      </c>
      <c r="E50" s="16">
        <v>1</v>
      </c>
      <c r="F50" s="9">
        <v>5000000</v>
      </c>
      <c r="I50" s="16">
        <v>37</v>
      </c>
      <c r="J50" s="7">
        <v>824464000000</v>
      </c>
      <c r="M50" s="16">
        <v>50</v>
      </c>
      <c r="N50" s="7">
        <v>12960000000000</v>
      </c>
    </row>
    <row r="51" spans="1:14" ht="14.25" customHeight="1" x14ac:dyDescent="0.3">
      <c r="A51" s="16">
        <v>51</v>
      </c>
      <c r="B51" s="9">
        <v>1000000</v>
      </c>
      <c r="E51" s="16">
        <v>1</v>
      </c>
      <c r="F51" s="9">
        <v>1000000</v>
      </c>
      <c r="I51" s="16">
        <v>38</v>
      </c>
      <c r="J51" s="7">
        <v>4000000000000</v>
      </c>
      <c r="M51" s="16">
        <v>51</v>
      </c>
      <c r="N51" s="7">
        <v>6760000000000</v>
      </c>
    </row>
    <row r="52" spans="1:14" ht="14.25" customHeight="1" x14ac:dyDescent="0.3">
      <c r="A52" s="16">
        <v>52</v>
      </c>
      <c r="B52" s="9">
        <v>3000000</v>
      </c>
      <c r="E52" s="16">
        <v>1</v>
      </c>
      <c r="F52" s="9">
        <v>2000000</v>
      </c>
      <c r="I52" s="16">
        <v>39</v>
      </c>
      <c r="J52" s="7">
        <v>16000000000000</v>
      </c>
      <c r="M52" s="16">
        <v>52</v>
      </c>
      <c r="N52" s="7">
        <v>67240000000000</v>
      </c>
    </row>
    <row r="53" spans="1:14" ht="14.25" customHeight="1" x14ac:dyDescent="0.3">
      <c r="A53" s="16">
        <v>53</v>
      </c>
      <c r="B53" s="9">
        <v>600000</v>
      </c>
      <c r="E53" s="16">
        <v>1</v>
      </c>
      <c r="F53" s="9">
        <v>2200000</v>
      </c>
      <c r="J53" s="7">
        <v>824464000000</v>
      </c>
      <c r="M53" s="16">
        <v>53</v>
      </c>
      <c r="N53" s="7">
        <v>1690000000000</v>
      </c>
    </row>
    <row r="54" spans="1:14" ht="14.25" customHeight="1" x14ac:dyDescent="0.3">
      <c r="A54" s="16">
        <v>54</v>
      </c>
      <c r="B54" s="9">
        <v>1000000</v>
      </c>
      <c r="E54" s="16">
        <v>1</v>
      </c>
      <c r="F54" s="9">
        <v>1500000</v>
      </c>
      <c r="I54" s="16">
        <v>40</v>
      </c>
      <c r="J54" s="7">
        <v>9000000000000</v>
      </c>
      <c r="M54" s="16">
        <v>54</v>
      </c>
      <c r="N54" s="7">
        <v>9000000000000</v>
      </c>
    </row>
    <row r="55" spans="1:14" ht="14.25" customHeight="1" x14ac:dyDescent="0.3">
      <c r="A55" s="16">
        <v>55</v>
      </c>
      <c r="B55" s="9">
        <v>7000000</v>
      </c>
      <c r="E55" s="16">
        <v>1</v>
      </c>
      <c r="F55" s="9">
        <v>1200000</v>
      </c>
      <c r="I55" s="16">
        <v>41</v>
      </c>
      <c r="J55" s="7">
        <v>9000000000000</v>
      </c>
      <c r="M55" s="16">
        <v>55</v>
      </c>
      <c r="N55" s="7">
        <v>902500000000</v>
      </c>
    </row>
    <row r="56" spans="1:14" ht="14.25" customHeight="1" x14ac:dyDescent="0.3">
      <c r="A56" s="16">
        <v>56</v>
      </c>
      <c r="B56" s="9">
        <v>2500000</v>
      </c>
      <c r="E56" s="16">
        <v>1</v>
      </c>
      <c r="F56" s="9">
        <v>1200000</v>
      </c>
      <c r="I56" s="16">
        <v>42</v>
      </c>
      <c r="J56" s="7">
        <v>4000000000000</v>
      </c>
      <c r="M56" s="16">
        <v>56</v>
      </c>
      <c r="N56" s="7">
        <v>1210000000000</v>
      </c>
    </row>
    <row r="57" spans="1:14" ht="14.25" customHeight="1" x14ac:dyDescent="0.3">
      <c r="A57" s="16">
        <v>57</v>
      </c>
      <c r="B57" s="9">
        <v>1600000</v>
      </c>
      <c r="E57" s="16">
        <v>1</v>
      </c>
      <c r="F57" s="9">
        <v>2000000</v>
      </c>
      <c r="J57" s="7">
        <v>9000000000000</v>
      </c>
      <c r="M57" s="16">
        <v>57</v>
      </c>
      <c r="N57" s="7">
        <v>12100000000</v>
      </c>
    </row>
    <row r="58" spans="1:14" ht="14.25" customHeight="1" x14ac:dyDescent="0.3">
      <c r="A58" s="16">
        <v>58</v>
      </c>
      <c r="B58" s="9">
        <v>1100000</v>
      </c>
      <c r="E58" s="16">
        <v>1</v>
      </c>
      <c r="F58" s="9">
        <v>1500000</v>
      </c>
      <c r="I58" s="16">
        <v>43</v>
      </c>
      <c r="J58" s="7">
        <v>2250000000000</v>
      </c>
      <c r="M58" s="16">
        <v>58</v>
      </c>
      <c r="N58" s="7">
        <v>250000000000</v>
      </c>
    </row>
    <row r="59" spans="1:14" ht="14.25" customHeight="1" x14ac:dyDescent="0.3">
      <c r="A59" s="16">
        <v>59</v>
      </c>
      <c r="B59" s="9">
        <v>1200000</v>
      </c>
      <c r="E59" s="16">
        <v>1</v>
      </c>
      <c r="F59" s="9">
        <v>20000000</v>
      </c>
      <c r="I59" s="16">
        <v>44</v>
      </c>
      <c r="J59" s="7">
        <v>4000000000000</v>
      </c>
      <c r="M59" s="16">
        <v>59</v>
      </c>
      <c r="N59" s="7">
        <v>2250000000000</v>
      </c>
    </row>
    <row r="60" spans="1:14" ht="14.25" customHeight="1" x14ac:dyDescent="0.3">
      <c r="A60" s="16">
        <v>60</v>
      </c>
      <c r="B60" s="9">
        <v>2500000</v>
      </c>
      <c r="E60" s="16">
        <v>1</v>
      </c>
      <c r="F60" s="9">
        <v>2500000</v>
      </c>
      <c r="I60" s="16">
        <v>45</v>
      </c>
      <c r="J60" s="7">
        <v>36000000000000</v>
      </c>
      <c r="M60" s="16">
        <v>60</v>
      </c>
      <c r="N60" s="7">
        <v>2250000000000</v>
      </c>
    </row>
    <row r="61" spans="1:14" ht="14.25" customHeight="1" x14ac:dyDescent="0.3">
      <c r="A61" s="16">
        <v>61</v>
      </c>
      <c r="B61" s="9">
        <v>1112000</v>
      </c>
      <c r="E61" s="16">
        <v>1</v>
      </c>
      <c r="F61" s="9">
        <v>2500000</v>
      </c>
      <c r="J61" s="7">
        <v>6250000000000</v>
      </c>
      <c r="M61" s="16">
        <v>61</v>
      </c>
      <c r="N61" s="7">
        <v>3240000000000</v>
      </c>
    </row>
    <row r="62" spans="1:14" ht="14.25" customHeight="1" x14ac:dyDescent="0.3">
      <c r="A62" s="16">
        <v>62</v>
      </c>
      <c r="B62" s="9">
        <v>8000000</v>
      </c>
      <c r="E62" s="16">
        <v>1</v>
      </c>
      <c r="F62" s="9">
        <v>1500000</v>
      </c>
      <c r="I62" s="16">
        <v>46</v>
      </c>
      <c r="J62" s="7">
        <v>16000000000000</v>
      </c>
      <c r="M62" s="16">
        <v>62</v>
      </c>
      <c r="N62" s="7">
        <v>640000000000</v>
      </c>
    </row>
    <row r="63" spans="1:14" ht="14.25" customHeight="1" x14ac:dyDescent="0.3">
      <c r="A63" s="16">
        <v>63</v>
      </c>
      <c r="B63" s="9">
        <v>1000000</v>
      </c>
      <c r="E63" s="16">
        <v>1</v>
      </c>
      <c r="F63" s="9">
        <v>3000000</v>
      </c>
      <c r="I63" s="16">
        <v>47</v>
      </c>
      <c r="J63" s="7">
        <v>4000000000000</v>
      </c>
      <c r="M63" s="16">
        <v>63</v>
      </c>
      <c r="N63" s="7">
        <v>960400000000</v>
      </c>
    </row>
    <row r="64" spans="1:14" ht="14.25" customHeight="1" x14ac:dyDescent="0.3">
      <c r="A64" s="16">
        <v>64</v>
      </c>
      <c r="B64" s="9">
        <v>900000</v>
      </c>
      <c r="E64" s="16">
        <v>1</v>
      </c>
      <c r="F64" s="9">
        <v>1000000</v>
      </c>
      <c r="I64" s="16">
        <v>48</v>
      </c>
      <c r="J64" s="7">
        <v>1440000000000</v>
      </c>
      <c r="M64" s="16">
        <v>64</v>
      </c>
      <c r="N64" s="7">
        <v>25000000000000</v>
      </c>
    </row>
    <row r="65" spans="1:14" ht="14.25" customHeight="1" x14ac:dyDescent="0.3">
      <c r="A65" s="16">
        <v>65</v>
      </c>
      <c r="B65" s="9">
        <v>1500000</v>
      </c>
      <c r="E65" s="16">
        <v>1</v>
      </c>
      <c r="F65" s="9">
        <v>2000000</v>
      </c>
      <c r="J65" s="7">
        <v>824464000000</v>
      </c>
      <c r="M65" s="16">
        <v>65</v>
      </c>
      <c r="N65" s="7">
        <v>360000000000</v>
      </c>
    </row>
    <row r="66" spans="1:14" ht="14.25" customHeight="1" x14ac:dyDescent="0.3">
      <c r="A66" s="16">
        <v>66</v>
      </c>
      <c r="B66" s="9">
        <v>1600000</v>
      </c>
      <c r="E66" s="16">
        <v>1</v>
      </c>
      <c r="F66" s="9">
        <v>1100000</v>
      </c>
      <c r="I66" s="16">
        <v>49</v>
      </c>
      <c r="J66" s="7">
        <v>16000000000000</v>
      </c>
      <c r="M66" s="16">
        <v>66</v>
      </c>
      <c r="N66" s="7">
        <v>824464000000</v>
      </c>
    </row>
    <row r="67" spans="1:14" ht="14.25" customHeight="1" x14ac:dyDescent="0.3">
      <c r="A67" s="16">
        <v>67</v>
      </c>
      <c r="B67" s="9">
        <v>1700000</v>
      </c>
      <c r="E67" s="16">
        <v>1</v>
      </c>
      <c r="F67" s="9">
        <v>908000</v>
      </c>
      <c r="I67" s="16">
        <v>50</v>
      </c>
      <c r="J67" s="7">
        <v>3610000000000</v>
      </c>
      <c r="M67" s="16">
        <v>67</v>
      </c>
      <c r="N67" s="7">
        <v>864900000000</v>
      </c>
    </row>
    <row r="68" spans="1:14" ht="14.25" customHeight="1" x14ac:dyDescent="0.3">
      <c r="A68" s="16">
        <v>68</v>
      </c>
      <c r="B68" s="9">
        <v>1600000</v>
      </c>
      <c r="E68" s="16">
        <v>1</v>
      </c>
      <c r="F68" s="9">
        <v>1132000</v>
      </c>
      <c r="I68" s="16">
        <v>51</v>
      </c>
      <c r="J68" s="7">
        <v>25000000000000</v>
      </c>
      <c r="M68" s="16">
        <v>68</v>
      </c>
      <c r="N68" s="7">
        <v>1440000000000</v>
      </c>
    </row>
    <row r="69" spans="1:14" ht="14.25" customHeight="1" x14ac:dyDescent="0.3">
      <c r="A69" s="16">
        <v>69</v>
      </c>
      <c r="B69" s="9">
        <v>1400000</v>
      </c>
      <c r="E69" s="16">
        <v>1</v>
      </c>
      <c r="F69" s="9">
        <v>1800000</v>
      </c>
      <c r="J69" s="7">
        <v>1210000000000</v>
      </c>
      <c r="M69" s="16">
        <v>69</v>
      </c>
      <c r="N69" s="7">
        <v>824464000000</v>
      </c>
    </row>
    <row r="70" spans="1:14" ht="14.25" customHeight="1" x14ac:dyDescent="0.3">
      <c r="A70" s="16">
        <v>70</v>
      </c>
      <c r="B70" s="9">
        <v>1000000</v>
      </c>
      <c r="E70" s="16">
        <v>1</v>
      </c>
      <c r="F70" s="9">
        <v>908000</v>
      </c>
      <c r="I70" s="16">
        <v>52</v>
      </c>
      <c r="J70" s="7">
        <v>824464000000</v>
      </c>
      <c r="M70" s="16">
        <v>70</v>
      </c>
      <c r="N70" s="7">
        <v>824464000000</v>
      </c>
    </row>
    <row r="71" spans="1:14" ht="14.25" customHeight="1" x14ac:dyDescent="0.3">
      <c r="A71" s="16">
        <v>71</v>
      </c>
      <c r="B71" s="9">
        <v>8000000</v>
      </c>
      <c r="E71" s="16">
        <v>1</v>
      </c>
      <c r="F71" s="9">
        <v>1500000</v>
      </c>
      <c r="I71" s="16">
        <v>53</v>
      </c>
      <c r="J71" s="7">
        <v>4000000000000</v>
      </c>
      <c r="M71" s="16">
        <v>71</v>
      </c>
      <c r="N71" s="7">
        <v>1000000000000</v>
      </c>
    </row>
    <row r="72" spans="1:14" ht="14.25" customHeight="1" x14ac:dyDescent="0.3">
      <c r="A72" s="16">
        <v>72</v>
      </c>
      <c r="B72" s="9">
        <v>1014980</v>
      </c>
      <c r="E72" s="16">
        <v>1</v>
      </c>
      <c r="F72" s="9">
        <v>3500000</v>
      </c>
      <c r="I72" s="16">
        <v>54</v>
      </c>
      <c r="J72" s="7">
        <v>6250000000000</v>
      </c>
      <c r="M72" s="16">
        <v>72</v>
      </c>
      <c r="N72" s="7">
        <v>1000000000000</v>
      </c>
    </row>
    <row r="73" spans="1:14" ht="14.25" customHeight="1" x14ac:dyDescent="0.3">
      <c r="A73" s="16">
        <v>73</v>
      </c>
      <c r="B73" s="9">
        <v>1200000</v>
      </c>
      <c r="E73" s="16">
        <v>1</v>
      </c>
      <c r="F73" s="9">
        <v>900000</v>
      </c>
      <c r="J73" s="7">
        <v>824464000000</v>
      </c>
      <c r="M73" s="16">
        <v>73</v>
      </c>
      <c r="N73" s="7">
        <v>6760000000000</v>
      </c>
    </row>
    <row r="74" spans="1:14" ht="14.25" customHeight="1" x14ac:dyDescent="0.3">
      <c r="A74" s="16">
        <v>74</v>
      </c>
      <c r="B74" s="9">
        <v>9000000</v>
      </c>
      <c r="E74" s="16">
        <v>1</v>
      </c>
      <c r="F74" s="9">
        <v>1100000</v>
      </c>
      <c r="I74" s="16">
        <v>55</v>
      </c>
      <c r="J74" s="7">
        <v>100000000000000</v>
      </c>
      <c r="M74" s="16">
        <v>74</v>
      </c>
      <c r="N74" s="7">
        <v>36000000000000</v>
      </c>
    </row>
    <row r="75" spans="1:14" ht="14.25" customHeight="1" x14ac:dyDescent="0.3">
      <c r="A75" s="16">
        <v>75</v>
      </c>
      <c r="B75" s="9">
        <v>1014980</v>
      </c>
      <c r="E75" s="16">
        <v>1</v>
      </c>
      <c r="F75" s="9">
        <v>800000</v>
      </c>
      <c r="I75" s="16">
        <v>56</v>
      </c>
      <c r="J75" s="7">
        <v>4000000000000</v>
      </c>
      <c r="M75" s="16">
        <v>75</v>
      </c>
      <c r="N75" s="7">
        <v>9000000000000</v>
      </c>
    </row>
    <row r="76" spans="1:14" ht="14.25" customHeight="1" x14ac:dyDescent="0.3">
      <c r="A76" s="16">
        <v>76</v>
      </c>
      <c r="B76" s="9">
        <v>2029960</v>
      </c>
      <c r="E76" s="16">
        <v>1</v>
      </c>
      <c r="F76" s="9">
        <v>908000</v>
      </c>
      <c r="I76" s="16">
        <v>57</v>
      </c>
      <c r="J76" s="7">
        <v>2250000000000</v>
      </c>
      <c r="M76" s="16">
        <v>76</v>
      </c>
      <c r="N76" s="7">
        <v>360000000000</v>
      </c>
    </row>
    <row r="77" spans="1:14" ht="14.25" customHeight="1" x14ac:dyDescent="0.3">
      <c r="A77" s="16">
        <v>77</v>
      </c>
      <c r="B77" s="9">
        <v>1014980</v>
      </c>
      <c r="E77" s="16">
        <v>1</v>
      </c>
      <c r="F77" s="9">
        <v>5000000</v>
      </c>
      <c r="J77" s="7">
        <v>1960000000000</v>
      </c>
      <c r="M77" s="16">
        <v>77</v>
      </c>
      <c r="N77" s="7">
        <v>1000000000000</v>
      </c>
    </row>
    <row r="78" spans="1:14" ht="14.25" customHeight="1" x14ac:dyDescent="0.3">
      <c r="A78" s="16">
        <v>78</v>
      </c>
      <c r="B78" s="9">
        <v>1200000</v>
      </c>
      <c r="E78" s="16">
        <v>1</v>
      </c>
      <c r="F78" s="9">
        <v>2500000</v>
      </c>
      <c r="I78" s="16">
        <v>58</v>
      </c>
      <c r="J78" s="7">
        <v>6250000000000</v>
      </c>
      <c r="M78" s="16">
        <v>78</v>
      </c>
      <c r="N78" s="7">
        <v>1440000000000</v>
      </c>
    </row>
    <row r="79" spans="1:14" ht="14.25" customHeight="1" x14ac:dyDescent="0.3">
      <c r="A79" s="16">
        <v>79</v>
      </c>
      <c r="B79" s="9">
        <v>1200000</v>
      </c>
      <c r="E79" s="16">
        <v>1</v>
      </c>
      <c r="F79" s="9">
        <v>2000000</v>
      </c>
      <c r="I79" s="16">
        <v>59</v>
      </c>
      <c r="J79" s="7">
        <v>3610000000000</v>
      </c>
      <c r="M79" s="16">
        <v>79</v>
      </c>
      <c r="N79" s="7">
        <v>1960000000000</v>
      </c>
    </row>
    <row r="80" spans="1:14" ht="14.25" customHeight="1" x14ac:dyDescent="0.3">
      <c r="A80" s="16">
        <v>80</v>
      </c>
      <c r="B80" s="9">
        <v>908000</v>
      </c>
      <c r="E80" s="16">
        <v>1</v>
      </c>
      <c r="F80" s="9">
        <v>7000000</v>
      </c>
      <c r="I80" s="16">
        <v>60</v>
      </c>
      <c r="J80" s="7">
        <v>144000000000000</v>
      </c>
      <c r="M80" s="16">
        <v>80</v>
      </c>
      <c r="N80" s="7">
        <v>1210000000000</v>
      </c>
    </row>
    <row r="81" spans="1:14" ht="14.25" customHeight="1" x14ac:dyDescent="0.3">
      <c r="A81" s="16">
        <v>81</v>
      </c>
      <c r="B81" s="9">
        <v>1200000</v>
      </c>
      <c r="E81" s="16">
        <v>1</v>
      </c>
      <c r="F81" s="9">
        <v>1100000</v>
      </c>
      <c r="J81" s="7">
        <v>1000000000000</v>
      </c>
      <c r="M81" s="16">
        <v>81</v>
      </c>
      <c r="N81" s="7">
        <v>1440000000000</v>
      </c>
    </row>
    <row r="82" spans="1:14" ht="14.25" customHeight="1" x14ac:dyDescent="0.3">
      <c r="A82" s="16">
        <v>82</v>
      </c>
      <c r="B82" s="9">
        <v>1200000</v>
      </c>
      <c r="E82" s="16">
        <v>1</v>
      </c>
      <c r="F82" s="9">
        <v>4000000</v>
      </c>
      <c r="I82" s="16">
        <v>61</v>
      </c>
      <c r="J82" s="7">
        <v>7840000000000</v>
      </c>
      <c r="M82" s="16">
        <v>82</v>
      </c>
      <c r="N82" s="7">
        <v>1236544000000</v>
      </c>
    </row>
    <row r="83" spans="1:14" ht="14.25" customHeight="1" x14ac:dyDescent="0.3">
      <c r="A83" s="16">
        <v>83</v>
      </c>
      <c r="B83" s="9">
        <v>800000</v>
      </c>
      <c r="E83" s="16">
        <v>1</v>
      </c>
      <c r="F83" s="9">
        <v>3000000</v>
      </c>
      <c r="I83" s="16">
        <v>62</v>
      </c>
      <c r="J83" s="7">
        <v>144000000000000</v>
      </c>
      <c r="M83" s="16">
        <v>83</v>
      </c>
      <c r="N83" s="7">
        <v>1690000000000</v>
      </c>
    </row>
    <row r="84" spans="1:14" ht="14.25" customHeight="1" x14ac:dyDescent="0.3">
      <c r="A84" s="16">
        <v>84</v>
      </c>
      <c r="B84" s="9">
        <v>908000</v>
      </c>
      <c r="E84" s="16">
        <v>1</v>
      </c>
      <c r="F84" s="9">
        <v>2500000</v>
      </c>
      <c r="I84" s="16">
        <v>63</v>
      </c>
      <c r="J84" s="7">
        <v>9000000000000</v>
      </c>
      <c r="M84" s="16">
        <v>84</v>
      </c>
      <c r="N84" s="7">
        <v>25000000000000</v>
      </c>
    </row>
    <row r="85" spans="1:14" ht="14.25" customHeight="1" x14ac:dyDescent="0.3">
      <c r="A85" s="16">
        <v>85</v>
      </c>
      <c r="B85" s="9">
        <v>908000</v>
      </c>
      <c r="E85" s="16">
        <v>1</v>
      </c>
      <c r="F85" s="9">
        <v>908000</v>
      </c>
      <c r="J85" s="7">
        <v>144000000000000</v>
      </c>
      <c r="M85" s="16">
        <v>85</v>
      </c>
      <c r="N85" s="7">
        <v>64000000000000</v>
      </c>
    </row>
    <row r="86" spans="1:14" ht="14.25" customHeight="1" x14ac:dyDescent="0.3">
      <c r="A86" s="16">
        <v>86</v>
      </c>
      <c r="B86" s="9">
        <v>908000</v>
      </c>
      <c r="E86" s="16">
        <v>1</v>
      </c>
      <c r="F86" s="9">
        <v>1500000</v>
      </c>
      <c r="I86" s="16">
        <v>64</v>
      </c>
      <c r="J86" s="7">
        <v>1440000000000</v>
      </c>
      <c r="M86" s="16">
        <v>86</v>
      </c>
      <c r="N86" s="7">
        <v>1000000000000</v>
      </c>
    </row>
    <row r="87" spans="1:14" ht="14.25" customHeight="1" x14ac:dyDescent="0.3">
      <c r="A87" s="16">
        <v>87</v>
      </c>
      <c r="B87" s="9">
        <v>2000000</v>
      </c>
      <c r="E87" s="16">
        <v>1</v>
      </c>
      <c r="F87" s="9">
        <v>4500000</v>
      </c>
      <c r="I87" s="16">
        <v>65</v>
      </c>
      <c r="J87" s="7">
        <v>1690000000000</v>
      </c>
      <c r="M87" s="16">
        <v>87</v>
      </c>
      <c r="N87" s="7">
        <v>1000000000000</v>
      </c>
    </row>
    <row r="88" spans="1:14" ht="14.25" customHeight="1" x14ac:dyDescent="0.3">
      <c r="A88" s="16">
        <v>88</v>
      </c>
      <c r="B88" s="9">
        <v>908000</v>
      </c>
      <c r="E88" s="16">
        <v>1</v>
      </c>
      <c r="F88" s="9">
        <v>1300000</v>
      </c>
      <c r="I88" s="16">
        <v>66</v>
      </c>
      <c r="J88" s="7">
        <v>42250000000000</v>
      </c>
      <c r="M88" s="16">
        <v>88</v>
      </c>
      <c r="N88" s="7">
        <v>2250000000000</v>
      </c>
    </row>
    <row r="89" spans="1:14" ht="14.25" customHeight="1" x14ac:dyDescent="0.3">
      <c r="A89" s="16">
        <v>89</v>
      </c>
      <c r="B89" s="9">
        <v>1800000</v>
      </c>
      <c r="E89" s="16">
        <v>1</v>
      </c>
      <c r="F89" s="9">
        <v>4000000</v>
      </c>
      <c r="J89" s="7">
        <v>6250000000000</v>
      </c>
      <c r="M89" s="16">
        <v>89</v>
      </c>
      <c r="N89" s="7">
        <v>2560000000000</v>
      </c>
    </row>
    <row r="90" spans="1:14" ht="14.25" customHeight="1" x14ac:dyDescent="0.3">
      <c r="A90" s="16">
        <v>90</v>
      </c>
      <c r="B90" s="9">
        <v>2500000</v>
      </c>
      <c r="E90" s="16">
        <v>1</v>
      </c>
      <c r="F90" s="9">
        <v>1500000</v>
      </c>
      <c r="I90" s="16">
        <v>67</v>
      </c>
      <c r="J90" s="7">
        <v>4000000000000</v>
      </c>
      <c r="M90" s="16">
        <v>90</v>
      </c>
      <c r="N90" s="7">
        <v>2890000000000</v>
      </c>
    </row>
    <row r="91" spans="1:14" ht="14.25" customHeight="1" x14ac:dyDescent="0.3">
      <c r="A91" s="16">
        <v>91</v>
      </c>
      <c r="B91" s="9">
        <v>908000</v>
      </c>
      <c r="E91" s="16">
        <v>1</v>
      </c>
      <c r="F91" s="9">
        <v>908000</v>
      </c>
      <c r="I91" s="16">
        <v>68</v>
      </c>
      <c r="J91" s="7">
        <v>9610000000000</v>
      </c>
      <c r="M91" s="16">
        <v>91</v>
      </c>
      <c r="N91" s="7">
        <v>4000000000000</v>
      </c>
    </row>
    <row r="92" spans="1:14" ht="14.25" customHeight="1" x14ac:dyDescent="0.3">
      <c r="A92" s="16">
        <v>92</v>
      </c>
      <c r="B92" s="9">
        <v>908000</v>
      </c>
      <c r="E92" s="16">
        <v>1</v>
      </c>
      <c r="F92" s="9">
        <v>2000000</v>
      </c>
      <c r="I92" s="16">
        <v>69</v>
      </c>
      <c r="J92" s="7">
        <v>2250000000000</v>
      </c>
      <c r="M92" s="16">
        <v>92</v>
      </c>
      <c r="N92" s="7">
        <v>1960000000000</v>
      </c>
    </row>
    <row r="93" spans="1:14" ht="14.25" customHeight="1" x14ac:dyDescent="0.3">
      <c r="A93" s="16">
        <v>93</v>
      </c>
      <c r="B93" s="9">
        <v>1000000</v>
      </c>
      <c r="E93" s="16">
        <v>1</v>
      </c>
      <c r="F93" s="9">
        <v>3000000</v>
      </c>
      <c r="J93" s="7">
        <v>7290000000000</v>
      </c>
      <c r="M93" s="16">
        <v>93</v>
      </c>
      <c r="N93" s="7">
        <v>4840000000000</v>
      </c>
    </row>
    <row r="94" spans="1:14" ht="14.25" customHeight="1" x14ac:dyDescent="0.3">
      <c r="A94" s="16">
        <v>94</v>
      </c>
      <c r="B94" s="9">
        <v>1000000</v>
      </c>
      <c r="E94" s="16">
        <v>1</v>
      </c>
      <c r="F94" s="9">
        <v>1500000</v>
      </c>
      <c r="I94" s="16">
        <v>70</v>
      </c>
      <c r="J94" s="7">
        <v>6250000000000</v>
      </c>
      <c r="M94" s="16">
        <v>94</v>
      </c>
      <c r="N94" s="7">
        <v>1000000000000</v>
      </c>
    </row>
    <row r="95" spans="1:14" ht="14.25" customHeight="1" x14ac:dyDescent="0.3">
      <c r="A95" s="16">
        <v>95</v>
      </c>
      <c r="B95" s="9">
        <v>1200000</v>
      </c>
      <c r="E95" s="16">
        <v>1</v>
      </c>
      <c r="F95" s="9">
        <v>908000</v>
      </c>
      <c r="I95" s="16">
        <v>71</v>
      </c>
      <c r="J95" s="7">
        <v>2560000000000</v>
      </c>
      <c r="M95" s="16">
        <v>95</v>
      </c>
      <c r="N95" s="7">
        <v>1030184400400</v>
      </c>
    </row>
    <row r="96" spans="1:14" ht="14.25" customHeight="1" x14ac:dyDescent="0.3">
      <c r="A96" s="16">
        <v>96</v>
      </c>
      <c r="B96" s="9">
        <v>908000</v>
      </c>
      <c r="E96" s="16">
        <v>1</v>
      </c>
      <c r="F96" s="9">
        <v>4000000</v>
      </c>
      <c r="I96" s="16">
        <v>72</v>
      </c>
      <c r="J96" s="7">
        <v>12250000000000</v>
      </c>
      <c r="M96" s="16">
        <v>96</v>
      </c>
      <c r="N96" s="7">
        <v>1440000000000</v>
      </c>
    </row>
    <row r="97" spans="1:14" ht="14.25" customHeight="1" x14ac:dyDescent="0.3">
      <c r="A97" s="16">
        <v>97</v>
      </c>
      <c r="B97" s="9">
        <v>1000000</v>
      </c>
      <c r="E97" s="16">
        <v>1</v>
      </c>
      <c r="F97" s="9">
        <v>1900000</v>
      </c>
      <c r="J97" s="7">
        <v>9000000000000</v>
      </c>
      <c r="M97" s="16">
        <v>97</v>
      </c>
      <c r="N97" s="7">
        <v>1440000000000</v>
      </c>
    </row>
    <row r="98" spans="1:14" ht="14.25" customHeight="1" x14ac:dyDescent="0.3">
      <c r="A98" s="16">
        <v>98</v>
      </c>
      <c r="B98" s="9">
        <v>960000</v>
      </c>
      <c r="E98" s="16">
        <v>1</v>
      </c>
      <c r="F98" s="9">
        <v>2800000</v>
      </c>
      <c r="I98" s="16">
        <v>73</v>
      </c>
      <c r="J98" s="7">
        <v>1000000000000</v>
      </c>
      <c r="M98" s="16">
        <v>98</v>
      </c>
      <c r="N98" s="7">
        <v>1030184400400</v>
      </c>
    </row>
    <row r="99" spans="1:14" ht="14.25" customHeight="1" x14ac:dyDescent="0.3">
      <c r="A99" s="16">
        <v>99</v>
      </c>
      <c r="B99" s="9">
        <v>1800000</v>
      </c>
      <c r="E99" s="16">
        <v>1</v>
      </c>
      <c r="F99" s="9">
        <v>5000000</v>
      </c>
      <c r="I99" s="16">
        <v>74</v>
      </c>
      <c r="J99" s="7">
        <v>7290000000000</v>
      </c>
      <c r="M99" s="16">
        <v>99</v>
      </c>
      <c r="N99" s="7">
        <v>1440000000000</v>
      </c>
    </row>
    <row r="100" spans="1:14" ht="14.25" customHeight="1" x14ac:dyDescent="0.3">
      <c r="A100" s="16">
        <v>100</v>
      </c>
      <c r="B100" s="9">
        <v>1000000</v>
      </c>
      <c r="E100" s="16">
        <v>1</v>
      </c>
      <c r="F100" s="9">
        <v>1100000</v>
      </c>
      <c r="I100" s="16">
        <v>75</v>
      </c>
      <c r="J100" s="7">
        <v>4000000000000</v>
      </c>
      <c r="M100" s="16">
        <v>100</v>
      </c>
      <c r="N100" s="7">
        <v>1440000000000</v>
      </c>
    </row>
    <row r="101" spans="1:14" ht="14.25" customHeight="1" x14ac:dyDescent="0.3">
      <c r="A101" s="16">
        <v>101</v>
      </c>
      <c r="B101" s="9">
        <v>1200000</v>
      </c>
      <c r="E101" s="16">
        <v>1</v>
      </c>
      <c r="F101" s="9">
        <v>1600000</v>
      </c>
      <c r="J101" s="7">
        <v>16000000000000</v>
      </c>
      <c r="M101" s="16">
        <v>101</v>
      </c>
      <c r="N101" s="7">
        <v>2250000000000</v>
      </c>
    </row>
    <row r="102" spans="1:14" ht="14.25" customHeight="1" x14ac:dyDescent="0.3">
      <c r="A102" s="16">
        <v>102</v>
      </c>
      <c r="B102" s="9">
        <v>900000</v>
      </c>
      <c r="E102" s="16">
        <v>1</v>
      </c>
      <c r="F102" s="9">
        <v>4000000</v>
      </c>
      <c r="I102" s="16">
        <v>76</v>
      </c>
      <c r="J102" s="7">
        <v>3610000000000</v>
      </c>
      <c r="M102" s="16">
        <v>102</v>
      </c>
      <c r="N102" s="7">
        <v>1440000000000</v>
      </c>
    </row>
    <row r="103" spans="1:14" ht="14.25" customHeight="1" x14ac:dyDescent="0.3">
      <c r="A103" s="16">
        <v>103</v>
      </c>
      <c r="B103" s="9">
        <v>950000</v>
      </c>
      <c r="E103" s="16">
        <v>1</v>
      </c>
      <c r="F103" s="9">
        <v>4000000</v>
      </c>
      <c r="I103" s="16">
        <v>77</v>
      </c>
      <c r="J103" s="7">
        <v>3240000000000</v>
      </c>
      <c r="M103" s="16">
        <v>103</v>
      </c>
      <c r="N103" s="7">
        <v>6250000000000</v>
      </c>
    </row>
    <row r="104" spans="1:14" ht="14.25" customHeight="1" x14ac:dyDescent="0.3">
      <c r="A104" s="16">
        <v>104</v>
      </c>
      <c r="B104" s="9">
        <v>1000000</v>
      </c>
      <c r="E104" s="16">
        <v>1</v>
      </c>
      <c r="F104" s="9">
        <v>2000000</v>
      </c>
      <c r="I104" s="16">
        <v>78</v>
      </c>
      <c r="J104" s="7">
        <v>2250000000000</v>
      </c>
      <c r="M104" s="16">
        <v>104</v>
      </c>
      <c r="N104" s="7">
        <v>6250000000000</v>
      </c>
    </row>
    <row r="105" spans="1:14" ht="14.25" customHeight="1" x14ac:dyDescent="0.3">
      <c r="A105" s="16">
        <v>105</v>
      </c>
      <c r="B105" s="9">
        <v>1500000</v>
      </c>
      <c r="E105" s="16">
        <v>1</v>
      </c>
      <c r="F105" s="9">
        <v>2500000</v>
      </c>
      <c r="J105" s="7">
        <v>250000000000</v>
      </c>
      <c r="M105" s="16">
        <v>105</v>
      </c>
      <c r="N105" s="7">
        <v>2250000000000</v>
      </c>
    </row>
    <row r="106" spans="1:14" ht="14.25" customHeight="1" x14ac:dyDescent="0.3">
      <c r="A106" s="16">
        <v>106</v>
      </c>
      <c r="B106" s="9">
        <v>2500000</v>
      </c>
      <c r="E106" s="16">
        <v>1</v>
      </c>
      <c r="F106" s="9">
        <v>908000</v>
      </c>
      <c r="I106" s="16">
        <v>79</v>
      </c>
      <c r="J106" s="7">
        <v>1960000000000</v>
      </c>
      <c r="M106" s="16">
        <v>106</v>
      </c>
      <c r="N106" s="7">
        <v>1440000000000</v>
      </c>
    </row>
    <row r="107" spans="1:14" ht="14.25" customHeight="1" x14ac:dyDescent="0.3">
      <c r="A107" s="16">
        <v>107</v>
      </c>
      <c r="B107" s="9">
        <v>1100000</v>
      </c>
      <c r="E107" s="16">
        <v>1</v>
      </c>
      <c r="F107" s="9">
        <v>908000</v>
      </c>
      <c r="I107" s="16">
        <v>80</v>
      </c>
      <c r="J107" s="7">
        <v>49000000000000</v>
      </c>
      <c r="M107" s="16">
        <v>107</v>
      </c>
      <c r="N107" s="7">
        <v>1440000000000</v>
      </c>
    </row>
    <row r="108" spans="1:14" ht="14.25" customHeight="1" x14ac:dyDescent="0.3">
      <c r="A108" s="16">
        <v>108</v>
      </c>
      <c r="B108" s="9">
        <v>1000000</v>
      </c>
      <c r="E108" s="16">
        <v>1</v>
      </c>
      <c r="F108" s="9">
        <v>2000000</v>
      </c>
      <c r="I108" s="16">
        <v>81</v>
      </c>
      <c r="J108" s="7">
        <v>2131600000000</v>
      </c>
      <c r="M108" s="16">
        <v>108</v>
      </c>
      <c r="N108" s="7">
        <v>640000000000</v>
      </c>
    </row>
    <row r="109" spans="1:14" ht="14.25" customHeight="1" x14ac:dyDescent="0.3">
      <c r="A109" s="16">
        <v>109</v>
      </c>
      <c r="B109" s="9">
        <v>908000</v>
      </c>
      <c r="E109" s="16">
        <v>1</v>
      </c>
      <c r="F109" s="9">
        <v>10000000</v>
      </c>
      <c r="J109" s="7">
        <v>1440000000000</v>
      </c>
      <c r="M109" s="16">
        <v>109</v>
      </c>
      <c r="N109" s="7">
        <v>824464000000</v>
      </c>
    </row>
    <row r="110" spans="1:14" ht="14.25" customHeight="1" x14ac:dyDescent="0.3">
      <c r="A110" s="16">
        <v>110</v>
      </c>
      <c r="B110" s="9">
        <v>1000000</v>
      </c>
      <c r="E110" s="16">
        <v>1</v>
      </c>
      <c r="F110" s="9">
        <v>908000</v>
      </c>
      <c r="I110" s="16">
        <v>82</v>
      </c>
      <c r="J110" s="7">
        <v>12250000000000</v>
      </c>
      <c r="M110" s="16">
        <v>110</v>
      </c>
      <c r="N110" s="7">
        <v>824464000000</v>
      </c>
    </row>
    <row r="111" spans="1:14" ht="14.25" customHeight="1" x14ac:dyDescent="0.3">
      <c r="A111" s="16">
        <v>111</v>
      </c>
      <c r="B111" s="9">
        <v>1800000</v>
      </c>
      <c r="E111" s="16">
        <v>1</v>
      </c>
      <c r="F111" s="9">
        <v>3000000</v>
      </c>
      <c r="I111" s="16">
        <v>83</v>
      </c>
      <c r="J111" s="7">
        <v>1000000000000</v>
      </c>
      <c r="M111" s="16">
        <v>111</v>
      </c>
      <c r="N111" s="7">
        <v>824464000000</v>
      </c>
    </row>
    <row r="112" spans="1:14" ht="14.25" customHeight="1" x14ac:dyDescent="0.3">
      <c r="A112" s="16">
        <v>112</v>
      </c>
      <c r="B112" s="9">
        <v>2500000</v>
      </c>
      <c r="E112" s="16">
        <v>1</v>
      </c>
      <c r="F112" s="9">
        <v>2500000</v>
      </c>
      <c r="I112" s="16">
        <v>84</v>
      </c>
      <c r="J112" s="7">
        <v>1000000000000</v>
      </c>
      <c r="M112" s="16">
        <v>112</v>
      </c>
      <c r="N112" s="7">
        <v>4000000000000</v>
      </c>
    </row>
    <row r="113" spans="1:14" ht="14.25" customHeight="1" x14ac:dyDescent="0.3">
      <c r="A113" s="16">
        <v>113</v>
      </c>
      <c r="B113" s="9">
        <v>908000</v>
      </c>
      <c r="E113" s="16">
        <v>1</v>
      </c>
      <c r="F113" s="9">
        <v>1900000</v>
      </c>
      <c r="J113" s="7">
        <v>1210000000000</v>
      </c>
      <c r="M113" s="16">
        <v>113</v>
      </c>
      <c r="N113" s="7">
        <v>824464000000</v>
      </c>
    </row>
    <row r="114" spans="1:14" ht="14.25" customHeight="1" x14ac:dyDescent="0.3">
      <c r="A114" s="16">
        <v>114</v>
      </c>
      <c r="B114" s="9">
        <v>1500000</v>
      </c>
      <c r="E114" s="16">
        <v>1</v>
      </c>
      <c r="F114" s="9">
        <v>12000000</v>
      </c>
      <c r="I114" s="16">
        <v>85</v>
      </c>
      <c r="J114" s="7">
        <v>5290000000000</v>
      </c>
      <c r="M114" s="16">
        <v>114</v>
      </c>
      <c r="N114" s="7">
        <v>1000000000000</v>
      </c>
    </row>
    <row r="115" spans="1:14" ht="14.25" customHeight="1" x14ac:dyDescent="0.3">
      <c r="A115" s="16">
        <v>115</v>
      </c>
      <c r="B115" s="9">
        <v>1000000</v>
      </c>
      <c r="E115" s="16">
        <v>1</v>
      </c>
      <c r="F115" s="9">
        <v>2800000</v>
      </c>
      <c r="I115" s="16">
        <v>86</v>
      </c>
      <c r="J115" s="7">
        <v>1000000000000</v>
      </c>
      <c r="M115" s="16">
        <v>115</v>
      </c>
      <c r="N115" s="7">
        <v>4000000000000</v>
      </c>
    </row>
    <row r="116" spans="1:14" ht="14.25" customHeight="1" x14ac:dyDescent="0.3">
      <c r="A116" s="16">
        <v>116</v>
      </c>
      <c r="B116" s="9">
        <v>1200000</v>
      </c>
      <c r="E116" s="16">
        <v>1</v>
      </c>
      <c r="F116" s="9">
        <v>1650000</v>
      </c>
      <c r="I116" s="16">
        <v>87</v>
      </c>
      <c r="J116" s="7">
        <v>9000000000000</v>
      </c>
      <c r="M116" s="16">
        <v>116</v>
      </c>
      <c r="N116" s="7">
        <v>1210000000000</v>
      </c>
    </row>
    <row r="117" spans="1:14" ht="14.25" customHeight="1" x14ac:dyDescent="0.3">
      <c r="A117" s="16">
        <v>117</v>
      </c>
      <c r="B117" s="9">
        <v>1500000</v>
      </c>
      <c r="E117" s="16">
        <v>1</v>
      </c>
      <c r="F117" s="9">
        <v>3500000</v>
      </c>
      <c r="J117" s="7">
        <v>2250000000000</v>
      </c>
      <c r="M117" s="16">
        <v>117</v>
      </c>
      <c r="N117" s="7">
        <v>3240000000000</v>
      </c>
    </row>
    <row r="118" spans="1:14" ht="14.25" customHeight="1" x14ac:dyDescent="0.3">
      <c r="A118" s="16">
        <v>118</v>
      </c>
      <c r="B118" s="9">
        <v>1300000</v>
      </c>
      <c r="E118" s="16">
        <v>1</v>
      </c>
      <c r="F118" s="9">
        <v>12000000</v>
      </c>
      <c r="I118" s="16">
        <v>88</v>
      </c>
      <c r="J118" s="7">
        <v>2250000000000</v>
      </c>
      <c r="M118" s="16">
        <v>118</v>
      </c>
      <c r="N118" s="7">
        <v>6250000000000</v>
      </c>
    </row>
    <row r="119" spans="1:14" ht="14.25" customHeight="1" x14ac:dyDescent="0.3">
      <c r="A119" s="16">
        <v>119</v>
      </c>
      <c r="B119" s="9">
        <v>1015000</v>
      </c>
      <c r="E119" s="16">
        <v>1</v>
      </c>
      <c r="F119" s="9">
        <v>3000000</v>
      </c>
      <c r="I119" s="16">
        <v>89</v>
      </c>
      <c r="J119" s="7">
        <v>25000000000000</v>
      </c>
      <c r="M119" s="16">
        <v>119</v>
      </c>
      <c r="N119" s="7">
        <v>1281424000000</v>
      </c>
    </row>
    <row r="120" spans="1:14" ht="14.25" customHeight="1" x14ac:dyDescent="0.3">
      <c r="A120" s="16">
        <v>120</v>
      </c>
      <c r="B120" s="9">
        <v>1000000</v>
      </c>
      <c r="E120" s="16">
        <v>1</v>
      </c>
      <c r="F120" s="9">
        <v>12000000</v>
      </c>
      <c r="I120" s="16">
        <v>90</v>
      </c>
      <c r="J120" s="7">
        <v>2250000000000</v>
      </c>
      <c r="M120" s="16">
        <v>120</v>
      </c>
      <c r="N120" s="7">
        <v>824464000000</v>
      </c>
    </row>
    <row r="121" spans="1:14" ht="14.25" customHeight="1" x14ac:dyDescent="0.3">
      <c r="A121" s="16">
        <v>121</v>
      </c>
      <c r="B121" s="9">
        <v>908000</v>
      </c>
      <c r="E121" s="16">
        <v>1</v>
      </c>
      <c r="F121" s="9">
        <v>1300000</v>
      </c>
      <c r="J121" s="7">
        <v>9000000000000</v>
      </c>
      <c r="M121" s="16">
        <v>121</v>
      </c>
      <c r="N121" s="7">
        <v>1000000000000</v>
      </c>
    </row>
    <row r="122" spans="1:14" ht="14.25" customHeight="1" x14ac:dyDescent="0.3">
      <c r="A122" s="16">
        <v>122</v>
      </c>
      <c r="B122" s="9">
        <v>908000</v>
      </c>
      <c r="E122" s="16">
        <v>1</v>
      </c>
      <c r="F122" s="9">
        <v>6500000</v>
      </c>
      <c r="I122" s="16">
        <v>91</v>
      </c>
      <c r="J122" s="7">
        <v>4000000000000</v>
      </c>
      <c r="M122" s="16">
        <v>122</v>
      </c>
      <c r="N122" s="7">
        <v>1440000000000</v>
      </c>
    </row>
    <row r="123" spans="1:14" ht="14.25" customHeight="1" x14ac:dyDescent="0.3">
      <c r="A123" s="16">
        <v>123</v>
      </c>
      <c r="B123" s="9">
        <v>800000</v>
      </c>
      <c r="E123" s="16">
        <v>1</v>
      </c>
      <c r="F123" s="9">
        <v>2500000</v>
      </c>
      <c r="I123" s="16">
        <v>92</v>
      </c>
      <c r="J123" s="7">
        <v>100000000000000</v>
      </c>
      <c r="M123" s="16">
        <v>123</v>
      </c>
      <c r="N123" s="7">
        <v>824464000000</v>
      </c>
    </row>
    <row r="124" spans="1:14" ht="14.25" customHeight="1" x14ac:dyDescent="0.3">
      <c r="A124" s="16">
        <v>124</v>
      </c>
      <c r="B124" s="9">
        <v>3000000</v>
      </c>
      <c r="E124" s="16">
        <v>1</v>
      </c>
      <c r="F124" s="9">
        <v>1500000</v>
      </c>
      <c r="I124" s="16">
        <v>93</v>
      </c>
      <c r="J124" s="7">
        <v>2250000000000</v>
      </c>
      <c r="M124" s="16">
        <v>124</v>
      </c>
      <c r="N124" s="7">
        <v>1000000000000</v>
      </c>
    </row>
    <row r="125" spans="1:14" ht="14.25" customHeight="1" x14ac:dyDescent="0.3">
      <c r="A125" s="16">
        <v>125</v>
      </c>
      <c r="B125" s="9">
        <v>2500000</v>
      </c>
      <c r="E125" s="16">
        <v>1</v>
      </c>
      <c r="F125" s="9">
        <v>2500000</v>
      </c>
      <c r="J125" s="7">
        <v>2250000000000</v>
      </c>
      <c r="M125" s="16">
        <v>125</v>
      </c>
      <c r="N125" s="7">
        <v>2250000000000</v>
      </c>
    </row>
    <row r="126" spans="1:14" ht="14.25" customHeight="1" x14ac:dyDescent="0.3">
      <c r="A126" s="16">
        <v>126</v>
      </c>
      <c r="B126" s="9">
        <v>1000000</v>
      </c>
      <c r="E126" s="16">
        <v>1</v>
      </c>
      <c r="F126" s="9">
        <v>2000000</v>
      </c>
      <c r="I126" s="16">
        <v>94</v>
      </c>
      <c r="J126" s="7">
        <v>2250000000000</v>
      </c>
      <c r="M126" s="16">
        <v>126</v>
      </c>
      <c r="N126" s="7">
        <v>12250000000000</v>
      </c>
    </row>
    <row r="127" spans="1:14" ht="14.25" customHeight="1" x14ac:dyDescent="0.3">
      <c r="A127" s="16">
        <v>127</v>
      </c>
      <c r="B127" s="9">
        <v>2000000</v>
      </c>
      <c r="E127" s="16">
        <v>1</v>
      </c>
      <c r="F127" s="9">
        <v>5000000</v>
      </c>
      <c r="I127" s="16">
        <v>95</v>
      </c>
      <c r="J127" s="7">
        <v>6250000000000</v>
      </c>
      <c r="M127" s="16">
        <v>127</v>
      </c>
      <c r="N127" s="7">
        <v>921600000000</v>
      </c>
    </row>
    <row r="128" spans="1:14" ht="14.25" customHeight="1" x14ac:dyDescent="0.3">
      <c r="A128" s="16">
        <v>128</v>
      </c>
      <c r="B128" s="9">
        <v>2000000</v>
      </c>
      <c r="E128" s="16">
        <v>1</v>
      </c>
      <c r="F128" s="9">
        <v>1300000</v>
      </c>
      <c r="I128" s="16">
        <v>96</v>
      </c>
      <c r="J128" s="12">
        <v>9000000000000</v>
      </c>
      <c r="M128" s="16">
        <v>128</v>
      </c>
      <c r="N128" s="7">
        <v>3240000000000</v>
      </c>
    </row>
    <row r="129" spans="1:14" ht="14.25" customHeight="1" x14ac:dyDescent="0.3">
      <c r="A129" s="16">
        <v>129</v>
      </c>
      <c r="B129" s="9">
        <v>3000000</v>
      </c>
      <c r="E129" s="16">
        <v>1</v>
      </c>
      <c r="F129" s="9">
        <v>3100000</v>
      </c>
      <c r="J129" s="20">
        <f>SUM(J2:J128)</f>
        <v>1970395598002000</v>
      </c>
      <c r="M129" s="16">
        <v>129</v>
      </c>
      <c r="N129" s="7">
        <v>1000000000000</v>
      </c>
    </row>
    <row r="130" spans="1:14" ht="14.25" customHeight="1" x14ac:dyDescent="0.3">
      <c r="A130" s="16">
        <v>130</v>
      </c>
      <c r="B130" s="9">
        <v>2000000</v>
      </c>
      <c r="E130" s="16">
        <v>1</v>
      </c>
      <c r="F130" s="9">
        <v>1500000</v>
      </c>
      <c r="M130" s="16">
        <v>130</v>
      </c>
      <c r="N130" s="7">
        <v>1440000000000</v>
      </c>
    </row>
    <row r="131" spans="1:14" ht="14.25" customHeight="1" x14ac:dyDescent="0.3">
      <c r="A131" s="16">
        <v>131</v>
      </c>
      <c r="B131" s="9">
        <v>6000000</v>
      </c>
      <c r="E131" s="16">
        <v>1</v>
      </c>
      <c r="F131" s="9">
        <v>2500000</v>
      </c>
      <c r="M131" s="16">
        <v>131</v>
      </c>
      <c r="N131" s="7">
        <v>810000000000</v>
      </c>
    </row>
    <row r="132" spans="1:14" ht="14.25" customHeight="1" x14ac:dyDescent="0.3">
      <c r="A132" s="16">
        <v>132</v>
      </c>
      <c r="B132" s="9">
        <v>1000000</v>
      </c>
      <c r="E132" s="16">
        <v>1</v>
      </c>
      <c r="F132" s="9">
        <v>3200000</v>
      </c>
      <c r="M132" s="16">
        <v>132</v>
      </c>
      <c r="N132" s="7">
        <v>810000000000</v>
      </c>
    </row>
    <row r="133" spans="1:14" ht="14.25" customHeight="1" x14ac:dyDescent="0.3">
      <c r="A133" s="16">
        <v>133</v>
      </c>
      <c r="B133" s="9">
        <v>2500000</v>
      </c>
      <c r="E133" s="16">
        <v>1</v>
      </c>
      <c r="F133" s="9">
        <v>1600000</v>
      </c>
      <c r="M133" s="16">
        <v>133</v>
      </c>
      <c r="N133" s="7">
        <v>902500000000</v>
      </c>
    </row>
    <row r="134" spans="1:14" ht="14.25" customHeight="1" x14ac:dyDescent="0.3">
      <c r="A134" s="16">
        <v>134</v>
      </c>
      <c r="B134" s="9">
        <v>2000000</v>
      </c>
      <c r="E134" s="16">
        <v>1</v>
      </c>
      <c r="F134" s="9">
        <v>2000000</v>
      </c>
      <c r="M134" s="16">
        <v>134</v>
      </c>
      <c r="N134" s="7">
        <v>1210000000000</v>
      </c>
    </row>
    <row r="135" spans="1:14" ht="14.25" customHeight="1" x14ac:dyDescent="0.3">
      <c r="A135" s="16">
        <v>135</v>
      </c>
      <c r="B135" s="9">
        <v>2000000</v>
      </c>
      <c r="E135" s="16">
        <v>1</v>
      </c>
      <c r="F135" s="9">
        <v>2800000</v>
      </c>
      <c r="M135" s="16">
        <v>135</v>
      </c>
      <c r="N135" s="7">
        <v>640000000000</v>
      </c>
    </row>
    <row r="136" spans="1:14" ht="14.25" customHeight="1" x14ac:dyDescent="0.3">
      <c r="A136" s="16">
        <v>136</v>
      </c>
      <c r="B136" s="9">
        <v>1200000</v>
      </c>
      <c r="E136" s="16">
        <v>1</v>
      </c>
      <c r="F136" s="9">
        <v>3500000</v>
      </c>
      <c r="M136" s="16">
        <v>136</v>
      </c>
      <c r="N136" s="7">
        <v>2250000000000</v>
      </c>
    </row>
    <row r="137" spans="1:14" ht="14.25" customHeight="1" x14ac:dyDescent="0.3">
      <c r="A137" s="16">
        <v>137</v>
      </c>
      <c r="B137" s="9">
        <v>400000</v>
      </c>
      <c r="E137" s="16">
        <v>1</v>
      </c>
      <c r="F137" s="9">
        <v>1500000</v>
      </c>
      <c r="M137" s="16">
        <v>137</v>
      </c>
      <c r="N137" s="7">
        <v>1000000000000</v>
      </c>
    </row>
    <row r="138" spans="1:14" ht="14.25" customHeight="1" x14ac:dyDescent="0.3">
      <c r="A138" s="16">
        <v>138</v>
      </c>
      <c r="B138" s="9">
        <v>908000</v>
      </c>
      <c r="E138" s="16">
        <v>1</v>
      </c>
      <c r="F138" s="9">
        <v>1000000</v>
      </c>
      <c r="M138" s="16">
        <v>138</v>
      </c>
      <c r="N138" s="7">
        <v>824464000000</v>
      </c>
    </row>
    <row r="139" spans="1:14" ht="14.25" customHeight="1" x14ac:dyDescent="0.3">
      <c r="A139" s="16">
        <v>139</v>
      </c>
      <c r="B139" s="9">
        <v>908000</v>
      </c>
      <c r="E139" s="16">
        <v>1</v>
      </c>
      <c r="F139" s="9">
        <v>3000000</v>
      </c>
      <c r="M139" s="16">
        <v>139</v>
      </c>
      <c r="N139" s="7">
        <v>824464000000</v>
      </c>
    </row>
    <row r="140" spans="1:14" ht="14.25" customHeight="1" x14ac:dyDescent="0.3">
      <c r="A140" s="16">
        <v>140</v>
      </c>
      <c r="B140" s="9">
        <v>908000</v>
      </c>
      <c r="E140" s="16">
        <v>1</v>
      </c>
      <c r="F140" s="9">
        <v>1000000</v>
      </c>
      <c r="M140" s="16">
        <v>140</v>
      </c>
      <c r="N140" s="7">
        <v>3240000000000</v>
      </c>
    </row>
    <row r="141" spans="1:14" ht="14.25" customHeight="1" x14ac:dyDescent="0.3">
      <c r="A141" s="16">
        <v>141</v>
      </c>
      <c r="B141" s="9">
        <v>1500000</v>
      </c>
      <c r="E141" s="16">
        <v>1</v>
      </c>
      <c r="F141" s="9">
        <v>5300000</v>
      </c>
      <c r="M141" s="16">
        <v>141</v>
      </c>
      <c r="N141" s="7">
        <v>6250000000000</v>
      </c>
    </row>
    <row r="142" spans="1:14" ht="14.25" customHeight="1" x14ac:dyDescent="0.3">
      <c r="A142" s="16">
        <v>142</v>
      </c>
      <c r="B142" s="9">
        <v>908000</v>
      </c>
      <c r="E142" s="16">
        <v>1</v>
      </c>
      <c r="F142" s="9">
        <v>2700000</v>
      </c>
      <c r="M142" s="16">
        <v>142</v>
      </c>
      <c r="N142" s="7">
        <v>2250000000000</v>
      </c>
    </row>
    <row r="143" spans="1:14" ht="14.25" customHeight="1" x14ac:dyDescent="0.3">
      <c r="A143" s="16">
        <v>143</v>
      </c>
      <c r="B143" s="9">
        <v>650000</v>
      </c>
      <c r="E143" s="16">
        <v>1</v>
      </c>
      <c r="F143" s="9">
        <v>2000000</v>
      </c>
      <c r="M143" s="16">
        <v>143</v>
      </c>
      <c r="N143" s="7">
        <v>1000000000000</v>
      </c>
    </row>
    <row r="144" spans="1:14" ht="14.25" customHeight="1" x14ac:dyDescent="0.3">
      <c r="A144" s="16">
        <v>144</v>
      </c>
      <c r="B144" s="9">
        <v>908000</v>
      </c>
      <c r="E144" s="16">
        <v>1</v>
      </c>
      <c r="F144" s="9">
        <v>1800000</v>
      </c>
      <c r="M144" s="16">
        <v>144</v>
      </c>
      <c r="N144" s="7">
        <v>1440000000000</v>
      </c>
    </row>
    <row r="145" spans="1:14" ht="14.25" customHeight="1" x14ac:dyDescent="0.3">
      <c r="A145" s="16">
        <v>145</v>
      </c>
      <c r="B145" s="9">
        <v>450000</v>
      </c>
      <c r="E145" s="16">
        <v>1</v>
      </c>
      <c r="F145" s="9">
        <v>1500000</v>
      </c>
      <c r="M145" s="16">
        <v>145</v>
      </c>
      <c r="N145" s="7">
        <v>2250000000000</v>
      </c>
    </row>
    <row r="146" spans="1:14" ht="14.25" customHeight="1" x14ac:dyDescent="0.3">
      <c r="A146" s="16">
        <v>146</v>
      </c>
      <c r="B146" s="9">
        <v>1100000</v>
      </c>
      <c r="E146" s="16">
        <v>1</v>
      </c>
      <c r="F146" s="9">
        <v>4000000</v>
      </c>
      <c r="M146" s="16">
        <v>146</v>
      </c>
      <c r="N146" s="7">
        <v>49000000000000</v>
      </c>
    </row>
    <row r="147" spans="1:14" ht="14.25" customHeight="1" x14ac:dyDescent="0.3">
      <c r="A147" s="16">
        <v>147</v>
      </c>
      <c r="B147" s="9">
        <v>720000</v>
      </c>
      <c r="E147" s="16">
        <v>1</v>
      </c>
      <c r="F147" s="9">
        <v>1780000</v>
      </c>
      <c r="M147" s="16">
        <v>147</v>
      </c>
      <c r="N147" s="7">
        <v>1690000000000</v>
      </c>
    </row>
    <row r="148" spans="1:14" ht="14.25" customHeight="1" x14ac:dyDescent="0.3">
      <c r="A148" s="16">
        <v>148</v>
      </c>
      <c r="B148" s="9">
        <v>1200000</v>
      </c>
      <c r="E148" s="16">
        <v>1</v>
      </c>
      <c r="F148" s="9">
        <v>7000000</v>
      </c>
      <c r="M148" s="16">
        <v>148</v>
      </c>
      <c r="N148" s="7">
        <v>1210000000000</v>
      </c>
    </row>
    <row r="149" spans="1:14" ht="14.25" customHeight="1" x14ac:dyDescent="0.3">
      <c r="A149" s="16">
        <v>149</v>
      </c>
      <c r="B149" s="9">
        <v>908000</v>
      </c>
      <c r="E149" s="16">
        <v>1</v>
      </c>
      <c r="F149" s="9">
        <v>1200000</v>
      </c>
      <c r="M149" s="16">
        <v>149</v>
      </c>
      <c r="N149" s="7">
        <v>1030225000000</v>
      </c>
    </row>
    <row r="150" spans="1:14" ht="14.25" customHeight="1" x14ac:dyDescent="0.3">
      <c r="A150" s="16">
        <v>150</v>
      </c>
      <c r="B150" s="9">
        <v>908000</v>
      </c>
      <c r="E150" s="16">
        <v>1</v>
      </c>
      <c r="F150" s="9">
        <v>1460000</v>
      </c>
      <c r="M150" s="16">
        <v>150</v>
      </c>
      <c r="N150" s="7">
        <v>1000000000000</v>
      </c>
    </row>
    <row r="151" spans="1:14" ht="14.25" customHeight="1" x14ac:dyDescent="0.3">
      <c r="A151" s="16">
        <v>151</v>
      </c>
      <c r="B151" s="9">
        <v>908000</v>
      </c>
      <c r="E151" s="16">
        <v>1</v>
      </c>
      <c r="F151" s="9">
        <v>1200000</v>
      </c>
      <c r="M151" s="16">
        <v>151</v>
      </c>
      <c r="N151" s="7">
        <v>824464000000</v>
      </c>
    </row>
    <row r="152" spans="1:14" ht="14.25" customHeight="1" x14ac:dyDescent="0.3">
      <c r="A152" s="16">
        <v>152</v>
      </c>
      <c r="B152" s="9">
        <v>1000000</v>
      </c>
      <c r="E152" s="16">
        <v>1</v>
      </c>
      <c r="F152" s="9">
        <v>1100000</v>
      </c>
      <c r="M152" s="16">
        <v>152</v>
      </c>
      <c r="N152" s="7">
        <v>640000000000</v>
      </c>
    </row>
    <row r="153" spans="1:14" ht="14.25" customHeight="1" x14ac:dyDescent="0.3">
      <c r="A153" s="16">
        <v>153</v>
      </c>
      <c r="B153" s="9">
        <v>1000000</v>
      </c>
      <c r="E153" s="16">
        <v>1</v>
      </c>
      <c r="F153" s="9">
        <v>1100000</v>
      </c>
      <c r="M153" s="16">
        <v>153</v>
      </c>
      <c r="N153" s="7">
        <v>6250000000000</v>
      </c>
    </row>
    <row r="154" spans="1:14" ht="14.25" customHeight="1" x14ac:dyDescent="0.3">
      <c r="A154" s="16">
        <v>154</v>
      </c>
      <c r="B154" s="9">
        <v>908000</v>
      </c>
      <c r="E154" s="16">
        <v>1</v>
      </c>
      <c r="F154" s="9">
        <v>2300000</v>
      </c>
      <c r="M154" s="16">
        <v>154</v>
      </c>
      <c r="N154" s="7">
        <v>6250000000000</v>
      </c>
    </row>
    <row r="155" spans="1:14" ht="14.25" customHeight="1" x14ac:dyDescent="0.3">
      <c r="A155" s="16">
        <v>155</v>
      </c>
      <c r="B155" s="9">
        <v>2000000</v>
      </c>
      <c r="E155" s="16">
        <v>1</v>
      </c>
      <c r="F155" s="9">
        <v>6000000</v>
      </c>
      <c r="M155" s="16">
        <v>155</v>
      </c>
      <c r="N155" s="7">
        <v>1000000000000</v>
      </c>
    </row>
    <row r="156" spans="1:14" ht="14.25" customHeight="1" x14ac:dyDescent="0.3">
      <c r="A156" s="16">
        <v>156</v>
      </c>
      <c r="B156" s="9">
        <v>1600000</v>
      </c>
      <c r="E156" s="16">
        <v>1</v>
      </c>
      <c r="F156" s="9">
        <v>2500000</v>
      </c>
      <c r="M156" s="16">
        <v>156</v>
      </c>
      <c r="N156" s="7">
        <v>4000000000000</v>
      </c>
    </row>
    <row r="157" spans="1:14" ht="14.25" customHeight="1" x14ac:dyDescent="0.3">
      <c r="A157" s="16">
        <v>157</v>
      </c>
      <c r="B157" s="9">
        <v>1800000</v>
      </c>
      <c r="E157" s="16">
        <v>1</v>
      </c>
      <c r="F157" s="9">
        <v>1500000</v>
      </c>
      <c r="M157" s="16">
        <v>157</v>
      </c>
      <c r="N157" s="7">
        <v>824464000000</v>
      </c>
    </row>
    <row r="158" spans="1:14" ht="14.25" customHeight="1" x14ac:dyDescent="0.3">
      <c r="A158" s="16">
        <v>158</v>
      </c>
      <c r="B158" s="9">
        <v>1000000</v>
      </c>
      <c r="E158" s="16">
        <v>1</v>
      </c>
      <c r="F158" s="9">
        <v>5000000</v>
      </c>
      <c r="M158" s="16">
        <v>158</v>
      </c>
      <c r="N158" s="7">
        <v>20250000000000</v>
      </c>
    </row>
    <row r="159" spans="1:14" ht="14.25" customHeight="1" x14ac:dyDescent="0.3">
      <c r="A159" s="16">
        <v>159</v>
      </c>
      <c r="B159" s="9">
        <v>1500000</v>
      </c>
      <c r="E159" s="16">
        <v>1</v>
      </c>
      <c r="F159" s="9">
        <v>1200000</v>
      </c>
      <c r="M159" s="16">
        <v>159</v>
      </c>
      <c r="N159" s="7">
        <v>1000000000000</v>
      </c>
    </row>
    <row r="160" spans="1:14" ht="14.25" customHeight="1" x14ac:dyDescent="0.3">
      <c r="A160" s="16">
        <v>160</v>
      </c>
      <c r="B160" s="9">
        <v>1400000</v>
      </c>
      <c r="E160" s="16">
        <v>1</v>
      </c>
      <c r="F160" s="9">
        <v>1200000</v>
      </c>
      <c r="M160" s="16">
        <v>160</v>
      </c>
      <c r="N160" s="7">
        <v>4000000000000</v>
      </c>
    </row>
    <row r="161" spans="1:14" ht="14.25" customHeight="1" x14ac:dyDescent="0.3">
      <c r="A161" s="16">
        <v>161</v>
      </c>
      <c r="B161" s="9">
        <v>3500000</v>
      </c>
      <c r="E161" s="16">
        <v>1</v>
      </c>
      <c r="F161" s="9">
        <v>1200000</v>
      </c>
      <c r="M161" s="16">
        <v>161</v>
      </c>
      <c r="N161" s="7">
        <v>1690000000000</v>
      </c>
    </row>
    <row r="162" spans="1:14" ht="14.25" customHeight="1" x14ac:dyDescent="0.3">
      <c r="A162" s="16">
        <v>162</v>
      </c>
      <c r="B162" s="9">
        <v>1200000</v>
      </c>
      <c r="E162" s="16">
        <v>1</v>
      </c>
      <c r="F162" s="9">
        <v>4500000</v>
      </c>
      <c r="M162" s="16">
        <v>162</v>
      </c>
      <c r="N162" s="7">
        <v>2250000000000</v>
      </c>
    </row>
    <row r="163" spans="1:14" ht="14.25" customHeight="1" x14ac:dyDescent="0.3">
      <c r="A163" s="16">
        <v>163</v>
      </c>
      <c r="B163" s="9">
        <v>1000000</v>
      </c>
      <c r="E163" s="16">
        <v>1</v>
      </c>
      <c r="F163" s="9">
        <v>5000000</v>
      </c>
      <c r="M163" s="16">
        <v>163</v>
      </c>
      <c r="N163" s="7">
        <v>160000000000</v>
      </c>
    </row>
    <row r="164" spans="1:14" ht="14.25" customHeight="1" x14ac:dyDescent="0.3">
      <c r="A164" s="16">
        <v>164</v>
      </c>
      <c r="B164" s="9">
        <v>1000000</v>
      </c>
      <c r="E164" s="16">
        <v>1</v>
      </c>
      <c r="F164" s="9">
        <v>1400000</v>
      </c>
      <c r="M164" s="16">
        <v>164</v>
      </c>
      <c r="N164" s="7">
        <v>824464000000</v>
      </c>
    </row>
    <row r="165" spans="1:14" ht="14.25" customHeight="1" x14ac:dyDescent="0.3">
      <c r="A165" s="16">
        <v>165</v>
      </c>
      <c r="B165" s="9">
        <v>1000000</v>
      </c>
      <c r="E165" s="16">
        <v>1</v>
      </c>
      <c r="F165" s="9">
        <v>10000000</v>
      </c>
      <c r="M165" s="16">
        <v>165</v>
      </c>
      <c r="N165" s="7">
        <v>824464000000</v>
      </c>
    </row>
    <row r="166" spans="1:14" ht="14.25" customHeight="1" x14ac:dyDescent="0.3">
      <c r="A166" s="16">
        <v>166</v>
      </c>
      <c r="B166" s="9">
        <v>1000000</v>
      </c>
      <c r="E166" s="16">
        <v>1</v>
      </c>
      <c r="F166" s="9">
        <v>1000000</v>
      </c>
      <c r="M166" s="16">
        <v>166</v>
      </c>
      <c r="N166" s="7">
        <v>824464000000</v>
      </c>
    </row>
    <row r="167" spans="1:14" ht="14.25" customHeight="1" x14ac:dyDescent="0.3">
      <c r="A167" s="16">
        <v>167</v>
      </c>
      <c r="B167" s="9">
        <v>1000000</v>
      </c>
      <c r="E167" s="16">
        <v>1</v>
      </c>
      <c r="F167" s="9">
        <v>3000000</v>
      </c>
      <c r="M167" s="16">
        <v>167</v>
      </c>
      <c r="N167" s="7">
        <v>4000000000000</v>
      </c>
    </row>
    <row r="168" spans="1:14" ht="14.25" customHeight="1" x14ac:dyDescent="0.3">
      <c r="A168" s="16">
        <v>168</v>
      </c>
      <c r="B168" s="9">
        <v>1000000</v>
      </c>
      <c r="E168" s="16">
        <v>1</v>
      </c>
      <c r="F168" s="9">
        <v>1000000</v>
      </c>
      <c r="M168" s="16">
        <v>168</v>
      </c>
      <c r="N168" s="7">
        <v>2250000000000</v>
      </c>
    </row>
    <row r="169" spans="1:14" ht="14.25" customHeight="1" x14ac:dyDescent="0.3">
      <c r="A169" s="16">
        <v>169</v>
      </c>
      <c r="B169" s="9">
        <v>1000000</v>
      </c>
      <c r="E169" s="16">
        <v>1</v>
      </c>
      <c r="F169" s="9">
        <v>800000</v>
      </c>
      <c r="M169" s="16">
        <v>169</v>
      </c>
      <c r="N169" s="7">
        <v>9000000000000</v>
      </c>
    </row>
    <row r="170" spans="1:14" ht="14.25" customHeight="1" x14ac:dyDescent="0.3">
      <c r="A170" s="16">
        <v>170</v>
      </c>
      <c r="B170" s="9">
        <v>1000000</v>
      </c>
      <c r="E170" s="21">
        <f t="shared" ref="E170:F170" si="0">SUM(E2:E169)</f>
        <v>168</v>
      </c>
      <c r="F170" s="22">
        <f t="shared" si="0"/>
        <v>476188980</v>
      </c>
      <c r="M170" s="16">
        <v>170</v>
      </c>
      <c r="N170" s="7">
        <v>2250000000000</v>
      </c>
    </row>
    <row r="171" spans="1:14" ht="14.25" customHeight="1" x14ac:dyDescent="0.3">
      <c r="A171" s="16">
        <v>171</v>
      </c>
      <c r="B171" s="9">
        <v>1200000</v>
      </c>
      <c r="M171" s="16">
        <v>171</v>
      </c>
      <c r="N171" s="7">
        <v>824464000000</v>
      </c>
    </row>
    <row r="172" spans="1:14" ht="14.25" customHeight="1" x14ac:dyDescent="0.3">
      <c r="A172" s="16">
        <v>172</v>
      </c>
      <c r="B172" s="9">
        <v>1200000</v>
      </c>
      <c r="M172" s="16">
        <v>172</v>
      </c>
      <c r="N172" s="7">
        <v>824464000000</v>
      </c>
    </row>
    <row r="173" spans="1:14" ht="14.25" customHeight="1" x14ac:dyDescent="0.3">
      <c r="A173" s="16">
        <v>173</v>
      </c>
      <c r="B173" s="9">
        <v>1000000</v>
      </c>
      <c r="F173" s="23">
        <f>F170/E170</f>
        <v>2834458.2142857141</v>
      </c>
      <c r="M173" s="16">
        <v>173</v>
      </c>
      <c r="N173" s="7">
        <v>422500000000</v>
      </c>
    </row>
    <row r="174" spans="1:14" ht="14.25" customHeight="1" x14ac:dyDescent="0.3">
      <c r="A174" s="16">
        <v>174</v>
      </c>
      <c r="B174" s="9">
        <v>1700000</v>
      </c>
      <c r="M174" s="16">
        <v>174</v>
      </c>
      <c r="N174" s="7">
        <v>824464000000</v>
      </c>
    </row>
    <row r="175" spans="1:14" ht="14.25" customHeight="1" x14ac:dyDescent="0.3">
      <c r="A175" s="16">
        <v>175</v>
      </c>
      <c r="B175" s="9">
        <v>947000</v>
      </c>
      <c r="M175" s="16">
        <v>175</v>
      </c>
      <c r="N175" s="7">
        <v>202500000000</v>
      </c>
    </row>
    <row r="176" spans="1:14" ht="14.25" customHeight="1" x14ac:dyDescent="0.3">
      <c r="A176" s="16">
        <v>176</v>
      </c>
      <c r="B176" s="9">
        <v>900000</v>
      </c>
      <c r="M176" s="16">
        <v>176</v>
      </c>
      <c r="N176" s="7">
        <v>1210000000000</v>
      </c>
    </row>
    <row r="177" spans="1:14" ht="14.25" customHeight="1" x14ac:dyDescent="0.3">
      <c r="A177" s="16">
        <v>177</v>
      </c>
      <c r="B177" s="9">
        <v>2100000</v>
      </c>
      <c r="M177" s="16">
        <v>177</v>
      </c>
      <c r="N177" s="7">
        <v>518400000000</v>
      </c>
    </row>
    <row r="178" spans="1:14" ht="14.25" customHeight="1" x14ac:dyDescent="0.3">
      <c r="A178" s="16">
        <v>178</v>
      </c>
      <c r="B178" s="9">
        <v>1000000</v>
      </c>
      <c r="M178" s="16">
        <v>178</v>
      </c>
      <c r="N178" s="7">
        <v>7840000000000</v>
      </c>
    </row>
    <row r="179" spans="1:14" ht="14.25" customHeight="1" x14ac:dyDescent="0.3">
      <c r="A179" s="16">
        <v>179</v>
      </c>
      <c r="B179" s="9">
        <v>1300000</v>
      </c>
      <c r="M179" s="16">
        <v>179</v>
      </c>
      <c r="N179" s="7">
        <v>2560000000000</v>
      </c>
    </row>
    <row r="180" spans="1:14" ht="14.25" customHeight="1" x14ac:dyDescent="0.3">
      <c r="A180" s="16">
        <v>180</v>
      </c>
      <c r="B180" s="9">
        <v>2000000</v>
      </c>
      <c r="M180" s="16">
        <v>180</v>
      </c>
      <c r="N180" s="7">
        <v>16000000000000</v>
      </c>
    </row>
    <row r="181" spans="1:14" ht="14.25" customHeight="1" x14ac:dyDescent="0.3">
      <c r="A181" s="16">
        <v>181</v>
      </c>
      <c r="B181" s="9">
        <v>989789</v>
      </c>
      <c r="M181" s="16">
        <v>181</v>
      </c>
      <c r="N181" s="7">
        <v>1440000000000</v>
      </c>
    </row>
    <row r="182" spans="1:14" ht="14.25" customHeight="1" x14ac:dyDescent="0.3">
      <c r="A182" s="16">
        <v>182</v>
      </c>
      <c r="B182" s="9">
        <v>3000000</v>
      </c>
      <c r="M182" s="16">
        <v>182</v>
      </c>
      <c r="N182" s="7">
        <v>16000000000000</v>
      </c>
    </row>
    <row r="183" spans="1:14" ht="14.25" customHeight="1" x14ac:dyDescent="0.3">
      <c r="A183" s="16">
        <v>183</v>
      </c>
      <c r="B183" s="9">
        <v>2700000</v>
      </c>
      <c r="M183" s="16">
        <v>183</v>
      </c>
      <c r="N183" s="7">
        <v>824464000000</v>
      </c>
    </row>
    <row r="184" spans="1:14" ht="14.25" customHeight="1" x14ac:dyDescent="0.3">
      <c r="A184" s="16">
        <v>184</v>
      </c>
      <c r="B184" s="9">
        <v>5000000</v>
      </c>
      <c r="M184" s="16">
        <v>184</v>
      </c>
      <c r="N184" s="7">
        <v>824464000000</v>
      </c>
    </row>
    <row r="185" spans="1:14" ht="14.25" customHeight="1" x14ac:dyDescent="0.3">
      <c r="A185" s="16">
        <v>185</v>
      </c>
      <c r="B185" s="9">
        <v>1300000</v>
      </c>
      <c r="M185" s="16">
        <v>185</v>
      </c>
      <c r="N185" s="7">
        <v>824464000000</v>
      </c>
    </row>
    <row r="186" spans="1:14" ht="14.25" customHeight="1" x14ac:dyDescent="0.3">
      <c r="A186" s="16">
        <v>186</v>
      </c>
      <c r="B186" s="9">
        <v>2000000</v>
      </c>
      <c r="M186" s="16">
        <v>186</v>
      </c>
      <c r="N186" s="7">
        <v>4000000000000</v>
      </c>
    </row>
    <row r="187" spans="1:14" ht="14.25" customHeight="1" x14ac:dyDescent="0.3">
      <c r="A187" s="16">
        <v>187</v>
      </c>
      <c r="B187" s="9">
        <v>1500000</v>
      </c>
      <c r="M187" s="16">
        <v>187</v>
      </c>
      <c r="N187" s="7">
        <v>1000000000000</v>
      </c>
    </row>
    <row r="188" spans="1:14" ht="14.25" customHeight="1" x14ac:dyDescent="0.3">
      <c r="A188" s="16">
        <v>188</v>
      </c>
      <c r="B188" s="9">
        <v>3000000</v>
      </c>
      <c r="M188" s="16">
        <v>188</v>
      </c>
      <c r="N188" s="7">
        <v>1000000000000</v>
      </c>
    </row>
    <row r="189" spans="1:14" ht="14.25" customHeight="1" x14ac:dyDescent="0.3">
      <c r="A189" s="16">
        <v>189</v>
      </c>
      <c r="B189" s="9">
        <v>4000000</v>
      </c>
      <c r="M189" s="16">
        <v>189</v>
      </c>
      <c r="N189" s="7">
        <v>824464000000</v>
      </c>
    </row>
    <row r="190" spans="1:14" ht="14.25" customHeight="1" x14ac:dyDescent="0.3">
      <c r="A190" s="16">
        <v>190</v>
      </c>
      <c r="B190" s="9">
        <v>1900000</v>
      </c>
      <c r="M190" s="16">
        <v>190</v>
      </c>
      <c r="N190" s="7">
        <v>824464000000</v>
      </c>
    </row>
    <row r="191" spans="1:14" ht="14.25" customHeight="1" x14ac:dyDescent="0.3">
      <c r="A191" s="16">
        <v>191</v>
      </c>
      <c r="B191" s="9">
        <v>1800000</v>
      </c>
      <c r="M191" s="16">
        <v>191</v>
      </c>
      <c r="N191" s="7">
        <v>2560000000000</v>
      </c>
    </row>
    <row r="192" spans="1:14" ht="14.25" customHeight="1" x14ac:dyDescent="0.3">
      <c r="A192" s="16">
        <v>192</v>
      </c>
      <c r="B192" s="9">
        <v>1000000</v>
      </c>
      <c r="M192" s="16">
        <v>192</v>
      </c>
      <c r="N192" s="7">
        <v>3240000000000</v>
      </c>
    </row>
    <row r="193" spans="1:14" ht="14.25" customHeight="1" x14ac:dyDescent="0.3">
      <c r="A193" s="16">
        <v>193</v>
      </c>
      <c r="B193" s="9">
        <v>984000</v>
      </c>
      <c r="M193" s="16">
        <v>193</v>
      </c>
      <c r="N193" s="7">
        <v>1000000000000</v>
      </c>
    </row>
    <row r="194" spans="1:14" ht="14.25" customHeight="1" x14ac:dyDescent="0.3">
      <c r="A194" s="16">
        <v>194</v>
      </c>
      <c r="B194" s="9">
        <v>1200000</v>
      </c>
      <c r="M194" s="16">
        <v>194</v>
      </c>
      <c r="N194" s="7">
        <v>9000000000000</v>
      </c>
    </row>
    <row r="195" spans="1:14" ht="14.25" customHeight="1" x14ac:dyDescent="0.3">
      <c r="A195" s="16">
        <v>195</v>
      </c>
      <c r="B195" s="9">
        <v>1400000</v>
      </c>
      <c r="M195" s="16">
        <v>195</v>
      </c>
      <c r="N195" s="7">
        <v>12250000000000</v>
      </c>
    </row>
    <row r="196" spans="1:14" ht="14.25" customHeight="1" x14ac:dyDescent="0.3">
      <c r="A196" s="16">
        <v>196</v>
      </c>
      <c r="B196" s="9">
        <v>500000</v>
      </c>
      <c r="M196" s="16">
        <v>196</v>
      </c>
      <c r="N196" s="7">
        <v>1440000000000</v>
      </c>
    </row>
    <row r="197" spans="1:14" ht="14.25" customHeight="1" x14ac:dyDescent="0.3">
      <c r="A197" s="16">
        <v>197</v>
      </c>
      <c r="B197" s="9">
        <v>1200000</v>
      </c>
      <c r="M197" s="16">
        <v>197</v>
      </c>
      <c r="N197" s="7">
        <v>1000000000000</v>
      </c>
    </row>
    <row r="198" spans="1:14" ht="14.25" customHeight="1" x14ac:dyDescent="0.3">
      <c r="A198" s="16">
        <v>198</v>
      </c>
      <c r="B198" s="9">
        <v>2000000</v>
      </c>
      <c r="M198" s="16">
        <v>198</v>
      </c>
      <c r="N198" s="7">
        <v>2722500000000</v>
      </c>
    </row>
    <row r="199" spans="1:14" ht="14.25" customHeight="1" x14ac:dyDescent="0.3">
      <c r="A199" s="16">
        <v>199</v>
      </c>
      <c r="B199" s="9">
        <v>1400000</v>
      </c>
      <c r="M199" s="16">
        <v>199</v>
      </c>
      <c r="N199" s="7">
        <v>12250000000000</v>
      </c>
    </row>
    <row r="200" spans="1:14" ht="14.25" customHeight="1" x14ac:dyDescent="0.3">
      <c r="A200" s="16">
        <v>200</v>
      </c>
      <c r="B200" s="9">
        <v>1200000</v>
      </c>
      <c r="M200" s="16">
        <v>200</v>
      </c>
      <c r="N200" s="7">
        <v>1000000000000</v>
      </c>
    </row>
    <row r="201" spans="1:14" ht="14.25" customHeight="1" x14ac:dyDescent="0.3">
      <c r="A201" s="16">
        <v>201</v>
      </c>
      <c r="B201" s="9">
        <v>1000000</v>
      </c>
      <c r="M201" s="16">
        <v>201</v>
      </c>
      <c r="N201" s="7">
        <v>1000000000000</v>
      </c>
    </row>
    <row r="202" spans="1:14" ht="14.25" customHeight="1" x14ac:dyDescent="0.3">
      <c r="A202" s="16">
        <v>202</v>
      </c>
      <c r="B202" s="9">
        <v>1650000</v>
      </c>
      <c r="M202" s="16">
        <v>202</v>
      </c>
      <c r="N202" s="7">
        <v>1000000000000</v>
      </c>
    </row>
    <row r="203" spans="1:14" ht="14.25" customHeight="1" x14ac:dyDescent="0.3">
      <c r="A203" s="16">
        <v>203</v>
      </c>
      <c r="B203" s="9">
        <v>920000</v>
      </c>
      <c r="M203" s="16">
        <v>203</v>
      </c>
      <c r="N203" s="7">
        <v>1000000000000</v>
      </c>
    </row>
    <row r="204" spans="1:14" ht="14.25" customHeight="1" x14ac:dyDescent="0.3">
      <c r="A204" s="16">
        <v>204</v>
      </c>
      <c r="B204" s="9">
        <v>970000</v>
      </c>
      <c r="M204" s="16">
        <v>204</v>
      </c>
      <c r="N204" s="7">
        <v>1000000000000</v>
      </c>
    </row>
    <row r="205" spans="1:14" ht="14.25" customHeight="1" x14ac:dyDescent="0.3">
      <c r="A205" s="16">
        <v>205</v>
      </c>
      <c r="B205" s="9">
        <v>1000000</v>
      </c>
      <c r="M205" s="16">
        <v>205</v>
      </c>
      <c r="N205" s="7">
        <v>1000000000000</v>
      </c>
    </row>
    <row r="206" spans="1:14" ht="14.25" customHeight="1" x14ac:dyDescent="0.3">
      <c r="A206" s="16">
        <v>206</v>
      </c>
      <c r="B206" s="9">
        <v>3500000</v>
      </c>
      <c r="M206" s="16">
        <v>206</v>
      </c>
      <c r="N206" s="7">
        <v>1440000000000</v>
      </c>
    </row>
    <row r="207" spans="1:14" ht="14.25" customHeight="1" x14ac:dyDescent="0.3">
      <c r="A207" s="16">
        <v>207</v>
      </c>
      <c r="B207" s="9">
        <v>1700000</v>
      </c>
      <c r="M207" s="16">
        <v>207</v>
      </c>
      <c r="N207" s="7">
        <v>1000000000000</v>
      </c>
    </row>
    <row r="208" spans="1:14" ht="14.25" customHeight="1" x14ac:dyDescent="0.3">
      <c r="A208" s="16">
        <v>208</v>
      </c>
      <c r="B208" s="9">
        <v>1000000</v>
      </c>
      <c r="M208" s="16">
        <v>208</v>
      </c>
      <c r="N208" s="7">
        <v>2890000000000</v>
      </c>
    </row>
    <row r="209" spans="1:14" ht="14.25" customHeight="1" x14ac:dyDescent="0.3">
      <c r="A209" s="16">
        <v>209</v>
      </c>
      <c r="B209" s="9">
        <v>1000000</v>
      </c>
      <c r="M209" s="16">
        <v>209</v>
      </c>
      <c r="N209" s="7">
        <v>896809000000</v>
      </c>
    </row>
    <row r="210" spans="1:14" ht="14.25" customHeight="1" x14ac:dyDescent="0.3">
      <c r="A210" s="16">
        <v>210</v>
      </c>
      <c r="B210" s="9">
        <v>3000000</v>
      </c>
      <c r="M210" s="16">
        <v>210</v>
      </c>
      <c r="N210" s="7">
        <v>810000000000</v>
      </c>
    </row>
    <row r="211" spans="1:14" ht="14.25" customHeight="1" x14ac:dyDescent="0.3">
      <c r="A211" s="16">
        <v>211</v>
      </c>
      <c r="B211" s="9">
        <v>1000000</v>
      </c>
      <c r="M211" s="16">
        <v>211</v>
      </c>
      <c r="N211" s="7">
        <v>2250000000000</v>
      </c>
    </row>
    <row r="212" spans="1:14" ht="14.25" customHeight="1" x14ac:dyDescent="0.3">
      <c r="A212" s="16">
        <v>212</v>
      </c>
      <c r="B212" s="9">
        <v>1000000</v>
      </c>
      <c r="M212" s="16">
        <v>212</v>
      </c>
      <c r="N212" s="7">
        <v>4410000000000</v>
      </c>
    </row>
    <row r="213" spans="1:14" ht="14.25" customHeight="1" x14ac:dyDescent="0.3">
      <c r="A213" s="16">
        <v>213</v>
      </c>
      <c r="B213" s="9">
        <v>3000000</v>
      </c>
      <c r="M213" s="16">
        <v>213</v>
      </c>
      <c r="N213" s="7">
        <v>6250000000000</v>
      </c>
    </row>
    <row r="214" spans="1:14" ht="14.25" customHeight="1" x14ac:dyDescent="0.3">
      <c r="A214" s="16">
        <v>214</v>
      </c>
      <c r="B214" s="9">
        <v>1500000</v>
      </c>
      <c r="M214" s="16">
        <v>214</v>
      </c>
      <c r="N214" s="7">
        <v>4000000000000</v>
      </c>
    </row>
    <row r="215" spans="1:14" ht="14.25" customHeight="1" x14ac:dyDescent="0.3">
      <c r="A215" s="16">
        <v>215</v>
      </c>
      <c r="B215" s="9">
        <v>1500000</v>
      </c>
      <c r="M215" s="16">
        <v>215</v>
      </c>
      <c r="N215" s="7">
        <v>1000000000000</v>
      </c>
    </row>
    <row r="216" spans="1:14" ht="14.25" customHeight="1" x14ac:dyDescent="0.3">
      <c r="A216" s="16">
        <v>216</v>
      </c>
      <c r="B216" s="9">
        <v>580000</v>
      </c>
      <c r="M216" s="16">
        <v>216</v>
      </c>
      <c r="N216" s="7">
        <v>1690000000000</v>
      </c>
    </row>
    <row r="217" spans="1:14" ht="14.25" customHeight="1" x14ac:dyDescent="0.3">
      <c r="A217" s="16">
        <v>217</v>
      </c>
      <c r="B217" s="9">
        <v>1000000</v>
      </c>
      <c r="M217" s="16">
        <v>217</v>
      </c>
      <c r="N217" s="7">
        <v>979682264521</v>
      </c>
    </row>
    <row r="218" spans="1:14" ht="14.25" customHeight="1" x14ac:dyDescent="0.3">
      <c r="A218" s="16">
        <v>218</v>
      </c>
      <c r="B218" s="9">
        <v>1500000</v>
      </c>
      <c r="M218" s="16">
        <v>218</v>
      </c>
      <c r="N218" s="7">
        <v>9000000000000</v>
      </c>
    </row>
    <row r="219" spans="1:14" ht="14.25" customHeight="1" x14ac:dyDescent="0.3">
      <c r="A219" s="16">
        <v>219</v>
      </c>
      <c r="B219" s="9">
        <v>1500000</v>
      </c>
      <c r="M219" s="16">
        <v>219</v>
      </c>
      <c r="N219" s="7">
        <v>25000000000000</v>
      </c>
    </row>
    <row r="220" spans="1:14" ht="14.25" customHeight="1" x14ac:dyDescent="0.3">
      <c r="A220" s="16">
        <v>220</v>
      </c>
      <c r="B220" s="9">
        <v>3000000</v>
      </c>
      <c r="M220" s="16">
        <v>220</v>
      </c>
      <c r="N220" s="7">
        <v>1690000000000</v>
      </c>
    </row>
    <row r="221" spans="1:14" ht="14.25" customHeight="1" x14ac:dyDescent="0.3">
      <c r="A221" s="16">
        <v>221</v>
      </c>
      <c r="B221" s="9">
        <v>800000</v>
      </c>
      <c r="M221" s="16">
        <v>221</v>
      </c>
      <c r="N221" s="7">
        <v>10240000000000</v>
      </c>
    </row>
    <row r="222" spans="1:14" ht="14.25" customHeight="1" x14ac:dyDescent="0.3">
      <c r="A222" s="16">
        <v>222</v>
      </c>
      <c r="B222" s="9">
        <v>2000000</v>
      </c>
      <c r="M222" s="16">
        <v>222</v>
      </c>
      <c r="N222" s="7">
        <v>25000000000000</v>
      </c>
    </row>
    <row r="223" spans="1:14" ht="14.25" customHeight="1" x14ac:dyDescent="0.3">
      <c r="A223" s="16">
        <v>223</v>
      </c>
      <c r="B223" s="9">
        <v>1000000</v>
      </c>
      <c r="M223" s="16">
        <v>223</v>
      </c>
      <c r="N223" s="7">
        <v>4000000000000</v>
      </c>
    </row>
    <row r="224" spans="1:14" ht="14.25" customHeight="1" x14ac:dyDescent="0.3">
      <c r="A224" s="16">
        <v>224</v>
      </c>
      <c r="B224" s="9">
        <v>1700000</v>
      </c>
      <c r="M224" s="16">
        <v>224</v>
      </c>
      <c r="N224" s="7">
        <v>7840000000000</v>
      </c>
    </row>
    <row r="225" spans="1:14" ht="14.25" customHeight="1" x14ac:dyDescent="0.3">
      <c r="A225" s="16">
        <v>225</v>
      </c>
      <c r="B225" s="9">
        <v>1500000</v>
      </c>
      <c r="M225" s="16">
        <v>225</v>
      </c>
      <c r="N225" s="7">
        <v>1690000000000</v>
      </c>
    </row>
    <row r="226" spans="1:14" ht="14.25" customHeight="1" x14ac:dyDescent="0.3">
      <c r="A226" s="16">
        <v>226</v>
      </c>
      <c r="B226" s="9">
        <v>1000000</v>
      </c>
      <c r="M226" s="16">
        <v>226</v>
      </c>
      <c r="N226" s="7">
        <v>2250000000000</v>
      </c>
    </row>
    <row r="227" spans="1:14" ht="14.25" customHeight="1" x14ac:dyDescent="0.3">
      <c r="A227" s="16">
        <v>227</v>
      </c>
      <c r="B227" s="9">
        <v>2000000</v>
      </c>
      <c r="M227" s="16">
        <v>227</v>
      </c>
      <c r="N227" s="7">
        <v>1000000000000</v>
      </c>
    </row>
    <row r="228" spans="1:14" ht="14.25" customHeight="1" x14ac:dyDescent="0.3">
      <c r="A228" s="16">
        <v>228</v>
      </c>
      <c r="B228" s="9">
        <v>1200000</v>
      </c>
      <c r="M228" s="16">
        <v>228</v>
      </c>
      <c r="N228" s="7">
        <v>4000000000000</v>
      </c>
    </row>
    <row r="229" spans="1:14" ht="14.25" customHeight="1" x14ac:dyDescent="0.3">
      <c r="A229" s="16">
        <v>229</v>
      </c>
      <c r="B229" s="9">
        <v>1600000</v>
      </c>
      <c r="M229" s="16">
        <v>229</v>
      </c>
      <c r="N229" s="7">
        <v>2250000000000</v>
      </c>
    </row>
    <row r="230" spans="1:14" ht="14.25" customHeight="1" x14ac:dyDescent="0.3">
      <c r="A230" s="16">
        <v>230</v>
      </c>
      <c r="B230" s="9">
        <v>1800000</v>
      </c>
      <c r="M230" s="16">
        <v>230</v>
      </c>
      <c r="N230" s="7">
        <v>28090000000000</v>
      </c>
    </row>
    <row r="231" spans="1:14" ht="14.25" customHeight="1" x14ac:dyDescent="0.3">
      <c r="A231" s="16">
        <v>231</v>
      </c>
      <c r="B231" s="9">
        <v>1000000</v>
      </c>
      <c r="M231" s="16">
        <v>231</v>
      </c>
      <c r="N231" s="7">
        <v>9000000000000</v>
      </c>
    </row>
    <row r="232" spans="1:14" ht="14.25" customHeight="1" x14ac:dyDescent="0.3">
      <c r="A232" s="16">
        <v>232</v>
      </c>
      <c r="B232" s="9">
        <v>3000000</v>
      </c>
      <c r="M232" s="16">
        <v>232</v>
      </c>
      <c r="N232" s="7">
        <v>3240000000000</v>
      </c>
    </row>
    <row r="233" spans="1:14" ht="14.25" customHeight="1" x14ac:dyDescent="0.3">
      <c r="A233" s="16">
        <v>233</v>
      </c>
      <c r="B233" s="9">
        <v>1000000</v>
      </c>
      <c r="M233" s="16">
        <v>233</v>
      </c>
      <c r="N233" s="7">
        <v>1000000000000</v>
      </c>
    </row>
    <row r="234" spans="1:14" ht="14.25" customHeight="1" x14ac:dyDescent="0.3">
      <c r="A234" s="16">
        <v>234</v>
      </c>
      <c r="B234" s="9">
        <v>1000000</v>
      </c>
      <c r="M234" s="16">
        <v>234</v>
      </c>
      <c r="N234" s="7">
        <v>968256000000</v>
      </c>
    </row>
    <row r="235" spans="1:14" ht="14.25" customHeight="1" x14ac:dyDescent="0.3">
      <c r="A235" s="16">
        <v>235</v>
      </c>
      <c r="B235" s="9">
        <v>1500000</v>
      </c>
      <c r="M235" s="16">
        <v>235</v>
      </c>
      <c r="N235" s="7">
        <v>1440000000000</v>
      </c>
    </row>
    <row r="236" spans="1:14" ht="14.25" customHeight="1" x14ac:dyDescent="0.3">
      <c r="A236" s="16">
        <v>236</v>
      </c>
      <c r="B236" s="9">
        <v>1500000</v>
      </c>
      <c r="M236" s="16">
        <v>236</v>
      </c>
      <c r="N236" s="7">
        <v>1960000000000</v>
      </c>
    </row>
    <row r="237" spans="1:14" ht="14.25" customHeight="1" x14ac:dyDescent="0.3">
      <c r="A237" s="16">
        <v>237</v>
      </c>
      <c r="B237" s="9">
        <v>2500000</v>
      </c>
      <c r="M237" s="16">
        <v>237</v>
      </c>
      <c r="N237" s="7">
        <v>1440000000000</v>
      </c>
    </row>
    <row r="238" spans="1:14" ht="14.25" customHeight="1" x14ac:dyDescent="0.3">
      <c r="A238" s="16">
        <v>238</v>
      </c>
      <c r="B238" s="14">
        <v>3000000</v>
      </c>
      <c r="M238" s="16">
        <v>238</v>
      </c>
      <c r="N238" s="7">
        <v>4000000000000</v>
      </c>
    </row>
    <row r="239" spans="1:14" ht="14.25" customHeight="1" x14ac:dyDescent="0.3">
      <c r="B239" s="16">
        <f>SUM(B1:B238)</f>
        <v>389467689</v>
      </c>
      <c r="M239" s="16">
        <v>239</v>
      </c>
      <c r="N239" s="7">
        <v>16000000000000</v>
      </c>
    </row>
    <row r="240" spans="1:14" ht="14.25" customHeight="1" x14ac:dyDescent="0.3">
      <c r="M240" s="16">
        <v>240</v>
      </c>
      <c r="N240" s="7">
        <v>3168400000000</v>
      </c>
    </row>
    <row r="241" spans="2:14" ht="14.25" customHeight="1" x14ac:dyDescent="0.3">
      <c r="B241" s="23">
        <f>B239/A238</f>
        <v>1636418.8613445379</v>
      </c>
      <c r="M241" s="16">
        <v>241</v>
      </c>
      <c r="N241" s="7">
        <v>1440000000000</v>
      </c>
    </row>
    <row r="242" spans="2:14" ht="14.25" customHeight="1" x14ac:dyDescent="0.3">
      <c r="M242" s="16">
        <v>242</v>
      </c>
      <c r="N242" s="7">
        <v>1000000000000</v>
      </c>
    </row>
    <row r="243" spans="2:14" ht="14.25" customHeight="1" x14ac:dyDescent="0.3">
      <c r="M243" s="16">
        <v>243</v>
      </c>
      <c r="N243" s="7">
        <v>1440000000000</v>
      </c>
    </row>
    <row r="244" spans="2:14" ht="14.25" customHeight="1" x14ac:dyDescent="0.3">
      <c r="M244" s="16">
        <v>244</v>
      </c>
      <c r="N244" s="7">
        <v>2722500000000</v>
      </c>
    </row>
    <row r="245" spans="2:14" ht="14.25" customHeight="1" x14ac:dyDescent="0.3">
      <c r="M245" s="16">
        <v>245</v>
      </c>
      <c r="N245" s="7">
        <v>846400000000</v>
      </c>
    </row>
    <row r="246" spans="2:14" ht="14.25" customHeight="1" x14ac:dyDescent="0.3">
      <c r="M246" s="16">
        <v>246</v>
      </c>
      <c r="N246" s="7">
        <v>940900000000</v>
      </c>
    </row>
    <row r="247" spans="2:14" ht="14.25" customHeight="1" x14ac:dyDescent="0.3">
      <c r="M247" s="16">
        <v>247</v>
      </c>
      <c r="N247" s="7">
        <v>1000000000000</v>
      </c>
    </row>
    <row r="248" spans="2:14" ht="14.25" customHeight="1" x14ac:dyDescent="0.3">
      <c r="M248" s="16">
        <v>248</v>
      </c>
      <c r="N248" s="7">
        <v>2890000000000</v>
      </c>
    </row>
    <row r="249" spans="2:14" ht="14.25" customHeight="1" x14ac:dyDescent="0.3">
      <c r="M249" s="16">
        <v>249</v>
      </c>
      <c r="N249" s="7">
        <v>1210000000000</v>
      </c>
    </row>
    <row r="250" spans="2:14" ht="14.25" customHeight="1" x14ac:dyDescent="0.3">
      <c r="M250" s="16">
        <v>250</v>
      </c>
      <c r="N250" s="7">
        <v>1000000000000</v>
      </c>
    </row>
    <row r="251" spans="2:14" ht="14.25" customHeight="1" x14ac:dyDescent="0.3">
      <c r="M251" s="16">
        <v>251</v>
      </c>
      <c r="N251" s="7">
        <v>9000000000000</v>
      </c>
    </row>
    <row r="252" spans="2:14" ht="14.25" customHeight="1" x14ac:dyDescent="0.3">
      <c r="M252" s="16">
        <v>252</v>
      </c>
      <c r="N252" s="7">
        <v>36000000000000</v>
      </c>
    </row>
    <row r="253" spans="2:14" ht="14.25" customHeight="1" x14ac:dyDescent="0.3">
      <c r="M253" s="16">
        <v>253</v>
      </c>
      <c r="N253" s="7">
        <v>6250000000000</v>
      </c>
    </row>
    <row r="254" spans="2:14" ht="14.25" customHeight="1" x14ac:dyDescent="0.3">
      <c r="M254" s="16">
        <v>254</v>
      </c>
      <c r="N254" s="7">
        <v>336400000000</v>
      </c>
    </row>
    <row r="255" spans="2:14" ht="14.25" customHeight="1" x14ac:dyDescent="0.3">
      <c r="M255" s="16">
        <v>255</v>
      </c>
      <c r="N255" s="7">
        <v>1440000000000</v>
      </c>
    </row>
    <row r="256" spans="2:14" ht="14.25" customHeight="1" x14ac:dyDescent="0.3">
      <c r="M256" s="16">
        <v>256</v>
      </c>
      <c r="N256" s="7">
        <v>1440000000000</v>
      </c>
    </row>
    <row r="257" spans="13:14" ht="14.25" customHeight="1" x14ac:dyDescent="0.3">
      <c r="M257" s="16">
        <v>257</v>
      </c>
      <c r="N257" s="7">
        <v>1000000000000</v>
      </c>
    </row>
    <row r="258" spans="13:14" ht="14.25" customHeight="1" x14ac:dyDescent="0.3">
      <c r="M258" s="16">
        <v>258</v>
      </c>
      <c r="N258" s="7">
        <v>1440000000000</v>
      </c>
    </row>
    <row r="259" spans="13:14" ht="14.25" customHeight="1" x14ac:dyDescent="0.3">
      <c r="M259" s="16">
        <v>259</v>
      </c>
      <c r="N259" s="7">
        <v>20250000000000</v>
      </c>
    </row>
    <row r="260" spans="13:14" ht="14.25" customHeight="1" x14ac:dyDescent="0.3">
      <c r="M260" s="16">
        <v>260</v>
      </c>
      <c r="N260" s="7">
        <v>25000000000000</v>
      </c>
    </row>
    <row r="261" spans="13:14" ht="14.25" customHeight="1" x14ac:dyDescent="0.3">
      <c r="M261" s="16">
        <v>261</v>
      </c>
      <c r="N261" s="7">
        <v>2250000000000</v>
      </c>
    </row>
    <row r="262" spans="13:14" ht="14.25" customHeight="1" x14ac:dyDescent="0.3">
      <c r="M262" s="16">
        <v>262</v>
      </c>
      <c r="N262" s="7">
        <v>2250000000000</v>
      </c>
    </row>
    <row r="263" spans="13:14" ht="14.25" customHeight="1" x14ac:dyDescent="0.3">
      <c r="M263" s="16">
        <v>263</v>
      </c>
      <c r="N263" s="7">
        <v>1960000000000</v>
      </c>
    </row>
    <row r="264" spans="13:14" ht="14.25" customHeight="1" x14ac:dyDescent="0.3">
      <c r="M264" s="16">
        <v>264</v>
      </c>
      <c r="N264" s="7">
        <v>640000000000</v>
      </c>
    </row>
    <row r="265" spans="13:14" ht="14.25" customHeight="1" x14ac:dyDescent="0.3">
      <c r="M265" s="16">
        <v>265</v>
      </c>
      <c r="N265" s="7">
        <v>1000000000000</v>
      </c>
    </row>
    <row r="266" spans="13:14" ht="14.25" customHeight="1" x14ac:dyDescent="0.3">
      <c r="M266" s="16">
        <v>266</v>
      </c>
      <c r="N266" s="7">
        <v>2890000000000</v>
      </c>
    </row>
    <row r="267" spans="13:14" ht="14.25" customHeight="1" x14ac:dyDescent="0.3">
      <c r="M267" s="16">
        <v>267</v>
      </c>
      <c r="N267" s="7">
        <v>1000000000000</v>
      </c>
    </row>
    <row r="268" spans="13:14" ht="14.25" customHeight="1" x14ac:dyDescent="0.3">
      <c r="M268" s="16">
        <v>268</v>
      </c>
      <c r="N268" s="7">
        <v>4000000000000</v>
      </c>
    </row>
    <row r="269" spans="13:14" ht="14.25" customHeight="1" x14ac:dyDescent="0.3">
      <c r="M269" s="16">
        <v>269</v>
      </c>
      <c r="N269" s="7">
        <v>1000000000000</v>
      </c>
    </row>
    <row r="270" spans="13:14" ht="14.25" customHeight="1" x14ac:dyDescent="0.3">
      <c r="M270" s="16">
        <v>270</v>
      </c>
      <c r="N270" s="7">
        <v>9000000000000</v>
      </c>
    </row>
    <row r="271" spans="13:14" ht="14.25" customHeight="1" x14ac:dyDescent="0.3">
      <c r="M271" s="16">
        <v>271</v>
      </c>
      <c r="N271" s="7">
        <v>1440000000000</v>
      </c>
    </row>
    <row r="272" spans="13:14" ht="14.25" customHeight="1" x14ac:dyDescent="0.3">
      <c r="M272" s="16">
        <v>272</v>
      </c>
      <c r="N272" s="7">
        <v>2560000000000</v>
      </c>
    </row>
    <row r="273" spans="13:14" ht="14.25" customHeight="1" x14ac:dyDescent="0.3">
      <c r="M273" s="16">
        <v>273</v>
      </c>
      <c r="N273" s="7">
        <v>3240000000000</v>
      </c>
    </row>
    <row r="274" spans="13:14" ht="14.25" customHeight="1" x14ac:dyDescent="0.3">
      <c r="M274" s="16">
        <v>274</v>
      </c>
      <c r="N274" s="7">
        <v>1000000000000</v>
      </c>
    </row>
    <row r="275" spans="13:14" ht="14.25" customHeight="1" x14ac:dyDescent="0.3">
      <c r="M275" s="16">
        <v>275</v>
      </c>
      <c r="N275" s="7">
        <v>1000000000000</v>
      </c>
    </row>
    <row r="276" spans="13:14" ht="14.25" customHeight="1" x14ac:dyDescent="0.3">
      <c r="M276" s="16">
        <v>276</v>
      </c>
      <c r="N276" s="7">
        <v>9000000000000</v>
      </c>
    </row>
    <row r="277" spans="13:14" ht="14.25" customHeight="1" x14ac:dyDescent="0.3">
      <c r="M277" s="16">
        <v>277</v>
      </c>
      <c r="N277" s="7">
        <v>1000000000000</v>
      </c>
    </row>
    <row r="278" spans="13:14" ht="14.25" customHeight="1" x14ac:dyDescent="0.3">
      <c r="M278" s="16">
        <v>278</v>
      </c>
      <c r="N278" s="7">
        <v>640000000000</v>
      </c>
    </row>
    <row r="279" spans="13:14" ht="14.25" customHeight="1" x14ac:dyDescent="0.3">
      <c r="M279" s="16">
        <v>279</v>
      </c>
      <c r="N279" s="7">
        <v>1000000000000</v>
      </c>
    </row>
    <row r="280" spans="13:14" ht="14.25" customHeight="1" x14ac:dyDescent="0.3">
      <c r="N280" s="20">
        <f>SUM(N1:N279)</f>
        <v>1755519618465721</v>
      </c>
    </row>
    <row r="281" spans="13:14" ht="14.25" customHeight="1" x14ac:dyDescent="0.3"/>
    <row r="282" spans="13:14" ht="14.25" customHeight="1" x14ac:dyDescent="0.3"/>
    <row r="283" spans="13:14" ht="14.25" customHeight="1" x14ac:dyDescent="0.3"/>
    <row r="284" spans="13:14" ht="14.25" customHeight="1" x14ac:dyDescent="0.3"/>
    <row r="285" spans="13:14" ht="14.25" customHeight="1" x14ac:dyDescent="0.3"/>
    <row r="286" spans="13:14" ht="14.25" customHeight="1" x14ac:dyDescent="0.3"/>
    <row r="287" spans="13:14" ht="14.25" customHeight="1" x14ac:dyDescent="0.3"/>
    <row r="288" spans="13:14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K15" sqref="K15"/>
    </sheetView>
  </sheetViews>
  <sheetFormatPr baseColWidth="10" defaultColWidth="14.44140625" defaultRowHeight="15" customHeight="1" x14ac:dyDescent="0.3"/>
  <cols>
    <col min="1" max="1" width="6.44140625" customWidth="1"/>
    <col min="2" max="2" width="10.88671875" customWidth="1"/>
    <col min="3" max="3" width="17.44140625" customWidth="1"/>
    <col min="4" max="4" width="20.5546875" customWidth="1"/>
    <col min="5" max="5" width="21.44140625" customWidth="1"/>
    <col min="6" max="6" width="18.33203125" customWidth="1"/>
    <col min="7" max="7" width="20.5546875" customWidth="1"/>
    <col min="8" max="8" width="20.6640625" customWidth="1"/>
    <col min="9" max="9" width="18.5546875" customWidth="1"/>
    <col min="10" max="10" width="17.88671875" customWidth="1"/>
    <col min="11" max="12" width="20.6640625" customWidth="1"/>
    <col min="13" max="13" width="16" customWidth="1"/>
    <col min="14" max="14" width="15.109375" customWidth="1"/>
    <col min="15" max="15" width="13.109375" customWidth="1"/>
    <col min="16" max="16" width="14.33203125" customWidth="1"/>
    <col min="17" max="17" width="15.6640625" customWidth="1"/>
    <col min="18" max="18" width="9.33203125" customWidth="1"/>
    <col min="19" max="26" width="9.109375" customWidth="1"/>
  </cols>
  <sheetData>
    <row r="1" spans="1:26" ht="93" customHeight="1" x14ac:dyDescent="0.3">
      <c r="A1" s="25" t="s">
        <v>50</v>
      </c>
      <c r="B1" s="25" t="s">
        <v>51</v>
      </c>
      <c r="C1" s="25" t="s">
        <v>52</v>
      </c>
      <c r="D1" s="25" t="s">
        <v>53</v>
      </c>
      <c r="E1" s="25" t="s">
        <v>54</v>
      </c>
      <c r="F1" s="25" t="s">
        <v>55</v>
      </c>
      <c r="G1" s="25" t="s">
        <v>56</v>
      </c>
      <c r="H1" s="26" t="s">
        <v>57</v>
      </c>
      <c r="I1" s="27" t="s">
        <v>58</v>
      </c>
      <c r="J1" s="27" t="s">
        <v>59</v>
      </c>
      <c r="K1" s="28" t="s">
        <v>60</v>
      </c>
      <c r="L1" s="29" t="s">
        <v>61</v>
      </c>
      <c r="M1" s="29" t="s">
        <v>62</v>
      </c>
      <c r="N1" s="29" t="s">
        <v>63</v>
      </c>
      <c r="O1" s="29" t="s">
        <v>64</v>
      </c>
      <c r="P1" s="29" t="s">
        <v>65</v>
      </c>
      <c r="Q1" s="29" t="s">
        <v>66</v>
      </c>
      <c r="R1" s="30" t="s">
        <v>67</v>
      </c>
      <c r="S1" s="31"/>
      <c r="T1" s="31"/>
      <c r="U1" s="31"/>
      <c r="V1" s="31"/>
      <c r="W1" s="31"/>
      <c r="X1" s="31"/>
      <c r="Y1" s="31"/>
      <c r="Z1" s="31"/>
    </row>
    <row r="2" spans="1:26" ht="23.25" customHeight="1" x14ac:dyDescent="0.3">
      <c r="A2" s="32">
        <v>1</v>
      </c>
      <c r="B2" s="33">
        <v>4</v>
      </c>
      <c r="C2" s="34">
        <f t="shared" ref="C2:C79" si="0">B2*12</f>
        <v>48</v>
      </c>
      <c r="D2" s="34" t="s">
        <v>68</v>
      </c>
      <c r="E2" s="34">
        <v>2</v>
      </c>
      <c r="F2" s="34">
        <f t="shared" ref="F2:F19" si="1">E2*12</f>
        <v>24</v>
      </c>
      <c r="G2" s="34">
        <v>0</v>
      </c>
      <c r="H2" s="35" t="s">
        <v>69</v>
      </c>
      <c r="I2" s="36">
        <v>500000</v>
      </c>
      <c r="J2" s="36">
        <v>1500000</v>
      </c>
      <c r="K2" s="37" t="s">
        <v>70</v>
      </c>
      <c r="L2" s="9" t="s">
        <v>71</v>
      </c>
      <c r="M2" s="34" t="s">
        <v>22</v>
      </c>
      <c r="N2" s="34" t="s">
        <v>22</v>
      </c>
      <c r="O2" s="34" t="s">
        <v>72</v>
      </c>
      <c r="P2" s="34">
        <v>26</v>
      </c>
      <c r="Q2" s="34" t="s">
        <v>73</v>
      </c>
      <c r="R2" s="38">
        <v>0</v>
      </c>
      <c r="S2" s="31"/>
      <c r="T2" s="31"/>
      <c r="U2" s="31"/>
      <c r="V2" s="31"/>
      <c r="W2" s="31"/>
      <c r="X2" s="31"/>
      <c r="Y2" s="31"/>
      <c r="Z2" s="31"/>
    </row>
    <row r="3" spans="1:26" ht="23.25" customHeight="1" x14ac:dyDescent="0.3">
      <c r="A3" s="39">
        <v>2</v>
      </c>
      <c r="B3" s="40">
        <v>10</v>
      </c>
      <c r="C3" s="9">
        <f t="shared" si="0"/>
        <v>120</v>
      </c>
      <c r="D3" s="9" t="s">
        <v>74</v>
      </c>
      <c r="E3" s="9">
        <v>8</v>
      </c>
      <c r="F3" s="9">
        <f t="shared" si="1"/>
        <v>96</v>
      </c>
      <c r="G3" s="9">
        <v>1</v>
      </c>
      <c r="H3" s="41" t="s">
        <v>75</v>
      </c>
      <c r="I3" s="42">
        <v>2000000</v>
      </c>
      <c r="J3" s="42">
        <v>2300000</v>
      </c>
      <c r="K3" s="43" t="s">
        <v>70</v>
      </c>
      <c r="L3" s="9" t="s">
        <v>76</v>
      </c>
      <c r="M3" s="9" t="s">
        <v>22</v>
      </c>
      <c r="N3" s="9" t="s">
        <v>22</v>
      </c>
      <c r="O3" s="9" t="s">
        <v>72</v>
      </c>
      <c r="P3" s="9">
        <v>25</v>
      </c>
      <c r="Q3" s="9" t="s">
        <v>77</v>
      </c>
      <c r="R3" s="44">
        <v>1</v>
      </c>
      <c r="S3" s="31"/>
      <c r="T3" s="31"/>
      <c r="U3" s="31"/>
      <c r="V3" s="31"/>
      <c r="W3" s="31"/>
      <c r="X3" s="31"/>
      <c r="Y3" s="31"/>
      <c r="Z3" s="31"/>
    </row>
    <row r="4" spans="1:26" ht="23.25" customHeight="1" x14ac:dyDescent="0.3">
      <c r="A4" s="39">
        <v>3</v>
      </c>
      <c r="B4" s="40">
        <v>16</v>
      </c>
      <c r="C4" s="9">
        <f t="shared" si="0"/>
        <v>192</v>
      </c>
      <c r="D4" s="9" t="s">
        <v>74</v>
      </c>
      <c r="E4" s="9">
        <v>10</v>
      </c>
      <c r="F4" s="9">
        <f t="shared" si="1"/>
        <v>120</v>
      </c>
      <c r="G4" s="9">
        <v>1</v>
      </c>
      <c r="H4" s="41" t="s">
        <v>78</v>
      </c>
      <c r="I4" s="42">
        <v>2000000</v>
      </c>
      <c r="J4" s="42">
        <v>300000</v>
      </c>
      <c r="K4" s="43" t="s">
        <v>70</v>
      </c>
      <c r="L4" s="9" t="s">
        <v>79</v>
      </c>
      <c r="M4" s="9" t="s">
        <v>22</v>
      </c>
      <c r="N4" s="9" t="s">
        <v>22</v>
      </c>
      <c r="O4" s="9" t="s">
        <v>10</v>
      </c>
      <c r="P4" s="9">
        <v>44</v>
      </c>
      <c r="Q4" s="9" t="s">
        <v>80</v>
      </c>
      <c r="R4" s="44">
        <v>2</v>
      </c>
      <c r="S4" s="31"/>
      <c r="T4" s="31"/>
      <c r="U4" s="31"/>
      <c r="V4" s="31"/>
      <c r="W4" s="31"/>
      <c r="X4" s="31"/>
      <c r="Y4" s="31"/>
      <c r="Z4" s="31"/>
    </row>
    <row r="5" spans="1:26" ht="23.25" customHeight="1" x14ac:dyDescent="0.3">
      <c r="A5" s="39">
        <v>4</v>
      </c>
      <c r="B5" s="40">
        <v>31</v>
      </c>
      <c r="C5" s="45">
        <f t="shared" si="0"/>
        <v>372</v>
      </c>
      <c r="D5" s="9" t="s">
        <v>74</v>
      </c>
      <c r="E5" s="46">
        <v>28</v>
      </c>
      <c r="F5" s="9">
        <f t="shared" si="1"/>
        <v>336</v>
      </c>
      <c r="G5" s="9">
        <v>1</v>
      </c>
      <c r="H5" s="41" t="s">
        <v>81</v>
      </c>
      <c r="I5" s="42">
        <v>1500000</v>
      </c>
      <c r="J5" s="42">
        <v>2900000</v>
      </c>
      <c r="K5" s="43" t="s">
        <v>70</v>
      </c>
      <c r="L5" s="9" t="s">
        <v>82</v>
      </c>
      <c r="M5" s="9" t="s">
        <v>22</v>
      </c>
      <c r="N5" s="9" t="s">
        <v>22</v>
      </c>
      <c r="O5" s="9" t="s">
        <v>72</v>
      </c>
      <c r="P5" s="9">
        <v>54</v>
      </c>
      <c r="Q5" s="9" t="s">
        <v>77</v>
      </c>
      <c r="R5" s="44">
        <v>1</v>
      </c>
      <c r="S5" s="31"/>
      <c r="T5" s="31"/>
      <c r="U5" s="31"/>
      <c r="V5" s="31"/>
      <c r="W5" s="31"/>
      <c r="X5" s="31"/>
      <c r="Y5" s="31"/>
      <c r="Z5" s="31"/>
    </row>
    <row r="6" spans="1:26" ht="23.25" customHeight="1" x14ac:dyDescent="0.3">
      <c r="A6" s="39">
        <v>5</v>
      </c>
      <c r="B6" s="40">
        <v>29</v>
      </c>
      <c r="C6" s="9">
        <f t="shared" si="0"/>
        <v>348</v>
      </c>
      <c r="D6" s="17" t="s">
        <v>68</v>
      </c>
      <c r="E6" s="9">
        <v>20</v>
      </c>
      <c r="F6" s="9">
        <f t="shared" si="1"/>
        <v>240</v>
      </c>
      <c r="G6" s="9">
        <v>1</v>
      </c>
      <c r="H6" s="41" t="s">
        <v>83</v>
      </c>
      <c r="I6" s="42">
        <v>1000000</v>
      </c>
      <c r="J6" s="42">
        <v>2300000</v>
      </c>
      <c r="K6" s="43" t="s">
        <v>84</v>
      </c>
      <c r="L6" s="9" t="s">
        <v>85</v>
      </c>
      <c r="M6" s="9" t="s">
        <v>22</v>
      </c>
      <c r="N6" s="9" t="s">
        <v>22</v>
      </c>
      <c r="O6" s="9" t="s">
        <v>10</v>
      </c>
      <c r="P6" s="9">
        <v>63</v>
      </c>
      <c r="Q6" s="9" t="s">
        <v>80</v>
      </c>
      <c r="R6" s="44">
        <v>2</v>
      </c>
      <c r="S6" s="31"/>
      <c r="T6" s="31"/>
      <c r="U6" s="31"/>
      <c r="V6" s="31"/>
      <c r="W6" s="31"/>
      <c r="X6" s="31"/>
      <c r="Y6" s="31"/>
      <c r="Z6" s="31"/>
    </row>
    <row r="7" spans="1:26" ht="23.25" customHeight="1" x14ac:dyDescent="0.3">
      <c r="A7" s="39">
        <v>6</v>
      </c>
      <c r="B7" s="40">
        <v>21</v>
      </c>
      <c r="C7" s="9">
        <f t="shared" si="0"/>
        <v>252</v>
      </c>
      <c r="D7" s="9" t="s">
        <v>74</v>
      </c>
      <c r="E7" s="9">
        <v>10</v>
      </c>
      <c r="F7" s="9">
        <f t="shared" si="1"/>
        <v>120</v>
      </c>
      <c r="G7" s="34">
        <v>0</v>
      </c>
      <c r="H7" s="41" t="s">
        <v>86</v>
      </c>
      <c r="I7" s="42">
        <v>2500000</v>
      </c>
      <c r="J7" s="42">
        <v>5000000</v>
      </c>
      <c r="K7" s="43" t="s">
        <v>70</v>
      </c>
      <c r="L7" s="9" t="s">
        <v>87</v>
      </c>
      <c r="M7" s="9" t="s">
        <v>88</v>
      </c>
      <c r="N7" s="9" t="s">
        <v>22</v>
      </c>
      <c r="O7" s="9" t="s">
        <v>10</v>
      </c>
      <c r="P7" s="9">
        <v>43</v>
      </c>
      <c r="Q7" s="9" t="s">
        <v>73</v>
      </c>
      <c r="R7" s="44">
        <v>1</v>
      </c>
      <c r="S7" s="31"/>
      <c r="T7" s="31"/>
      <c r="U7" s="31"/>
      <c r="V7" s="31"/>
      <c r="W7" s="31"/>
      <c r="X7" s="31"/>
      <c r="Y7" s="31"/>
      <c r="Z7" s="31"/>
    </row>
    <row r="8" spans="1:26" ht="23.25" customHeight="1" x14ac:dyDescent="0.3">
      <c r="A8" s="39">
        <v>7</v>
      </c>
      <c r="B8" s="40">
        <v>17</v>
      </c>
      <c r="C8" s="9">
        <f t="shared" si="0"/>
        <v>204</v>
      </c>
      <c r="D8" s="9" t="s">
        <v>74</v>
      </c>
      <c r="E8" s="9">
        <v>5</v>
      </c>
      <c r="F8" s="9">
        <f t="shared" si="1"/>
        <v>60</v>
      </c>
      <c r="G8" s="9">
        <v>1</v>
      </c>
      <c r="H8" s="41" t="s">
        <v>89</v>
      </c>
      <c r="I8" s="42">
        <v>1700000</v>
      </c>
      <c r="J8" s="42">
        <v>4300000</v>
      </c>
      <c r="K8" s="43" t="s">
        <v>70</v>
      </c>
      <c r="L8" s="9" t="s">
        <v>90</v>
      </c>
      <c r="M8" s="9" t="s">
        <v>88</v>
      </c>
      <c r="N8" s="9" t="s">
        <v>22</v>
      </c>
      <c r="O8" s="9" t="s">
        <v>10</v>
      </c>
      <c r="P8" s="9">
        <v>54</v>
      </c>
      <c r="Q8" s="9" t="s">
        <v>73</v>
      </c>
      <c r="R8" s="44">
        <v>1</v>
      </c>
      <c r="S8" s="31"/>
      <c r="T8" s="31"/>
      <c r="U8" s="31"/>
      <c r="V8" s="31"/>
      <c r="W8" s="31"/>
      <c r="X8" s="31"/>
      <c r="Y8" s="31"/>
      <c r="Z8" s="31"/>
    </row>
    <row r="9" spans="1:26" ht="23.25" customHeight="1" x14ac:dyDescent="0.3">
      <c r="A9" s="39">
        <v>8</v>
      </c>
      <c r="B9" s="40">
        <v>12</v>
      </c>
      <c r="C9" s="9">
        <f t="shared" si="0"/>
        <v>144</v>
      </c>
      <c r="D9" s="9" t="s">
        <v>74</v>
      </c>
      <c r="E9" s="9">
        <v>5</v>
      </c>
      <c r="F9" s="9">
        <f t="shared" si="1"/>
        <v>60</v>
      </c>
      <c r="G9" s="9">
        <v>1</v>
      </c>
      <c r="H9" s="41" t="s">
        <v>91</v>
      </c>
      <c r="I9" s="42">
        <v>4000000</v>
      </c>
      <c r="J9" s="42">
        <v>4000000</v>
      </c>
      <c r="K9" s="43" t="s">
        <v>92</v>
      </c>
      <c r="L9" s="9" t="s">
        <v>93</v>
      </c>
      <c r="M9" s="9" t="s">
        <v>88</v>
      </c>
      <c r="N9" s="9" t="s">
        <v>22</v>
      </c>
      <c r="O9" s="9" t="s">
        <v>10</v>
      </c>
      <c r="P9" s="9">
        <v>39</v>
      </c>
      <c r="Q9" s="9" t="s">
        <v>80</v>
      </c>
      <c r="R9" s="44">
        <v>1</v>
      </c>
      <c r="S9" s="31"/>
      <c r="T9" s="31"/>
      <c r="U9" s="31"/>
      <c r="V9" s="31"/>
      <c r="W9" s="31"/>
      <c r="X9" s="31"/>
      <c r="Y9" s="31"/>
      <c r="Z9" s="31"/>
    </row>
    <row r="10" spans="1:26" ht="23.25" customHeight="1" x14ac:dyDescent="0.3">
      <c r="A10" s="39">
        <v>9</v>
      </c>
      <c r="B10" s="40">
        <v>16</v>
      </c>
      <c r="C10" s="9">
        <f t="shared" si="0"/>
        <v>192</v>
      </c>
      <c r="D10" s="9" t="s">
        <v>74</v>
      </c>
      <c r="E10" s="9">
        <v>16</v>
      </c>
      <c r="F10" s="9">
        <f t="shared" si="1"/>
        <v>192</v>
      </c>
      <c r="G10" s="9">
        <v>1</v>
      </c>
      <c r="H10" s="41" t="s">
        <v>86</v>
      </c>
      <c r="I10" s="42">
        <v>4000000</v>
      </c>
      <c r="J10" s="42">
        <v>6000000</v>
      </c>
      <c r="K10" s="43" t="s">
        <v>94</v>
      </c>
      <c r="L10" s="9" t="s">
        <v>71</v>
      </c>
      <c r="M10" s="9" t="s">
        <v>88</v>
      </c>
      <c r="N10" s="9" t="s">
        <v>22</v>
      </c>
      <c r="O10" s="9" t="s">
        <v>72</v>
      </c>
      <c r="P10" s="9">
        <v>42</v>
      </c>
      <c r="Q10" s="9" t="s">
        <v>73</v>
      </c>
      <c r="R10" s="44">
        <v>0</v>
      </c>
      <c r="S10" s="31"/>
      <c r="T10" s="31"/>
      <c r="U10" s="31"/>
      <c r="V10" s="31"/>
      <c r="W10" s="31"/>
      <c r="X10" s="31"/>
      <c r="Y10" s="31"/>
      <c r="Z10" s="31"/>
    </row>
    <row r="11" spans="1:26" ht="23.25" customHeight="1" x14ac:dyDescent="0.3">
      <c r="A11" s="39">
        <v>10</v>
      </c>
      <c r="B11" s="40">
        <v>3</v>
      </c>
      <c r="C11" s="9">
        <f t="shared" si="0"/>
        <v>36</v>
      </c>
      <c r="D11" s="9" t="s">
        <v>95</v>
      </c>
      <c r="E11" s="9">
        <v>3</v>
      </c>
      <c r="F11" s="9">
        <f t="shared" si="1"/>
        <v>36</v>
      </c>
      <c r="G11" s="9">
        <v>1</v>
      </c>
      <c r="H11" s="41" t="s">
        <v>86</v>
      </c>
      <c r="I11" s="42">
        <v>1100000</v>
      </c>
      <c r="J11" s="42">
        <v>1800000</v>
      </c>
      <c r="K11" s="43" t="s">
        <v>70</v>
      </c>
      <c r="L11" s="9" t="s">
        <v>96</v>
      </c>
      <c r="M11" s="9" t="s">
        <v>88</v>
      </c>
      <c r="N11" s="9" t="s">
        <v>22</v>
      </c>
      <c r="O11" s="9" t="s">
        <v>10</v>
      </c>
      <c r="P11" s="9">
        <v>24</v>
      </c>
      <c r="Q11" s="9" t="s">
        <v>73</v>
      </c>
      <c r="R11" s="44">
        <v>0</v>
      </c>
      <c r="S11" s="31"/>
      <c r="T11" s="31"/>
      <c r="U11" s="31"/>
      <c r="V11" s="31"/>
      <c r="W11" s="31"/>
      <c r="X11" s="31"/>
      <c r="Y11" s="31"/>
      <c r="Z11" s="31"/>
    </row>
    <row r="12" spans="1:26" ht="23.25" customHeight="1" x14ac:dyDescent="0.3">
      <c r="A12" s="39">
        <v>11</v>
      </c>
      <c r="B12" s="40">
        <v>6</v>
      </c>
      <c r="C12" s="9">
        <f t="shared" si="0"/>
        <v>72</v>
      </c>
      <c r="D12" s="9" t="s">
        <v>74</v>
      </c>
      <c r="E12" s="9">
        <v>7</v>
      </c>
      <c r="F12" s="9">
        <f t="shared" si="1"/>
        <v>84</v>
      </c>
      <c r="G12" s="9">
        <v>1</v>
      </c>
      <c r="H12" s="41" t="s">
        <v>83</v>
      </c>
      <c r="I12" s="42">
        <v>1000000</v>
      </c>
      <c r="J12" s="42">
        <v>1100000</v>
      </c>
      <c r="K12" s="43" t="s">
        <v>97</v>
      </c>
      <c r="L12" s="9" t="s">
        <v>90</v>
      </c>
      <c r="M12" s="9" t="s">
        <v>88</v>
      </c>
      <c r="N12" s="9" t="s">
        <v>22</v>
      </c>
      <c r="O12" s="9" t="s">
        <v>10</v>
      </c>
      <c r="P12" s="9">
        <v>24</v>
      </c>
      <c r="Q12" s="9" t="s">
        <v>73</v>
      </c>
      <c r="R12" s="44">
        <v>1</v>
      </c>
      <c r="S12" s="31"/>
      <c r="T12" s="31"/>
      <c r="U12" s="31"/>
      <c r="V12" s="31"/>
      <c r="W12" s="31"/>
      <c r="X12" s="31"/>
      <c r="Y12" s="31"/>
      <c r="Z12" s="31"/>
    </row>
    <row r="13" spans="1:26" ht="23.25" customHeight="1" x14ac:dyDescent="0.3">
      <c r="A13" s="39">
        <v>12</v>
      </c>
      <c r="B13" s="40">
        <v>5</v>
      </c>
      <c r="C13" s="9">
        <f t="shared" si="0"/>
        <v>60</v>
      </c>
      <c r="D13" s="34" t="s">
        <v>68</v>
      </c>
      <c r="E13" s="9">
        <v>1</v>
      </c>
      <c r="F13" s="9">
        <f t="shared" si="1"/>
        <v>12</v>
      </c>
      <c r="G13" s="9">
        <v>1</v>
      </c>
      <c r="H13" s="35" t="s">
        <v>69</v>
      </c>
      <c r="I13" s="42">
        <v>800000</v>
      </c>
      <c r="J13" s="42">
        <v>900000</v>
      </c>
      <c r="K13" s="43" t="s">
        <v>84</v>
      </c>
      <c r="L13" s="9" t="s">
        <v>98</v>
      </c>
      <c r="M13" s="9" t="s">
        <v>22</v>
      </c>
      <c r="N13" s="9" t="s">
        <v>22</v>
      </c>
      <c r="O13" s="9" t="s">
        <v>10</v>
      </c>
      <c r="P13" s="9">
        <v>18</v>
      </c>
      <c r="Q13" s="9" t="s">
        <v>73</v>
      </c>
      <c r="R13" s="44">
        <v>0</v>
      </c>
      <c r="S13" s="31"/>
      <c r="T13" s="31"/>
      <c r="U13" s="31"/>
      <c r="V13" s="31"/>
      <c r="W13" s="31"/>
      <c r="X13" s="31"/>
      <c r="Y13" s="31"/>
      <c r="Z13" s="31"/>
    </row>
    <row r="14" spans="1:26" ht="23.25" customHeight="1" x14ac:dyDescent="0.3">
      <c r="A14" s="39">
        <v>13</v>
      </c>
      <c r="B14" s="40">
        <v>2</v>
      </c>
      <c r="C14" s="9">
        <f t="shared" si="0"/>
        <v>24</v>
      </c>
      <c r="D14" s="9" t="s">
        <v>99</v>
      </c>
      <c r="E14" s="9">
        <v>1</v>
      </c>
      <c r="F14" s="9">
        <f t="shared" si="1"/>
        <v>12</v>
      </c>
      <c r="G14" s="9">
        <v>1</v>
      </c>
      <c r="H14" s="35" t="s">
        <v>69</v>
      </c>
      <c r="I14" s="42">
        <v>250000</v>
      </c>
      <c r="J14" s="42">
        <v>200000</v>
      </c>
      <c r="K14" s="43" t="s">
        <v>84</v>
      </c>
      <c r="L14" s="9" t="s">
        <v>98</v>
      </c>
      <c r="M14" s="9" t="s">
        <v>22</v>
      </c>
      <c r="N14" s="9" t="s">
        <v>22</v>
      </c>
      <c r="O14" s="9" t="s">
        <v>10</v>
      </c>
      <c r="P14" s="9">
        <v>15</v>
      </c>
      <c r="Q14" s="9" t="s">
        <v>73</v>
      </c>
      <c r="R14" s="44">
        <v>0</v>
      </c>
      <c r="S14" s="31"/>
      <c r="T14" s="31"/>
      <c r="U14" s="31"/>
      <c r="V14" s="31"/>
      <c r="W14" s="31"/>
      <c r="X14" s="31"/>
      <c r="Y14" s="31"/>
      <c r="Z14" s="31"/>
    </row>
    <row r="15" spans="1:26" ht="23.25" customHeight="1" x14ac:dyDescent="0.3">
      <c r="A15" s="39">
        <v>14</v>
      </c>
      <c r="B15" s="40">
        <v>17</v>
      </c>
      <c r="C15" s="9">
        <f t="shared" si="0"/>
        <v>204</v>
      </c>
      <c r="D15" s="34" t="s">
        <v>68</v>
      </c>
      <c r="E15" s="9">
        <v>10</v>
      </c>
      <c r="F15" s="9">
        <f t="shared" si="1"/>
        <v>120</v>
      </c>
      <c r="G15" s="34">
        <v>0</v>
      </c>
      <c r="H15" s="41" t="s">
        <v>91</v>
      </c>
      <c r="I15" s="42">
        <v>2000000</v>
      </c>
      <c r="J15" s="42">
        <v>2500000</v>
      </c>
      <c r="K15" s="43" t="s">
        <v>97</v>
      </c>
      <c r="L15" s="9" t="s">
        <v>71</v>
      </c>
      <c r="M15" s="9" t="s">
        <v>88</v>
      </c>
      <c r="N15" s="9" t="s">
        <v>22</v>
      </c>
      <c r="O15" s="9" t="s">
        <v>10</v>
      </c>
      <c r="P15" s="9">
        <v>34</v>
      </c>
      <c r="Q15" s="9" t="s">
        <v>77</v>
      </c>
      <c r="R15" s="44">
        <v>2</v>
      </c>
      <c r="S15" s="31"/>
      <c r="T15" s="31"/>
      <c r="U15" s="31"/>
      <c r="V15" s="31"/>
      <c r="W15" s="31"/>
      <c r="X15" s="31"/>
      <c r="Y15" s="31"/>
      <c r="Z15" s="31"/>
    </row>
    <row r="16" spans="1:26" ht="23.25" customHeight="1" x14ac:dyDescent="0.3">
      <c r="A16" s="39">
        <v>15</v>
      </c>
      <c r="B16" s="40">
        <v>2</v>
      </c>
      <c r="C16" s="9">
        <f t="shared" si="0"/>
        <v>24</v>
      </c>
      <c r="D16" s="34" t="s">
        <v>68</v>
      </c>
      <c r="E16" s="9">
        <v>6</v>
      </c>
      <c r="F16" s="9">
        <f t="shared" si="1"/>
        <v>72</v>
      </c>
      <c r="G16" s="9">
        <v>1</v>
      </c>
      <c r="H16" s="35" t="s">
        <v>69</v>
      </c>
      <c r="I16" s="42">
        <v>300000</v>
      </c>
      <c r="J16" s="42">
        <v>450000</v>
      </c>
      <c r="K16" s="43" t="s">
        <v>84</v>
      </c>
      <c r="L16" s="9" t="s">
        <v>98</v>
      </c>
      <c r="M16" s="9" t="s">
        <v>22</v>
      </c>
      <c r="N16" s="9" t="s">
        <v>22</v>
      </c>
      <c r="O16" s="9" t="s">
        <v>10</v>
      </c>
      <c r="P16" s="9">
        <v>19</v>
      </c>
      <c r="Q16" s="9" t="s">
        <v>73</v>
      </c>
      <c r="R16" s="44">
        <v>1</v>
      </c>
      <c r="S16" s="31"/>
      <c r="T16" s="31"/>
      <c r="U16" s="31"/>
      <c r="V16" s="31"/>
      <c r="W16" s="31"/>
      <c r="X16" s="31"/>
      <c r="Y16" s="31"/>
      <c r="Z16" s="31"/>
    </row>
    <row r="17" spans="1:26" ht="23.25" customHeight="1" x14ac:dyDescent="0.3">
      <c r="A17" s="39">
        <v>16</v>
      </c>
      <c r="B17" s="40">
        <v>9</v>
      </c>
      <c r="C17" s="9">
        <f t="shared" si="0"/>
        <v>108</v>
      </c>
      <c r="D17" s="34" t="s">
        <v>68</v>
      </c>
      <c r="E17" s="9">
        <v>3</v>
      </c>
      <c r="F17" s="9">
        <f t="shared" si="1"/>
        <v>36</v>
      </c>
      <c r="G17" s="9">
        <v>1</v>
      </c>
      <c r="H17" s="41" t="s">
        <v>91</v>
      </c>
      <c r="I17" s="42">
        <v>1000000</v>
      </c>
      <c r="J17" s="42">
        <v>900000</v>
      </c>
      <c r="K17" s="43" t="s">
        <v>84</v>
      </c>
      <c r="L17" s="9" t="s">
        <v>98</v>
      </c>
      <c r="M17" s="9" t="s">
        <v>22</v>
      </c>
      <c r="N17" s="9" t="s">
        <v>22</v>
      </c>
      <c r="O17" s="9" t="s">
        <v>72</v>
      </c>
      <c r="P17" s="9">
        <v>29</v>
      </c>
      <c r="Q17" s="9" t="s">
        <v>73</v>
      </c>
      <c r="R17" s="44">
        <v>0</v>
      </c>
      <c r="S17" s="31"/>
      <c r="T17" s="31"/>
      <c r="U17" s="31"/>
      <c r="V17" s="31"/>
      <c r="W17" s="31"/>
      <c r="X17" s="31"/>
      <c r="Y17" s="31"/>
      <c r="Z17" s="31"/>
    </row>
    <row r="18" spans="1:26" ht="23.25" customHeight="1" x14ac:dyDescent="0.3">
      <c r="A18" s="39">
        <v>17</v>
      </c>
      <c r="B18" s="40">
        <v>2</v>
      </c>
      <c r="C18" s="9">
        <f t="shared" si="0"/>
        <v>24</v>
      </c>
      <c r="D18" s="34" t="s">
        <v>68</v>
      </c>
      <c r="E18" s="9">
        <v>2</v>
      </c>
      <c r="F18" s="9">
        <f t="shared" si="1"/>
        <v>24</v>
      </c>
      <c r="G18" s="9">
        <v>1</v>
      </c>
      <c r="H18" s="35" t="s">
        <v>69</v>
      </c>
      <c r="I18" s="42">
        <v>1000000</v>
      </c>
      <c r="J18" s="42">
        <v>900000</v>
      </c>
      <c r="K18" s="43" t="s">
        <v>100</v>
      </c>
      <c r="L18" s="9" t="s">
        <v>71</v>
      </c>
      <c r="M18" s="9" t="s">
        <v>88</v>
      </c>
      <c r="N18" s="9" t="s">
        <v>88</v>
      </c>
      <c r="O18" s="9" t="s">
        <v>10</v>
      </c>
      <c r="P18" s="9">
        <v>22</v>
      </c>
      <c r="Q18" s="9" t="s">
        <v>80</v>
      </c>
      <c r="R18" s="44">
        <v>1</v>
      </c>
      <c r="S18" s="31"/>
      <c r="T18" s="31"/>
      <c r="U18" s="31"/>
      <c r="V18" s="31"/>
      <c r="W18" s="31"/>
      <c r="X18" s="31"/>
      <c r="Y18" s="31"/>
      <c r="Z18" s="31"/>
    </row>
    <row r="19" spans="1:26" ht="23.25" customHeight="1" x14ac:dyDescent="0.3">
      <c r="A19" s="39">
        <v>18</v>
      </c>
      <c r="B19" s="40">
        <v>35</v>
      </c>
      <c r="C19" s="9">
        <f t="shared" si="0"/>
        <v>420</v>
      </c>
      <c r="D19" s="9" t="s">
        <v>74</v>
      </c>
      <c r="E19" s="9">
        <v>35</v>
      </c>
      <c r="F19" s="9">
        <f t="shared" si="1"/>
        <v>420</v>
      </c>
      <c r="G19" s="9">
        <v>1</v>
      </c>
      <c r="H19" s="41" t="s">
        <v>91</v>
      </c>
      <c r="I19" s="42">
        <v>900000</v>
      </c>
      <c r="J19" s="42">
        <v>1600000</v>
      </c>
      <c r="K19" s="43" t="s">
        <v>84</v>
      </c>
      <c r="L19" s="9" t="s">
        <v>98</v>
      </c>
      <c r="M19" s="9" t="s">
        <v>22</v>
      </c>
      <c r="N19" s="9" t="s">
        <v>22</v>
      </c>
      <c r="O19" s="9" t="s">
        <v>10</v>
      </c>
      <c r="P19" s="9">
        <v>55</v>
      </c>
      <c r="Q19" s="9" t="s">
        <v>73</v>
      </c>
      <c r="R19" s="44">
        <v>3</v>
      </c>
      <c r="S19" s="31"/>
      <c r="T19" s="31"/>
      <c r="U19" s="31"/>
      <c r="V19" s="31"/>
      <c r="W19" s="31"/>
      <c r="X19" s="31"/>
      <c r="Y19" s="31"/>
      <c r="Z19" s="31"/>
    </row>
    <row r="20" spans="1:26" ht="23.25" customHeight="1" x14ac:dyDescent="0.3">
      <c r="A20" s="39">
        <v>19</v>
      </c>
      <c r="B20" s="40">
        <v>2</v>
      </c>
      <c r="C20" s="9">
        <f t="shared" si="0"/>
        <v>24</v>
      </c>
      <c r="D20" s="9" t="s">
        <v>74</v>
      </c>
      <c r="E20" s="9">
        <f>1/12</f>
        <v>8.3333333333333329E-2</v>
      </c>
      <c r="F20" s="9">
        <v>1</v>
      </c>
      <c r="G20" s="9">
        <v>1</v>
      </c>
      <c r="H20" s="35" t="s">
        <v>69</v>
      </c>
      <c r="I20" s="42">
        <v>10000000</v>
      </c>
      <c r="J20" s="42">
        <v>1400000</v>
      </c>
      <c r="K20" s="43" t="s">
        <v>100</v>
      </c>
      <c r="L20" s="9" t="s">
        <v>101</v>
      </c>
      <c r="M20" s="9" t="s">
        <v>88</v>
      </c>
      <c r="N20" s="9" t="s">
        <v>22</v>
      </c>
      <c r="O20" s="9" t="s">
        <v>10</v>
      </c>
      <c r="P20" s="9">
        <v>26</v>
      </c>
      <c r="Q20" s="9" t="s">
        <v>73</v>
      </c>
      <c r="R20" s="44">
        <v>0</v>
      </c>
      <c r="S20" s="31"/>
      <c r="T20" s="31"/>
      <c r="U20" s="31"/>
      <c r="V20" s="31"/>
      <c r="W20" s="31"/>
      <c r="X20" s="31"/>
      <c r="Y20" s="31"/>
      <c r="Z20" s="31"/>
    </row>
    <row r="21" spans="1:26" ht="23.25" customHeight="1" x14ac:dyDescent="0.3">
      <c r="A21" s="39">
        <v>20</v>
      </c>
      <c r="B21" s="40">
        <v>4</v>
      </c>
      <c r="C21" s="9">
        <f t="shared" si="0"/>
        <v>48</v>
      </c>
      <c r="D21" s="9" t="s">
        <v>74</v>
      </c>
      <c r="E21" s="9">
        <v>3</v>
      </c>
      <c r="F21" s="9">
        <f t="shared" ref="F21:F31" si="2">E21*12</f>
        <v>36</v>
      </c>
      <c r="G21" s="9">
        <v>1</v>
      </c>
      <c r="H21" s="41" t="s">
        <v>83</v>
      </c>
      <c r="I21" s="42">
        <v>900000</v>
      </c>
      <c r="J21" s="42">
        <v>1200000</v>
      </c>
      <c r="K21" s="43" t="s">
        <v>84</v>
      </c>
      <c r="L21" s="9" t="s">
        <v>98</v>
      </c>
      <c r="M21" s="9" t="s">
        <v>22</v>
      </c>
      <c r="N21" s="9" t="s">
        <v>22</v>
      </c>
      <c r="O21" s="9" t="s">
        <v>10</v>
      </c>
      <c r="P21" s="9">
        <v>21</v>
      </c>
      <c r="Q21" s="9" t="s">
        <v>73</v>
      </c>
      <c r="R21" s="44">
        <v>0</v>
      </c>
      <c r="S21" s="31"/>
      <c r="T21" s="31"/>
      <c r="U21" s="31"/>
      <c r="V21" s="31"/>
      <c r="W21" s="31"/>
      <c r="X21" s="31"/>
      <c r="Y21" s="31"/>
      <c r="Z21" s="31"/>
    </row>
    <row r="22" spans="1:26" ht="23.25" customHeight="1" x14ac:dyDescent="0.3">
      <c r="A22" s="39">
        <v>21</v>
      </c>
      <c r="B22" s="40">
        <v>20</v>
      </c>
      <c r="C22" s="9">
        <f t="shared" si="0"/>
        <v>240</v>
      </c>
      <c r="D22" s="9" t="s">
        <v>102</v>
      </c>
      <c r="E22" s="9">
        <v>1</v>
      </c>
      <c r="F22" s="9">
        <f t="shared" si="2"/>
        <v>12</v>
      </c>
      <c r="G22" s="34">
        <v>0</v>
      </c>
      <c r="H22" s="41" t="s">
        <v>78</v>
      </c>
      <c r="I22" s="42">
        <v>2000000</v>
      </c>
      <c r="J22" s="42">
        <v>2500000</v>
      </c>
      <c r="K22" s="43" t="s">
        <v>97</v>
      </c>
      <c r="L22" s="43" t="s">
        <v>103</v>
      </c>
      <c r="M22" s="9" t="s">
        <v>88</v>
      </c>
      <c r="N22" s="9" t="s">
        <v>22</v>
      </c>
      <c r="O22" s="9" t="s">
        <v>72</v>
      </c>
      <c r="P22" s="9">
        <v>36</v>
      </c>
      <c r="Q22" s="9" t="s">
        <v>77</v>
      </c>
      <c r="R22" s="44">
        <v>2</v>
      </c>
      <c r="S22" s="31"/>
      <c r="T22" s="31"/>
      <c r="U22" s="31"/>
      <c r="V22" s="31"/>
      <c r="W22" s="31"/>
      <c r="X22" s="31"/>
      <c r="Y22" s="31"/>
      <c r="Z22" s="31"/>
    </row>
    <row r="23" spans="1:26" ht="23.25" customHeight="1" x14ac:dyDescent="0.3">
      <c r="A23" s="39">
        <v>22</v>
      </c>
      <c r="B23" s="40">
        <v>6</v>
      </c>
      <c r="C23" s="9">
        <f t="shared" si="0"/>
        <v>72</v>
      </c>
      <c r="D23" s="9" t="s">
        <v>104</v>
      </c>
      <c r="E23" s="9">
        <v>6</v>
      </c>
      <c r="F23" s="9">
        <f t="shared" si="2"/>
        <v>72</v>
      </c>
      <c r="G23" s="9">
        <v>1</v>
      </c>
      <c r="H23" s="41" t="s">
        <v>105</v>
      </c>
      <c r="I23" s="42">
        <v>600000</v>
      </c>
      <c r="J23" s="42">
        <v>1350000</v>
      </c>
      <c r="K23" s="43" t="s">
        <v>97</v>
      </c>
      <c r="L23" s="9" t="s">
        <v>71</v>
      </c>
      <c r="M23" s="9" t="s">
        <v>22</v>
      </c>
      <c r="N23" s="9" t="s">
        <v>22</v>
      </c>
      <c r="O23" s="9" t="s">
        <v>10</v>
      </c>
      <c r="P23" s="9">
        <v>30</v>
      </c>
      <c r="Q23" s="9" t="s">
        <v>73</v>
      </c>
      <c r="R23" s="44">
        <v>1</v>
      </c>
      <c r="S23" s="31"/>
      <c r="T23" s="31"/>
      <c r="U23" s="31"/>
      <c r="V23" s="31"/>
      <c r="W23" s="31"/>
      <c r="X23" s="31"/>
      <c r="Y23" s="31"/>
      <c r="Z23" s="31"/>
    </row>
    <row r="24" spans="1:26" ht="23.25" customHeight="1" x14ac:dyDescent="0.3">
      <c r="A24" s="39">
        <v>23</v>
      </c>
      <c r="B24" s="40">
        <v>2</v>
      </c>
      <c r="C24" s="9">
        <f t="shared" si="0"/>
        <v>24</v>
      </c>
      <c r="D24" s="34" t="s">
        <v>68</v>
      </c>
      <c r="E24" s="9">
        <v>2.5</v>
      </c>
      <c r="F24" s="9">
        <f t="shared" si="2"/>
        <v>30</v>
      </c>
      <c r="G24" s="9">
        <v>1</v>
      </c>
      <c r="H24" s="35" t="s">
        <v>69</v>
      </c>
      <c r="I24" s="42">
        <v>802000</v>
      </c>
      <c r="J24" s="42">
        <v>900000</v>
      </c>
      <c r="K24" s="43" t="s">
        <v>97</v>
      </c>
      <c r="L24" s="9" t="s">
        <v>106</v>
      </c>
      <c r="M24" s="9" t="s">
        <v>88</v>
      </c>
      <c r="N24" s="9" t="s">
        <v>22</v>
      </c>
      <c r="O24" s="9" t="s">
        <v>10</v>
      </c>
      <c r="P24" s="9">
        <v>20</v>
      </c>
      <c r="Q24" s="9" t="s">
        <v>73</v>
      </c>
      <c r="R24" s="44">
        <v>0</v>
      </c>
      <c r="S24" s="31"/>
      <c r="T24" s="31"/>
      <c r="U24" s="31"/>
      <c r="V24" s="31"/>
      <c r="W24" s="31"/>
      <c r="X24" s="31"/>
      <c r="Y24" s="31"/>
      <c r="Z24" s="31"/>
    </row>
    <row r="25" spans="1:26" ht="23.25" customHeight="1" x14ac:dyDescent="0.3">
      <c r="A25" s="39">
        <v>24</v>
      </c>
      <c r="B25" s="40">
        <v>5</v>
      </c>
      <c r="C25" s="9">
        <f t="shared" si="0"/>
        <v>60</v>
      </c>
      <c r="D25" s="9" t="s">
        <v>74</v>
      </c>
      <c r="E25" s="9">
        <v>5</v>
      </c>
      <c r="F25" s="9">
        <f t="shared" si="2"/>
        <v>60</v>
      </c>
      <c r="G25" s="9">
        <v>1</v>
      </c>
      <c r="H25" s="35" t="s">
        <v>69</v>
      </c>
      <c r="I25" s="42">
        <v>600000</v>
      </c>
      <c r="J25" s="42">
        <v>1000000</v>
      </c>
      <c r="K25" s="43" t="s">
        <v>100</v>
      </c>
      <c r="L25" s="9" t="s">
        <v>107</v>
      </c>
      <c r="M25" s="9" t="s">
        <v>88</v>
      </c>
      <c r="N25" s="9" t="s">
        <v>22</v>
      </c>
      <c r="O25" s="9" t="s">
        <v>10</v>
      </c>
      <c r="P25" s="9">
        <v>23</v>
      </c>
      <c r="Q25" s="9" t="s">
        <v>73</v>
      </c>
      <c r="R25" s="44">
        <v>1</v>
      </c>
      <c r="S25" s="31"/>
      <c r="T25" s="31"/>
      <c r="U25" s="31"/>
      <c r="V25" s="31"/>
      <c r="W25" s="31"/>
      <c r="X25" s="31"/>
      <c r="Y25" s="31"/>
      <c r="Z25" s="31"/>
    </row>
    <row r="26" spans="1:26" ht="23.25" customHeight="1" x14ac:dyDescent="0.3">
      <c r="A26" s="39">
        <v>25</v>
      </c>
      <c r="B26" s="40">
        <v>6</v>
      </c>
      <c r="C26" s="9">
        <f t="shared" si="0"/>
        <v>72</v>
      </c>
      <c r="D26" s="9" t="s">
        <v>74</v>
      </c>
      <c r="E26" s="9">
        <v>6</v>
      </c>
      <c r="F26" s="9">
        <f t="shared" si="2"/>
        <v>72</v>
      </c>
      <c r="G26" s="9">
        <v>1</v>
      </c>
      <c r="H26" s="35" t="s">
        <v>69</v>
      </c>
      <c r="I26" s="42">
        <v>1000000</v>
      </c>
      <c r="J26" s="42">
        <v>1200000</v>
      </c>
      <c r="K26" s="43" t="s">
        <v>84</v>
      </c>
      <c r="L26" s="9" t="s">
        <v>98</v>
      </c>
      <c r="M26" s="9" t="s">
        <v>22</v>
      </c>
      <c r="N26" s="9" t="s">
        <v>22</v>
      </c>
      <c r="O26" s="9" t="s">
        <v>10</v>
      </c>
      <c r="P26" s="9">
        <v>26</v>
      </c>
      <c r="Q26" s="9" t="s">
        <v>73</v>
      </c>
      <c r="R26" s="44">
        <v>0</v>
      </c>
      <c r="S26" s="31"/>
      <c r="T26" s="31"/>
      <c r="U26" s="31"/>
      <c r="V26" s="31"/>
      <c r="W26" s="31"/>
      <c r="X26" s="31"/>
      <c r="Y26" s="31"/>
      <c r="Z26" s="31"/>
    </row>
    <row r="27" spans="1:26" ht="23.25" customHeight="1" x14ac:dyDescent="0.3">
      <c r="A27" s="39">
        <v>26</v>
      </c>
      <c r="B27" s="40">
        <v>1</v>
      </c>
      <c r="C27" s="9">
        <f t="shared" si="0"/>
        <v>12</v>
      </c>
      <c r="D27" s="9" t="s">
        <v>102</v>
      </c>
      <c r="E27" s="9">
        <v>1</v>
      </c>
      <c r="F27" s="9">
        <f t="shared" si="2"/>
        <v>12</v>
      </c>
      <c r="G27" s="34">
        <v>0</v>
      </c>
      <c r="H27" s="41" t="s">
        <v>91</v>
      </c>
      <c r="I27" s="42">
        <v>600000</v>
      </c>
      <c r="J27" s="42">
        <v>850000</v>
      </c>
      <c r="K27" s="43" t="s">
        <v>97</v>
      </c>
      <c r="L27" s="9" t="s">
        <v>101</v>
      </c>
      <c r="M27" s="9" t="s">
        <v>22</v>
      </c>
      <c r="N27" s="9" t="s">
        <v>22</v>
      </c>
      <c r="O27" s="9" t="s">
        <v>10</v>
      </c>
      <c r="P27" s="9">
        <v>19</v>
      </c>
      <c r="Q27" s="9" t="s">
        <v>73</v>
      </c>
      <c r="R27" s="44">
        <v>0</v>
      </c>
      <c r="S27" s="31"/>
      <c r="T27" s="31"/>
      <c r="U27" s="31"/>
      <c r="V27" s="31"/>
      <c r="W27" s="31"/>
      <c r="X27" s="31"/>
      <c r="Y27" s="31"/>
      <c r="Z27" s="31"/>
    </row>
    <row r="28" spans="1:26" ht="23.25" customHeight="1" x14ac:dyDescent="0.3">
      <c r="A28" s="39">
        <v>27</v>
      </c>
      <c r="B28" s="40">
        <v>8</v>
      </c>
      <c r="C28" s="9">
        <f t="shared" si="0"/>
        <v>96</v>
      </c>
      <c r="D28" s="34" t="s">
        <v>68</v>
      </c>
      <c r="E28" s="9">
        <v>5</v>
      </c>
      <c r="F28" s="9">
        <f t="shared" si="2"/>
        <v>60</v>
      </c>
      <c r="G28" s="34">
        <v>0</v>
      </c>
      <c r="H28" s="41" t="s">
        <v>89</v>
      </c>
      <c r="I28" s="42">
        <v>1200000</v>
      </c>
      <c r="J28" s="42">
        <v>1200000</v>
      </c>
      <c r="K28" s="43" t="s">
        <v>97</v>
      </c>
      <c r="L28" s="9" t="s">
        <v>108</v>
      </c>
      <c r="M28" s="9" t="s">
        <v>88</v>
      </c>
      <c r="N28" s="9" t="s">
        <v>22</v>
      </c>
      <c r="O28" s="9" t="s">
        <v>10</v>
      </c>
      <c r="P28" s="9">
        <v>26</v>
      </c>
      <c r="Q28" s="9" t="s">
        <v>73</v>
      </c>
      <c r="R28" s="44">
        <v>1</v>
      </c>
      <c r="S28" s="31"/>
      <c r="T28" s="31"/>
      <c r="U28" s="31"/>
      <c r="V28" s="31"/>
      <c r="W28" s="31"/>
      <c r="X28" s="31"/>
      <c r="Y28" s="31"/>
      <c r="Z28" s="31"/>
    </row>
    <row r="29" spans="1:26" ht="23.25" customHeight="1" x14ac:dyDescent="0.3">
      <c r="A29" s="39">
        <v>28</v>
      </c>
      <c r="B29" s="40">
        <v>6</v>
      </c>
      <c r="C29" s="9">
        <f t="shared" si="0"/>
        <v>72</v>
      </c>
      <c r="D29" s="9" t="s">
        <v>74</v>
      </c>
      <c r="E29" s="9">
        <v>2</v>
      </c>
      <c r="F29" s="9">
        <f t="shared" si="2"/>
        <v>24</v>
      </c>
      <c r="G29" s="9">
        <v>1</v>
      </c>
      <c r="H29" s="41" t="s">
        <v>89</v>
      </c>
      <c r="I29" s="42">
        <v>1000000</v>
      </c>
      <c r="J29" s="42">
        <v>1000000</v>
      </c>
      <c r="K29" s="43" t="s">
        <v>70</v>
      </c>
      <c r="L29" s="9" t="s">
        <v>71</v>
      </c>
      <c r="M29" s="9" t="s">
        <v>88</v>
      </c>
      <c r="N29" s="9" t="s">
        <v>22</v>
      </c>
      <c r="O29" s="9" t="s">
        <v>10</v>
      </c>
      <c r="P29" s="9">
        <v>24</v>
      </c>
      <c r="Q29" s="9" t="s">
        <v>73</v>
      </c>
      <c r="R29" s="44">
        <v>0</v>
      </c>
      <c r="S29" s="31"/>
      <c r="T29" s="31"/>
      <c r="U29" s="31"/>
      <c r="V29" s="31"/>
      <c r="W29" s="31"/>
      <c r="X29" s="31"/>
      <c r="Y29" s="31"/>
      <c r="Z29" s="31"/>
    </row>
    <row r="30" spans="1:26" ht="23.25" customHeight="1" x14ac:dyDescent="0.3">
      <c r="A30" s="39">
        <v>29</v>
      </c>
      <c r="B30" s="40">
        <v>12</v>
      </c>
      <c r="C30" s="9">
        <f t="shared" si="0"/>
        <v>144</v>
      </c>
      <c r="D30" s="9" t="s">
        <v>74</v>
      </c>
      <c r="E30" s="9">
        <v>6</v>
      </c>
      <c r="F30" s="9">
        <f t="shared" si="2"/>
        <v>72</v>
      </c>
      <c r="G30" s="9">
        <v>1</v>
      </c>
      <c r="H30" s="41" t="s">
        <v>109</v>
      </c>
      <c r="I30" s="42">
        <v>2500000</v>
      </c>
      <c r="J30" s="42">
        <v>3500000</v>
      </c>
      <c r="K30" s="43" t="s">
        <v>92</v>
      </c>
      <c r="L30" s="9" t="s">
        <v>109</v>
      </c>
      <c r="M30" s="9" t="s">
        <v>88</v>
      </c>
      <c r="N30" s="9" t="s">
        <v>22</v>
      </c>
      <c r="O30" s="9" t="s">
        <v>72</v>
      </c>
      <c r="P30" s="9">
        <v>37</v>
      </c>
      <c r="Q30" s="9" t="s">
        <v>73</v>
      </c>
      <c r="R30" s="44">
        <v>2</v>
      </c>
      <c r="S30" s="31"/>
      <c r="T30" s="31"/>
      <c r="U30" s="31"/>
      <c r="V30" s="31"/>
      <c r="W30" s="31"/>
      <c r="X30" s="31"/>
      <c r="Y30" s="31"/>
      <c r="Z30" s="31"/>
    </row>
    <row r="31" spans="1:26" ht="23.25" customHeight="1" x14ac:dyDescent="0.3">
      <c r="A31" s="39">
        <v>30</v>
      </c>
      <c r="B31" s="40">
        <v>10</v>
      </c>
      <c r="C31" s="9">
        <f t="shared" si="0"/>
        <v>120</v>
      </c>
      <c r="D31" s="9" t="s">
        <v>104</v>
      </c>
      <c r="E31" s="9">
        <v>10</v>
      </c>
      <c r="F31" s="9">
        <f t="shared" si="2"/>
        <v>120</v>
      </c>
      <c r="G31" s="34">
        <v>0</v>
      </c>
      <c r="H31" s="41" t="s">
        <v>105</v>
      </c>
      <c r="I31" s="42">
        <v>1200000</v>
      </c>
      <c r="J31" s="42">
        <v>3500000</v>
      </c>
      <c r="K31" s="43" t="s">
        <v>97</v>
      </c>
      <c r="L31" s="9" t="s">
        <v>110</v>
      </c>
      <c r="M31" s="9" t="s">
        <v>88</v>
      </c>
      <c r="N31" s="9" t="s">
        <v>22</v>
      </c>
      <c r="O31" s="9" t="s">
        <v>72</v>
      </c>
      <c r="P31" s="9">
        <v>30</v>
      </c>
      <c r="Q31" s="9" t="s">
        <v>80</v>
      </c>
      <c r="R31" s="44">
        <v>1</v>
      </c>
      <c r="S31" s="31"/>
      <c r="T31" s="31"/>
      <c r="U31" s="31"/>
      <c r="V31" s="31"/>
      <c r="W31" s="31"/>
      <c r="X31" s="31"/>
      <c r="Y31" s="31"/>
      <c r="Z31" s="31"/>
    </row>
    <row r="32" spans="1:26" ht="23.25" customHeight="1" x14ac:dyDescent="0.3">
      <c r="A32" s="39">
        <v>31</v>
      </c>
      <c r="B32" s="40">
        <v>2</v>
      </c>
      <c r="C32" s="9">
        <f t="shared" si="0"/>
        <v>24</v>
      </c>
      <c r="D32" s="9" t="s">
        <v>74</v>
      </c>
      <c r="E32" s="9">
        <f>F32/12</f>
        <v>8.3333333333333329E-2</v>
      </c>
      <c r="F32" s="9">
        <v>1</v>
      </c>
      <c r="G32" s="9">
        <v>1</v>
      </c>
      <c r="H32" s="41" t="s">
        <v>86</v>
      </c>
      <c r="I32" s="42">
        <v>2000000</v>
      </c>
      <c r="J32" s="42">
        <v>2000000</v>
      </c>
      <c r="K32" s="43" t="s">
        <v>84</v>
      </c>
      <c r="L32" s="9" t="s">
        <v>98</v>
      </c>
      <c r="M32" s="9" t="s">
        <v>22</v>
      </c>
      <c r="N32" s="9" t="s">
        <v>22</v>
      </c>
      <c r="O32" s="9" t="s">
        <v>10</v>
      </c>
      <c r="P32" s="9">
        <v>18</v>
      </c>
      <c r="Q32" s="9" t="s">
        <v>73</v>
      </c>
      <c r="R32" s="44">
        <v>0</v>
      </c>
      <c r="S32" s="31"/>
      <c r="T32" s="31"/>
      <c r="U32" s="31"/>
      <c r="V32" s="31"/>
      <c r="W32" s="31"/>
      <c r="X32" s="31"/>
      <c r="Y32" s="31"/>
      <c r="Z32" s="31"/>
    </row>
    <row r="33" spans="1:26" ht="23.25" customHeight="1" x14ac:dyDescent="0.3">
      <c r="A33" s="39">
        <v>32</v>
      </c>
      <c r="B33" s="40">
        <v>5</v>
      </c>
      <c r="C33" s="9">
        <f t="shared" si="0"/>
        <v>60</v>
      </c>
      <c r="D33" s="9" t="s">
        <v>99</v>
      </c>
      <c r="E33" s="9">
        <v>5</v>
      </c>
      <c r="F33" s="9">
        <f t="shared" ref="F33:F36" si="3">E33*12</f>
        <v>60</v>
      </c>
      <c r="G33" s="9">
        <v>1</v>
      </c>
      <c r="H33" s="41" t="s">
        <v>89</v>
      </c>
      <c r="I33" s="42">
        <v>20000000</v>
      </c>
      <c r="J33" s="42">
        <v>20000000</v>
      </c>
      <c r="K33" s="43" t="s">
        <v>84</v>
      </c>
      <c r="L33" s="9" t="s">
        <v>98</v>
      </c>
      <c r="M33" s="9" t="s">
        <v>22</v>
      </c>
      <c r="N33" s="9" t="s">
        <v>22</v>
      </c>
      <c r="O33" s="9" t="s">
        <v>72</v>
      </c>
      <c r="P33" s="9">
        <v>28</v>
      </c>
      <c r="Q33" s="9" t="s">
        <v>80</v>
      </c>
      <c r="R33" s="44">
        <v>2</v>
      </c>
      <c r="S33" s="31"/>
      <c r="T33" s="31"/>
      <c r="U33" s="31"/>
      <c r="V33" s="31"/>
      <c r="W33" s="31"/>
      <c r="X33" s="31"/>
      <c r="Y33" s="31"/>
      <c r="Z33" s="31"/>
    </row>
    <row r="34" spans="1:26" ht="23.25" customHeight="1" x14ac:dyDescent="0.3">
      <c r="A34" s="39">
        <v>33</v>
      </c>
      <c r="B34" s="40">
        <v>3</v>
      </c>
      <c r="C34" s="9">
        <f t="shared" si="0"/>
        <v>36</v>
      </c>
      <c r="D34" s="9" t="s">
        <v>111</v>
      </c>
      <c r="E34" s="9">
        <v>2</v>
      </c>
      <c r="F34" s="9">
        <f t="shared" si="3"/>
        <v>24</v>
      </c>
      <c r="G34" s="9">
        <v>1</v>
      </c>
      <c r="H34" s="41" t="s">
        <v>83</v>
      </c>
      <c r="I34" s="42">
        <v>800000</v>
      </c>
      <c r="J34" s="42">
        <v>1500000</v>
      </c>
      <c r="K34" s="43" t="s">
        <v>97</v>
      </c>
      <c r="L34" s="9" t="s">
        <v>112</v>
      </c>
      <c r="M34" s="9" t="s">
        <v>22</v>
      </c>
      <c r="N34" s="9" t="s">
        <v>22</v>
      </c>
      <c r="O34" s="9" t="s">
        <v>10</v>
      </c>
      <c r="P34" s="9">
        <v>31</v>
      </c>
      <c r="Q34" s="9" t="s">
        <v>77</v>
      </c>
      <c r="R34" s="44">
        <v>3</v>
      </c>
      <c r="S34" s="31"/>
      <c r="T34" s="31"/>
      <c r="U34" s="31"/>
      <c r="V34" s="31"/>
      <c r="W34" s="31"/>
      <c r="X34" s="31"/>
      <c r="Y34" s="31"/>
      <c r="Z34" s="31"/>
    </row>
    <row r="35" spans="1:26" ht="23.25" customHeight="1" x14ac:dyDescent="0.3">
      <c r="A35" s="39">
        <v>34</v>
      </c>
      <c r="B35" s="40">
        <v>6</v>
      </c>
      <c r="C35" s="9">
        <f t="shared" si="0"/>
        <v>72</v>
      </c>
      <c r="D35" s="34" t="s">
        <v>68</v>
      </c>
      <c r="E35" s="9">
        <v>4</v>
      </c>
      <c r="F35" s="9">
        <f t="shared" si="3"/>
        <v>48</v>
      </c>
      <c r="G35" s="34">
        <v>0</v>
      </c>
      <c r="H35" s="41" t="s">
        <v>91</v>
      </c>
      <c r="I35" s="42">
        <v>600000</v>
      </c>
      <c r="J35" s="42">
        <v>1100000</v>
      </c>
      <c r="K35" s="43" t="s">
        <v>84</v>
      </c>
      <c r="L35" s="9" t="s">
        <v>98</v>
      </c>
      <c r="M35" s="9" t="s">
        <v>22</v>
      </c>
      <c r="N35" s="9" t="s">
        <v>22</v>
      </c>
      <c r="O35" s="9" t="s">
        <v>72</v>
      </c>
      <c r="P35" s="9">
        <v>24</v>
      </c>
      <c r="Q35" s="9" t="s">
        <v>73</v>
      </c>
      <c r="R35" s="44">
        <v>0</v>
      </c>
      <c r="S35" s="31"/>
      <c r="T35" s="31"/>
      <c r="U35" s="31"/>
      <c r="V35" s="31"/>
      <c r="W35" s="31"/>
      <c r="X35" s="31"/>
      <c r="Y35" s="31"/>
      <c r="Z35" s="31"/>
    </row>
    <row r="36" spans="1:26" ht="23.25" customHeight="1" x14ac:dyDescent="0.3">
      <c r="A36" s="39">
        <v>35</v>
      </c>
      <c r="B36" s="40">
        <v>8</v>
      </c>
      <c r="C36" s="9">
        <f t="shared" si="0"/>
        <v>96</v>
      </c>
      <c r="D36" s="9" t="s">
        <v>104</v>
      </c>
      <c r="E36" s="9">
        <v>8.5</v>
      </c>
      <c r="F36" s="9">
        <f t="shared" si="3"/>
        <v>102</v>
      </c>
      <c r="G36" s="9">
        <v>1</v>
      </c>
      <c r="H36" s="41" t="s">
        <v>105</v>
      </c>
      <c r="I36" s="42">
        <v>500000</v>
      </c>
      <c r="J36" s="42">
        <v>1500000</v>
      </c>
      <c r="K36" s="43" t="s">
        <v>97</v>
      </c>
      <c r="L36" s="9" t="s">
        <v>113</v>
      </c>
      <c r="M36" s="9" t="s">
        <v>22</v>
      </c>
      <c r="N36" s="9" t="s">
        <v>22</v>
      </c>
      <c r="O36" s="9" t="s">
        <v>10</v>
      </c>
      <c r="P36" s="9">
        <v>32</v>
      </c>
      <c r="Q36" s="9" t="s">
        <v>80</v>
      </c>
      <c r="R36" s="44">
        <v>1</v>
      </c>
      <c r="S36" s="31"/>
      <c r="T36" s="31"/>
      <c r="U36" s="31"/>
      <c r="V36" s="31"/>
      <c r="W36" s="31"/>
      <c r="X36" s="31"/>
      <c r="Y36" s="31"/>
      <c r="Z36" s="31"/>
    </row>
    <row r="37" spans="1:26" ht="23.25" customHeight="1" x14ac:dyDescent="0.3">
      <c r="A37" s="39">
        <v>36</v>
      </c>
      <c r="B37" s="40">
        <v>2.5</v>
      </c>
      <c r="C37" s="9">
        <f t="shared" si="0"/>
        <v>30</v>
      </c>
      <c r="D37" s="9" t="s">
        <v>102</v>
      </c>
      <c r="E37" s="9"/>
      <c r="F37" s="9">
        <v>16</v>
      </c>
      <c r="G37" s="9">
        <v>1</v>
      </c>
      <c r="H37" s="41" t="s">
        <v>109</v>
      </c>
      <c r="I37" s="42">
        <v>2000000</v>
      </c>
      <c r="J37" s="42">
        <v>2700000</v>
      </c>
      <c r="K37" s="43" t="s">
        <v>70</v>
      </c>
      <c r="L37" s="9" t="s">
        <v>76</v>
      </c>
      <c r="M37" s="9" t="s">
        <v>88</v>
      </c>
      <c r="N37" s="9" t="s">
        <v>22</v>
      </c>
      <c r="O37" s="9" t="s">
        <v>72</v>
      </c>
      <c r="P37" s="9">
        <v>27</v>
      </c>
      <c r="Q37" s="9" t="s">
        <v>77</v>
      </c>
      <c r="R37" s="44">
        <v>0</v>
      </c>
      <c r="S37" s="31"/>
      <c r="T37" s="31"/>
      <c r="U37" s="31"/>
      <c r="V37" s="31"/>
      <c r="W37" s="31"/>
      <c r="X37" s="31"/>
      <c r="Y37" s="31"/>
      <c r="Z37" s="31"/>
    </row>
    <row r="38" spans="1:26" ht="23.25" customHeight="1" x14ac:dyDescent="0.3">
      <c r="A38" s="39">
        <v>37</v>
      </c>
      <c r="B38" s="40">
        <v>20</v>
      </c>
      <c r="C38" s="9">
        <f t="shared" si="0"/>
        <v>240</v>
      </c>
      <c r="D38" s="9" t="s">
        <v>99</v>
      </c>
      <c r="E38" s="9">
        <v>10</v>
      </c>
      <c r="F38" s="9">
        <f>E38*12</f>
        <v>120</v>
      </c>
      <c r="G38" s="9">
        <v>1</v>
      </c>
      <c r="H38" s="41" t="s">
        <v>89</v>
      </c>
      <c r="I38" s="42">
        <v>2000000</v>
      </c>
      <c r="J38" s="42">
        <v>4000000</v>
      </c>
      <c r="K38" s="43" t="s">
        <v>84</v>
      </c>
      <c r="L38" s="9" t="s">
        <v>98</v>
      </c>
      <c r="M38" s="9" t="s">
        <v>22</v>
      </c>
      <c r="N38" s="9" t="s">
        <v>22</v>
      </c>
      <c r="O38" s="9" t="s">
        <v>72</v>
      </c>
      <c r="P38" s="9">
        <v>43</v>
      </c>
      <c r="Q38" s="9" t="s">
        <v>77</v>
      </c>
      <c r="R38" s="44">
        <v>1</v>
      </c>
      <c r="S38" s="31"/>
      <c r="T38" s="31"/>
      <c r="U38" s="31"/>
      <c r="V38" s="31"/>
      <c r="W38" s="31"/>
      <c r="X38" s="31"/>
      <c r="Y38" s="31"/>
      <c r="Z38" s="31"/>
    </row>
    <row r="39" spans="1:26" ht="23.25" customHeight="1" x14ac:dyDescent="0.3">
      <c r="A39" s="39">
        <v>38</v>
      </c>
      <c r="B39" s="40">
        <v>5</v>
      </c>
      <c r="C39" s="9">
        <f t="shared" si="0"/>
        <v>60</v>
      </c>
      <c r="D39" s="9" t="s">
        <v>102</v>
      </c>
      <c r="E39" s="9">
        <f>F39/12</f>
        <v>0.58333333333333337</v>
      </c>
      <c r="F39" s="9">
        <v>7</v>
      </c>
      <c r="G39" s="9">
        <v>1</v>
      </c>
      <c r="H39" s="41" t="s">
        <v>83</v>
      </c>
      <c r="I39" s="42">
        <v>1300000</v>
      </c>
      <c r="J39" s="42">
        <v>1183000</v>
      </c>
      <c r="K39" s="43" t="s">
        <v>84</v>
      </c>
      <c r="L39" s="9" t="s">
        <v>98</v>
      </c>
      <c r="M39" s="9" t="s">
        <v>22</v>
      </c>
      <c r="N39" s="9" t="s">
        <v>22</v>
      </c>
      <c r="O39" s="9" t="s">
        <v>72</v>
      </c>
      <c r="P39" s="9">
        <v>24</v>
      </c>
      <c r="Q39" s="9" t="s">
        <v>73</v>
      </c>
      <c r="R39" s="44">
        <v>1</v>
      </c>
      <c r="S39" s="31"/>
      <c r="T39" s="31"/>
      <c r="U39" s="31"/>
      <c r="V39" s="31"/>
      <c r="W39" s="31"/>
      <c r="X39" s="31"/>
      <c r="Y39" s="31"/>
      <c r="Z39" s="31"/>
    </row>
    <row r="40" spans="1:26" ht="23.25" customHeight="1" x14ac:dyDescent="0.3">
      <c r="A40" s="39">
        <v>39</v>
      </c>
      <c r="B40" s="40">
        <v>32</v>
      </c>
      <c r="C40" s="9">
        <f t="shared" si="0"/>
        <v>384</v>
      </c>
      <c r="D40" s="9" t="s">
        <v>99</v>
      </c>
      <c r="E40" s="9">
        <v>32</v>
      </c>
      <c r="F40" s="9">
        <f t="shared" ref="F40:F52" si="4">E40*12</f>
        <v>384</v>
      </c>
      <c r="G40" s="34">
        <v>0</v>
      </c>
      <c r="H40" s="41" t="s">
        <v>91</v>
      </c>
      <c r="I40" s="42">
        <v>1000000</v>
      </c>
      <c r="J40" s="42">
        <v>3000000</v>
      </c>
      <c r="K40" s="43" t="s">
        <v>114</v>
      </c>
      <c r="L40" s="9" t="s">
        <v>98</v>
      </c>
      <c r="M40" s="9" t="s">
        <v>88</v>
      </c>
      <c r="N40" s="9" t="s">
        <v>22</v>
      </c>
      <c r="O40" s="9" t="s">
        <v>72</v>
      </c>
      <c r="P40" s="9">
        <v>52</v>
      </c>
      <c r="Q40" s="9" t="s">
        <v>73</v>
      </c>
      <c r="R40" s="44">
        <v>0</v>
      </c>
      <c r="S40" s="31"/>
      <c r="T40" s="31"/>
      <c r="U40" s="31"/>
      <c r="V40" s="31"/>
      <c r="W40" s="31"/>
      <c r="X40" s="31"/>
      <c r="Y40" s="31"/>
      <c r="Z40" s="31"/>
    </row>
    <row r="41" spans="1:26" ht="23.25" customHeight="1" x14ac:dyDescent="0.3">
      <c r="A41" s="39">
        <v>40</v>
      </c>
      <c r="B41" s="40">
        <v>2</v>
      </c>
      <c r="C41" s="9">
        <f t="shared" si="0"/>
        <v>24</v>
      </c>
      <c r="D41" s="9" t="s">
        <v>115</v>
      </c>
      <c r="E41" s="9">
        <v>2</v>
      </c>
      <c r="F41" s="9">
        <f t="shared" si="4"/>
        <v>24</v>
      </c>
      <c r="G41" s="9">
        <v>1</v>
      </c>
      <c r="H41" s="41" t="s">
        <v>116</v>
      </c>
      <c r="I41" s="42">
        <v>1014980</v>
      </c>
      <c r="J41" s="42">
        <f>I41</f>
        <v>1014980</v>
      </c>
      <c r="K41" s="43" t="s">
        <v>114</v>
      </c>
      <c r="L41" s="9" t="s">
        <v>98</v>
      </c>
      <c r="M41" s="9" t="s">
        <v>88</v>
      </c>
      <c r="N41" s="9" t="s">
        <v>22</v>
      </c>
      <c r="O41" s="9" t="s">
        <v>10</v>
      </c>
      <c r="P41" s="9">
        <v>24</v>
      </c>
      <c r="Q41" s="9" t="s">
        <v>80</v>
      </c>
      <c r="R41" s="44">
        <v>1</v>
      </c>
      <c r="S41" s="31"/>
      <c r="T41" s="31"/>
      <c r="U41" s="31"/>
      <c r="V41" s="31"/>
      <c r="W41" s="31"/>
      <c r="X41" s="31"/>
      <c r="Y41" s="31"/>
      <c r="Z41" s="31"/>
    </row>
    <row r="42" spans="1:26" ht="23.25" customHeight="1" x14ac:dyDescent="0.3">
      <c r="A42" s="39">
        <v>41</v>
      </c>
      <c r="B42" s="40">
        <v>5</v>
      </c>
      <c r="C42" s="9">
        <f t="shared" si="0"/>
        <v>60</v>
      </c>
      <c r="D42" s="9" t="s">
        <v>99</v>
      </c>
      <c r="E42" s="9">
        <v>5.5</v>
      </c>
      <c r="F42" s="9">
        <f t="shared" si="4"/>
        <v>66</v>
      </c>
      <c r="G42" s="9">
        <v>1</v>
      </c>
      <c r="H42" s="41" t="s">
        <v>86</v>
      </c>
      <c r="I42" s="42">
        <v>4000000</v>
      </c>
      <c r="J42" s="42">
        <v>4500000</v>
      </c>
      <c r="K42" s="43" t="s">
        <v>70</v>
      </c>
      <c r="L42" s="9" t="s">
        <v>82</v>
      </c>
      <c r="M42" s="9" t="s">
        <v>88</v>
      </c>
      <c r="N42" s="9" t="s">
        <v>22</v>
      </c>
      <c r="O42" s="9" t="s">
        <v>72</v>
      </c>
      <c r="P42" s="9">
        <v>31</v>
      </c>
      <c r="Q42" s="9" t="s">
        <v>73</v>
      </c>
      <c r="R42" s="44">
        <v>1</v>
      </c>
      <c r="S42" s="31"/>
      <c r="T42" s="31"/>
      <c r="U42" s="31"/>
      <c r="V42" s="31"/>
      <c r="W42" s="31"/>
      <c r="X42" s="31"/>
      <c r="Y42" s="31"/>
      <c r="Z42" s="31"/>
    </row>
    <row r="43" spans="1:26" ht="23.25" customHeight="1" x14ac:dyDescent="0.3">
      <c r="A43" s="39">
        <v>42</v>
      </c>
      <c r="B43" s="40">
        <v>6</v>
      </c>
      <c r="C43" s="9">
        <f t="shared" si="0"/>
        <v>72</v>
      </c>
      <c r="D43" s="9" t="s">
        <v>102</v>
      </c>
      <c r="E43" s="9">
        <v>4</v>
      </c>
      <c r="F43" s="9">
        <f t="shared" si="4"/>
        <v>48</v>
      </c>
      <c r="G43" s="9">
        <v>1</v>
      </c>
      <c r="H43" s="35" t="s">
        <v>69</v>
      </c>
      <c r="I43" s="42">
        <v>1000000</v>
      </c>
      <c r="J43" s="42">
        <v>1500000</v>
      </c>
      <c r="K43" s="43" t="s">
        <v>97</v>
      </c>
      <c r="L43" s="9" t="s">
        <v>107</v>
      </c>
      <c r="M43" s="9" t="s">
        <v>22</v>
      </c>
      <c r="N43" s="9" t="s">
        <v>22</v>
      </c>
      <c r="O43" s="9" t="s">
        <v>10</v>
      </c>
      <c r="P43" s="9">
        <v>26</v>
      </c>
      <c r="Q43" s="9" t="s">
        <v>73</v>
      </c>
      <c r="R43" s="44">
        <v>1</v>
      </c>
      <c r="S43" s="31"/>
      <c r="T43" s="31"/>
      <c r="U43" s="31"/>
      <c r="V43" s="31"/>
      <c r="W43" s="31"/>
      <c r="X43" s="31"/>
      <c r="Y43" s="31"/>
      <c r="Z43" s="31"/>
    </row>
    <row r="44" spans="1:26" ht="23.25" customHeight="1" x14ac:dyDescent="0.3">
      <c r="A44" s="39">
        <v>43</v>
      </c>
      <c r="B44" s="40">
        <v>5</v>
      </c>
      <c r="C44" s="9">
        <f t="shared" si="0"/>
        <v>60</v>
      </c>
      <c r="D44" s="9" t="s">
        <v>95</v>
      </c>
      <c r="E44" s="9">
        <v>5</v>
      </c>
      <c r="F44" s="9">
        <f t="shared" si="4"/>
        <v>60</v>
      </c>
      <c r="G44" s="9">
        <v>1</v>
      </c>
      <c r="H44" s="41" t="s">
        <v>83</v>
      </c>
      <c r="I44" s="42">
        <v>800000</v>
      </c>
      <c r="J44" s="42">
        <v>1500000</v>
      </c>
      <c r="K44" s="43" t="s">
        <v>70</v>
      </c>
      <c r="L44" s="9" t="s">
        <v>90</v>
      </c>
      <c r="M44" s="9" t="s">
        <v>22</v>
      </c>
      <c r="N44" s="9" t="s">
        <v>22</v>
      </c>
      <c r="O44" s="9" t="s">
        <v>10</v>
      </c>
      <c r="P44" s="9">
        <v>46</v>
      </c>
      <c r="Q44" s="9" t="s">
        <v>80</v>
      </c>
      <c r="R44" s="44">
        <v>2</v>
      </c>
      <c r="S44" s="31"/>
      <c r="T44" s="31"/>
      <c r="U44" s="31"/>
      <c r="V44" s="31"/>
      <c r="W44" s="31"/>
      <c r="X44" s="31"/>
      <c r="Y44" s="31"/>
      <c r="Z44" s="31"/>
    </row>
    <row r="45" spans="1:26" ht="23.25" customHeight="1" x14ac:dyDescent="0.3">
      <c r="A45" s="39">
        <v>44</v>
      </c>
      <c r="B45" s="40">
        <v>10</v>
      </c>
      <c r="C45" s="9">
        <f t="shared" si="0"/>
        <v>120</v>
      </c>
      <c r="D45" s="34" t="s">
        <v>68</v>
      </c>
      <c r="E45" s="9">
        <v>10</v>
      </c>
      <c r="F45" s="9">
        <f t="shared" si="4"/>
        <v>120</v>
      </c>
      <c r="G45" s="9">
        <v>1</v>
      </c>
      <c r="H45" s="41" t="s">
        <v>91</v>
      </c>
      <c r="I45" s="42">
        <v>2000000</v>
      </c>
      <c r="J45" s="42">
        <v>2500000</v>
      </c>
      <c r="K45" s="43" t="s">
        <v>97</v>
      </c>
      <c r="L45" s="9" t="s">
        <v>117</v>
      </c>
      <c r="M45" s="9" t="s">
        <v>88</v>
      </c>
      <c r="N45" s="9" t="s">
        <v>22</v>
      </c>
      <c r="O45" s="9" t="s">
        <v>72</v>
      </c>
      <c r="P45" s="9">
        <v>37</v>
      </c>
      <c r="Q45" s="9" t="s">
        <v>73</v>
      </c>
      <c r="R45" s="44">
        <v>2</v>
      </c>
      <c r="S45" s="31"/>
      <c r="T45" s="31"/>
      <c r="U45" s="31"/>
      <c r="V45" s="31"/>
      <c r="W45" s="31"/>
      <c r="X45" s="31"/>
      <c r="Y45" s="31"/>
      <c r="Z45" s="31"/>
    </row>
    <row r="46" spans="1:26" ht="23.25" customHeight="1" x14ac:dyDescent="0.3">
      <c r="A46" s="39">
        <v>45</v>
      </c>
      <c r="B46" s="40">
        <v>40</v>
      </c>
      <c r="C46" s="9">
        <f t="shared" si="0"/>
        <v>480</v>
      </c>
      <c r="D46" s="9" t="s">
        <v>74</v>
      </c>
      <c r="E46" s="9">
        <v>15</v>
      </c>
      <c r="F46" s="9">
        <f t="shared" si="4"/>
        <v>180</v>
      </c>
      <c r="G46" s="34">
        <v>0</v>
      </c>
      <c r="H46" s="41" t="s">
        <v>89</v>
      </c>
      <c r="I46" s="42">
        <v>3000000</v>
      </c>
      <c r="J46" s="42">
        <v>5000000</v>
      </c>
      <c r="K46" s="43" t="s">
        <v>70</v>
      </c>
      <c r="L46" s="9" t="s">
        <v>71</v>
      </c>
      <c r="M46" s="9" t="s">
        <v>88</v>
      </c>
      <c r="N46" s="9" t="s">
        <v>22</v>
      </c>
      <c r="O46" s="9" t="s">
        <v>72</v>
      </c>
      <c r="P46" s="9">
        <v>53</v>
      </c>
      <c r="Q46" s="9" t="s">
        <v>80</v>
      </c>
      <c r="R46" s="44">
        <v>1</v>
      </c>
      <c r="S46" s="31"/>
      <c r="T46" s="31"/>
      <c r="U46" s="31"/>
      <c r="V46" s="31"/>
      <c r="W46" s="31"/>
      <c r="X46" s="31"/>
      <c r="Y46" s="31"/>
      <c r="Z46" s="31"/>
    </row>
    <row r="47" spans="1:26" ht="23.25" customHeight="1" x14ac:dyDescent="0.3">
      <c r="A47" s="39">
        <v>46</v>
      </c>
      <c r="B47" s="40">
        <v>9</v>
      </c>
      <c r="C47" s="9">
        <f t="shared" si="0"/>
        <v>108</v>
      </c>
      <c r="D47" s="9" t="s">
        <v>74</v>
      </c>
      <c r="E47" s="9">
        <v>9</v>
      </c>
      <c r="F47" s="9">
        <f t="shared" si="4"/>
        <v>108</v>
      </c>
      <c r="G47" s="9">
        <v>1</v>
      </c>
      <c r="H47" s="41" t="s">
        <v>86</v>
      </c>
      <c r="I47" s="42">
        <v>1100000</v>
      </c>
      <c r="J47" s="42">
        <v>2200000</v>
      </c>
      <c r="K47" s="43" t="s">
        <v>92</v>
      </c>
      <c r="L47" s="9" t="s">
        <v>118</v>
      </c>
      <c r="M47" s="9" t="s">
        <v>88</v>
      </c>
      <c r="N47" s="9" t="s">
        <v>22</v>
      </c>
      <c r="O47" s="9" t="s">
        <v>72</v>
      </c>
      <c r="P47" s="9">
        <v>40</v>
      </c>
      <c r="Q47" s="9" t="s">
        <v>77</v>
      </c>
      <c r="R47" s="44">
        <v>0</v>
      </c>
      <c r="S47" s="31"/>
      <c r="T47" s="31"/>
      <c r="U47" s="31"/>
      <c r="V47" s="31"/>
      <c r="W47" s="31"/>
      <c r="X47" s="31"/>
      <c r="Y47" s="31"/>
      <c r="Z47" s="31"/>
    </row>
    <row r="48" spans="1:26" ht="23.25" customHeight="1" x14ac:dyDescent="0.3">
      <c r="A48" s="39">
        <v>47</v>
      </c>
      <c r="B48" s="40">
        <v>18</v>
      </c>
      <c r="C48" s="9">
        <f t="shared" si="0"/>
        <v>216</v>
      </c>
      <c r="D48" s="9" t="s">
        <v>99</v>
      </c>
      <c r="E48" s="9">
        <v>2</v>
      </c>
      <c r="F48" s="9">
        <f t="shared" si="4"/>
        <v>24</v>
      </c>
      <c r="G48" s="34">
        <v>0</v>
      </c>
      <c r="H48" s="41" t="s">
        <v>119</v>
      </c>
      <c r="I48" s="42">
        <v>3000000</v>
      </c>
      <c r="J48" s="42">
        <v>4500000</v>
      </c>
      <c r="K48" s="43" t="s">
        <v>92</v>
      </c>
      <c r="L48" s="9" t="s">
        <v>120</v>
      </c>
      <c r="M48" s="9" t="s">
        <v>88</v>
      </c>
      <c r="N48" s="9" t="s">
        <v>22</v>
      </c>
      <c r="O48" s="9" t="s">
        <v>10</v>
      </c>
      <c r="P48" s="9">
        <v>40</v>
      </c>
      <c r="Q48" s="9" t="s">
        <v>121</v>
      </c>
      <c r="R48" s="44">
        <v>2</v>
      </c>
      <c r="S48" s="31"/>
      <c r="T48" s="31"/>
      <c r="U48" s="31"/>
      <c r="V48" s="31"/>
      <c r="W48" s="31"/>
      <c r="X48" s="31"/>
      <c r="Y48" s="31"/>
      <c r="Z48" s="31"/>
    </row>
    <row r="49" spans="1:26" ht="23.25" customHeight="1" x14ac:dyDescent="0.3">
      <c r="A49" s="39">
        <v>48</v>
      </c>
      <c r="B49" s="40">
        <v>11</v>
      </c>
      <c r="C49" s="9">
        <f t="shared" si="0"/>
        <v>132</v>
      </c>
      <c r="D49" s="9" t="s">
        <v>74</v>
      </c>
      <c r="E49" s="9">
        <v>8</v>
      </c>
      <c r="F49" s="9">
        <f t="shared" si="4"/>
        <v>96</v>
      </c>
      <c r="G49" s="9">
        <v>1</v>
      </c>
      <c r="H49" s="41" t="s">
        <v>122</v>
      </c>
      <c r="I49" s="42">
        <v>2000000</v>
      </c>
      <c r="J49" s="42">
        <v>2500000</v>
      </c>
      <c r="K49" s="43" t="s">
        <v>97</v>
      </c>
      <c r="L49" s="9" t="s">
        <v>101</v>
      </c>
      <c r="M49" s="9" t="s">
        <v>22</v>
      </c>
      <c r="N49" s="9" t="s">
        <v>22</v>
      </c>
      <c r="O49" s="9" t="s">
        <v>10</v>
      </c>
      <c r="P49" s="9">
        <v>46</v>
      </c>
      <c r="Q49" s="9" t="s">
        <v>77</v>
      </c>
      <c r="R49" s="44">
        <v>2</v>
      </c>
      <c r="S49" s="31"/>
      <c r="T49" s="31"/>
      <c r="U49" s="31"/>
      <c r="V49" s="31"/>
      <c r="W49" s="31"/>
      <c r="X49" s="31"/>
      <c r="Y49" s="31"/>
      <c r="Z49" s="31"/>
    </row>
    <row r="50" spans="1:26" ht="23.25" customHeight="1" x14ac:dyDescent="0.3">
      <c r="A50" s="39">
        <v>49</v>
      </c>
      <c r="B50" s="40">
        <v>7</v>
      </c>
      <c r="C50" s="9">
        <f t="shared" si="0"/>
        <v>84</v>
      </c>
      <c r="D50" s="34" t="s">
        <v>68</v>
      </c>
      <c r="E50" s="9">
        <v>5</v>
      </c>
      <c r="F50" s="9">
        <f t="shared" si="4"/>
        <v>60</v>
      </c>
      <c r="G50" s="9">
        <v>1</v>
      </c>
      <c r="H50" s="35" t="s">
        <v>69</v>
      </c>
      <c r="I50" s="42">
        <v>1000000</v>
      </c>
      <c r="J50" s="42">
        <v>1500000</v>
      </c>
      <c r="K50" s="43" t="s">
        <v>114</v>
      </c>
      <c r="L50" s="9" t="s">
        <v>98</v>
      </c>
      <c r="M50" s="9" t="s">
        <v>88</v>
      </c>
      <c r="N50" s="9" t="s">
        <v>22</v>
      </c>
      <c r="O50" s="9" t="s">
        <v>72</v>
      </c>
      <c r="P50" s="9">
        <v>28</v>
      </c>
      <c r="Q50" s="9" t="s">
        <v>77</v>
      </c>
      <c r="R50" s="44">
        <v>4</v>
      </c>
      <c r="S50" s="31"/>
      <c r="T50" s="31"/>
      <c r="U50" s="31"/>
      <c r="V50" s="31"/>
      <c r="W50" s="31"/>
      <c r="X50" s="31"/>
      <c r="Y50" s="31"/>
      <c r="Z50" s="31"/>
    </row>
    <row r="51" spans="1:26" ht="23.25" customHeight="1" x14ac:dyDescent="0.3">
      <c r="A51" s="39">
        <v>50</v>
      </c>
      <c r="B51" s="40">
        <v>14</v>
      </c>
      <c r="C51" s="9">
        <f t="shared" si="0"/>
        <v>168</v>
      </c>
      <c r="D51" s="9" t="s">
        <v>123</v>
      </c>
      <c r="E51" s="9">
        <v>10</v>
      </c>
      <c r="F51" s="9">
        <f t="shared" si="4"/>
        <v>120</v>
      </c>
      <c r="G51" s="9">
        <v>1</v>
      </c>
      <c r="H51" s="41" t="s">
        <v>124</v>
      </c>
      <c r="I51" s="42">
        <v>600000</v>
      </c>
      <c r="J51" s="42">
        <v>3200000</v>
      </c>
      <c r="K51" s="43" t="s">
        <v>84</v>
      </c>
      <c r="L51" s="9" t="s">
        <v>98</v>
      </c>
      <c r="M51" s="9" t="s">
        <v>88</v>
      </c>
      <c r="N51" s="9" t="s">
        <v>22</v>
      </c>
      <c r="O51" s="9" t="s">
        <v>72</v>
      </c>
      <c r="P51" s="9">
        <v>32</v>
      </c>
      <c r="Q51" s="9" t="s">
        <v>77</v>
      </c>
      <c r="R51" s="44">
        <v>2</v>
      </c>
      <c r="S51" s="31"/>
      <c r="T51" s="31"/>
      <c r="U51" s="31"/>
      <c r="V51" s="31"/>
      <c r="W51" s="31"/>
      <c r="X51" s="31"/>
      <c r="Y51" s="31"/>
      <c r="Z51" s="31"/>
    </row>
    <row r="52" spans="1:26" ht="23.25" customHeight="1" x14ac:dyDescent="0.3">
      <c r="A52" s="39">
        <v>51</v>
      </c>
      <c r="B52" s="40">
        <v>30</v>
      </c>
      <c r="C52" s="9">
        <f t="shared" si="0"/>
        <v>360</v>
      </c>
      <c r="D52" s="9" t="s">
        <v>95</v>
      </c>
      <c r="E52" s="9">
        <v>30</v>
      </c>
      <c r="F52" s="9">
        <f t="shared" si="4"/>
        <v>360</v>
      </c>
      <c r="G52" s="9">
        <v>1</v>
      </c>
      <c r="H52" s="41" t="s">
        <v>125</v>
      </c>
      <c r="I52" s="42">
        <v>1200000</v>
      </c>
      <c r="J52" s="42">
        <v>1200000</v>
      </c>
      <c r="K52" s="43" t="s">
        <v>114</v>
      </c>
      <c r="L52" s="9" t="s">
        <v>98</v>
      </c>
      <c r="M52" s="9" t="s">
        <v>22</v>
      </c>
      <c r="N52" s="9" t="s">
        <v>22</v>
      </c>
      <c r="O52" s="9" t="s">
        <v>72</v>
      </c>
      <c r="P52" s="9">
        <v>55</v>
      </c>
      <c r="Q52" s="9" t="s">
        <v>80</v>
      </c>
      <c r="R52" s="47">
        <v>5</v>
      </c>
      <c r="S52" s="31"/>
      <c r="T52" s="31"/>
      <c r="U52" s="31"/>
      <c r="V52" s="31"/>
      <c r="W52" s="31"/>
      <c r="X52" s="31"/>
      <c r="Y52" s="31"/>
      <c r="Z52" s="31"/>
    </row>
    <row r="53" spans="1:26" ht="23.25" customHeight="1" x14ac:dyDescent="0.3">
      <c r="A53" s="39">
        <v>52</v>
      </c>
      <c r="B53" s="40">
        <v>1.5</v>
      </c>
      <c r="C53" s="9">
        <f t="shared" si="0"/>
        <v>18</v>
      </c>
      <c r="D53" s="9" t="s">
        <v>102</v>
      </c>
      <c r="E53" s="9">
        <f t="shared" ref="E53:E54" si="5">F53/12</f>
        <v>0.25</v>
      </c>
      <c r="F53" s="9">
        <v>3</v>
      </c>
      <c r="G53" s="9">
        <v>1</v>
      </c>
      <c r="H53" s="41" t="s">
        <v>126</v>
      </c>
      <c r="I53" s="42">
        <v>1200000</v>
      </c>
      <c r="J53" s="42">
        <v>800000</v>
      </c>
      <c r="K53" s="43" t="s">
        <v>84</v>
      </c>
      <c r="L53" s="9" t="s">
        <v>98</v>
      </c>
      <c r="M53" s="9" t="s">
        <v>88</v>
      </c>
      <c r="N53" s="9" t="s">
        <v>88</v>
      </c>
      <c r="O53" s="9" t="s">
        <v>10</v>
      </c>
      <c r="P53" s="9">
        <v>22</v>
      </c>
      <c r="Q53" s="9" t="s">
        <v>73</v>
      </c>
      <c r="R53" s="47">
        <v>1</v>
      </c>
      <c r="S53" s="31"/>
      <c r="T53" s="31"/>
      <c r="U53" s="31"/>
      <c r="V53" s="31"/>
      <c r="W53" s="31"/>
      <c r="X53" s="31"/>
      <c r="Y53" s="31"/>
      <c r="Z53" s="31"/>
    </row>
    <row r="54" spans="1:26" ht="23.25" customHeight="1" x14ac:dyDescent="0.3">
      <c r="A54" s="39">
        <v>53</v>
      </c>
      <c r="B54" s="40">
        <v>2</v>
      </c>
      <c r="C54" s="9">
        <f t="shared" si="0"/>
        <v>24</v>
      </c>
      <c r="D54" s="9" t="s">
        <v>102</v>
      </c>
      <c r="E54" s="9">
        <f t="shared" si="5"/>
        <v>0.25</v>
      </c>
      <c r="F54" s="9">
        <v>3</v>
      </c>
      <c r="G54" s="9">
        <v>1</v>
      </c>
      <c r="H54" s="41" t="s">
        <v>127</v>
      </c>
      <c r="I54" s="42">
        <v>300000</v>
      </c>
      <c r="J54" s="42">
        <v>800000</v>
      </c>
      <c r="K54" s="43" t="s">
        <v>84</v>
      </c>
      <c r="L54" s="9" t="s">
        <v>98</v>
      </c>
      <c r="M54" s="9" t="s">
        <v>22</v>
      </c>
      <c r="N54" s="9" t="s">
        <v>22</v>
      </c>
      <c r="O54" s="9" t="s">
        <v>10</v>
      </c>
      <c r="P54" s="9">
        <v>25</v>
      </c>
      <c r="Q54" s="9" t="s">
        <v>73</v>
      </c>
      <c r="R54" s="47">
        <v>2</v>
      </c>
      <c r="S54" s="31"/>
      <c r="T54" s="31"/>
      <c r="U54" s="31"/>
      <c r="V54" s="31"/>
      <c r="W54" s="31"/>
      <c r="X54" s="31"/>
      <c r="Y54" s="31"/>
      <c r="Z54" s="31"/>
    </row>
    <row r="55" spans="1:26" ht="23.25" customHeight="1" x14ac:dyDescent="0.3">
      <c r="A55" s="39">
        <v>54</v>
      </c>
      <c r="B55" s="40">
        <v>10</v>
      </c>
      <c r="C55" s="9">
        <f t="shared" si="0"/>
        <v>120</v>
      </c>
      <c r="D55" s="9" t="s">
        <v>102</v>
      </c>
      <c r="E55" s="9">
        <v>10</v>
      </c>
      <c r="F55" s="9">
        <f t="shared" ref="F55:F62" si="6">E55*12</f>
        <v>120</v>
      </c>
      <c r="G55" s="9">
        <v>1</v>
      </c>
      <c r="H55" s="41" t="s">
        <v>128</v>
      </c>
      <c r="I55" s="42">
        <v>900000</v>
      </c>
      <c r="J55" s="42">
        <v>900000</v>
      </c>
      <c r="K55" s="43" t="s">
        <v>114</v>
      </c>
      <c r="L55" s="9" t="s">
        <v>98</v>
      </c>
      <c r="M55" s="9" t="s">
        <v>88</v>
      </c>
      <c r="N55" s="9" t="s">
        <v>88</v>
      </c>
      <c r="O55" s="9" t="s">
        <v>72</v>
      </c>
      <c r="P55" s="9">
        <v>25</v>
      </c>
      <c r="Q55" s="9" t="s">
        <v>77</v>
      </c>
      <c r="R55" s="47">
        <v>2</v>
      </c>
      <c r="S55" s="31"/>
      <c r="T55" s="31"/>
      <c r="U55" s="31"/>
      <c r="V55" s="31"/>
      <c r="W55" s="31"/>
      <c r="X55" s="31"/>
      <c r="Y55" s="31"/>
      <c r="Z55" s="31"/>
    </row>
    <row r="56" spans="1:26" ht="23.25" customHeight="1" x14ac:dyDescent="0.3">
      <c r="A56" s="39">
        <v>55</v>
      </c>
      <c r="B56" s="40">
        <v>10</v>
      </c>
      <c r="C56" s="9">
        <f t="shared" si="0"/>
        <v>120</v>
      </c>
      <c r="D56" s="9" t="s">
        <v>102</v>
      </c>
      <c r="E56" s="9">
        <v>10</v>
      </c>
      <c r="F56" s="9">
        <f t="shared" si="6"/>
        <v>120</v>
      </c>
      <c r="G56" s="34">
        <v>0</v>
      </c>
      <c r="H56" s="41" t="s">
        <v>126</v>
      </c>
      <c r="I56" s="42">
        <v>1300000</v>
      </c>
      <c r="J56" s="42">
        <v>900000</v>
      </c>
      <c r="K56" s="43" t="s">
        <v>84</v>
      </c>
      <c r="L56" s="9" t="s">
        <v>98</v>
      </c>
      <c r="M56" s="9" t="s">
        <v>22</v>
      </c>
      <c r="N56" s="9" t="s">
        <v>22</v>
      </c>
      <c r="O56" s="9" t="s">
        <v>10</v>
      </c>
      <c r="P56" s="9">
        <v>30</v>
      </c>
      <c r="Q56" s="9" t="s">
        <v>77</v>
      </c>
      <c r="R56" s="47">
        <v>1</v>
      </c>
      <c r="S56" s="31"/>
      <c r="T56" s="31"/>
      <c r="U56" s="31"/>
      <c r="V56" s="31"/>
      <c r="W56" s="31"/>
      <c r="X56" s="31"/>
      <c r="Y56" s="31"/>
      <c r="Z56" s="31"/>
    </row>
    <row r="57" spans="1:26" ht="23.25" customHeight="1" x14ac:dyDescent="0.3">
      <c r="A57" s="39">
        <v>56</v>
      </c>
      <c r="B57" s="40">
        <v>3</v>
      </c>
      <c r="C57" s="9">
        <f t="shared" si="0"/>
        <v>36</v>
      </c>
      <c r="D57" s="9" t="s">
        <v>102</v>
      </c>
      <c r="E57" s="9">
        <v>1</v>
      </c>
      <c r="F57" s="9">
        <f t="shared" si="6"/>
        <v>12</v>
      </c>
      <c r="G57" s="9">
        <v>1</v>
      </c>
      <c r="H57" s="41" t="s">
        <v>89</v>
      </c>
      <c r="I57" s="42">
        <v>1500000</v>
      </c>
      <c r="J57" s="42">
        <v>7000000</v>
      </c>
      <c r="K57" s="43" t="s">
        <v>70</v>
      </c>
      <c r="L57" s="9" t="s">
        <v>129</v>
      </c>
      <c r="M57" s="9" t="s">
        <v>88</v>
      </c>
      <c r="N57" s="9" t="s">
        <v>88</v>
      </c>
      <c r="O57" s="9" t="s">
        <v>72</v>
      </c>
      <c r="P57" s="9">
        <v>26</v>
      </c>
      <c r="Q57" s="9" t="s">
        <v>73</v>
      </c>
      <c r="R57" s="47">
        <v>0</v>
      </c>
      <c r="S57" s="31"/>
      <c r="T57" s="31"/>
      <c r="U57" s="31"/>
      <c r="V57" s="31"/>
      <c r="W57" s="31"/>
      <c r="X57" s="31"/>
      <c r="Y57" s="31"/>
      <c r="Z57" s="31"/>
    </row>
    <row r="58" spans="1:26" ht="23.25" customHeight="1" x14ac:dyDescent="0.3">
      <c r="A58" s="39">
        <v>57</v>
      </c>
      <c r="B58" s="40">
        <v>5</v>
      </c>
      <c r="C58" s="9">
        <f t="shared" si="0"/>
        <v>60</v>
      </c>
      <c r="D58" s="9" t="s">
        <v>115</v>
      </c>
      <c r="E58" s="9">
        <v>5</v>
      </c>
      <c r="F58" s="9">
        <f t="shared" si="6"/>
        <v>60</v>
      </c>
      <c r="G58" s="34">
        <v>0</v>
      </c>
      <c r="H58" s="41" t="s">
        <v>130</v>
      </c>
      <c r="I58" s="42">
        <v>2000000</v>
      </c>
      <c r="J58" s="42">
        <v>2500000</v>
      </c>
      <c r="K58" s="43" t="s">
        <v>84</v>
      </c>
      <c r="L58" s="9" t="s">
        <v>98</v>
      </c>
      <c r="M58" s="9" t="s">
        <v>88</v>
      </c>
      <c r="N58" s="9" t="s">
        <v>88</v>
      </c>
      <c r="O58" s="9" t="s">
        <v>10</v>
      </c>
      <c r="P58" s="9">
        <v>28</v>
      </c>
      <c r="Q58" s="9" t="s">
        <v>73</v>
      </c>
      <c r="R58" s="47">
        <v>2</v>
      </c>
      <c r="S58" s="31"/>
      <c r="T58" s="31"/>
      <c r="U58" s="31"/>
      <c r="V58" s="31"/>
      <c r="W58" s="31"/>
      <c r="X58" s="31"/>
      <c r="Y58" s="31"/>
      <c r="Z58" s="31"/>
    </row>
    <row r="59" spans="1:26" ht="23.25" customHeight="1" x14ac:dyDescent="0.3">
      <c r="A59" s="39">
        <v>58</v>
      </c>
      <c r="B59" s="40">
        <v>14</v>
      </c>
      <c r="C59" s="9">
        <f t="shared" si="0"/>
        <v>168</v>
      </c>
      <c r="D59" s="9" t="s">
        <v>102</v>
      </c>
      <c r="E59" s="9">
        <v>5</v>
      </c>
      <c r="F59" s="9">
        <f t="shared" si="6"/>
        <v>60</v>
      </c>
      <c r="G59" s="9">
        <v>1</v>
      </c>
      <c r="H59" s="35" t="s">
        <v>69</v>
      </c>
      <c r="I59" s="42">
        <v>3000000</v>
      </c>
      <c r="J59" s="42">
        <v>6000000</v>
      </c>
      <c r="K59" s="43" t="s">
        <v>92</v>
      </c>
      <c r="L59" s="9" t="s">
        <v>131</v>
      </c>
      <c r="M59" s="9" t="s">
        <v>132</v>
      </c>
      <c r="N59" s="9" t="s">
        <v>22</v>
      </c>
      <c r="O59" s="9" t="s">
        <v>72</v>
      </c>
      <c r="P59" s="9">
        <v>44</v>
      </c>
      <c r="Q59" s="9" t="s">
        <v>121</v>
      </c>
      <c r="R59" s="47">
        <v>1</v>
      </c>
      <c r="S59" s="31"/>
      <c r="T59" s="31"/>
      <c r="U59" s="31"/>
      <c r="V59" s="31"/>
      <c r="W59" s="31"/>
      <c r="X59" s="31"/>
      <c r="Y59" s="31"/>
      <c r="Z59" s="31"/>
    </row>
    <row r="60" spans="1:26" ht="23.25" customHeight="1" x14ac:dyDescent="0.3">
      <c r="A60" s="39">
        <v>59</v>
      </c>
      <c r="B60" s="40">
        <v>6</v>
      </c>
      <c r="C60" s="9">
        <f t="shared" si="0"/>
        <v>72</v>
      </c>
      <c r="D60" s="9" t="s">
        <v>104</v>
      </c>
      <c r="E60" s="9">
        <v>2</v>
      </c>
      <c r="F60" s="9">
        <f t="shared" si="6"/>
        <v>24</v>
      </c>
      <c r="G60" s="34">
        <v>0</v>
      </c>
      <c r="H60" s="41" t="s">
        <v>86</v>
      </c>
      <c r="I60" s="42">
        <v>1000000</v>
      </c>
      <c r="J60" s="42">
        <v>1600000</v>
      </c>
      <c r="K60" s="43" t="s">
        <v>70</v>
      </c>
      <c r="L60" s="9" t="s">
        <v>87</v>
      </c>
      <c r="M60" s="9" t="s">
        <v>132</v>
      </c>
      <c r="N60" s="9" t="s">
        <v>22</v>
      </c>
      <c r="O60" s="9" t="s">
        <v>72</v>
      </c>
      <c r="P60" s="9">
        <v>30</v>
      </c>
      <c r="Q60" s="9" t="s">
        <v>73</v>
      </c>
      <c r="R60" s="47">
        <v>0</v>
      </c>
      <c r="S60" s="31"/>
      <c r="T60" s="31"/>
      <c r="U60" s="31"/>
      <c r="V60" s="31"/>
      <c r="W60" s="31"/>
      <c r="X60" s="31"/>
      <c r="Y60" s="31"/>
      <c r="Z60" s="31"/>
    </row>
    <row r="61" spans="1:26" ht="23.25" customHeight="1" x14ac:dyDescent="0.3">
      <c r="A61" s="39">
        <v>60</v>
      </c>
      <c r="B61" s="40">
        <v>10</v>
      </c>
      <c r="C61" s="9">
        <f t="shared" si="0"/>
        <v>120</v>
      </c>
      <c r="D61" s="9" t="s">
        <v>74</v>
      </c>
      <c r="E61" s="9">
        <v>6</v>
      </c>
      <c r="F61" s="9">
        <f t="shared" si="6"/>
        <v>72</v>
      </c>
      <c r="G61" s="9">
        <v>1</v>
      </c>
      <c r="H61" s="41" t="s">
        <v>133</v>
      </c>
      <c r="I61" s="42">
        <v>1600000</v>
      </c>
      <c r="J61" s="42">
        <v>4500000</v>
      </c>
      <c r="K61" s="43" t="s">
        <v>92</v>
      </c>
      <c r="L61" s="9" t="s">
        <v>134</v>
      </c>
      <c r="M61" s="9" t="s">
        <v>132</v>
      </c>
      <c r="N61" s="9" t="s">
        <v>22</v>
      </c>
      <c r="O61" s="9" t="s">
        <v>10</v>
      </c>
      <c r="P61" s="9">
        <v>34</v>
      </c>
      <c r="Q61" s="9" t="s">
        <v>73</v>
      </c>
      <c r="R61" s="47">
        <v>2</v>
      </c>
      <c r="S61" s="31"/>
      <c r="T61" s="31"/>
      <c r="U61" s="31"/>
      <c r="V61" s="31"/>
      <c r="W61" s="31"/>
      <c r="X61" s="31"/>
      <c r="Y61" s="31"/>
      <c r="Z61" s="31"/>
    </row>
    <row r="62" spans="1:26" ht="23.25" customHeight="1" x14ac:dyDescent="0.3">
      <c r="A62" s="39">
        <v>61</v>
      </c>
      <c r="B62" s="40">
        <v>7</v>
      </c>
      <c r="C62" s="9">
        <f t="shared" si="0"/>
        <v>84</v>
      </c>
      <c r="D62" s="9" t="s">
        <v>104</v>
      </c>
      <c r="E62" s="9">
        <v>7</v>
      </c>
      <c r="F62" s="9">
        <f t="shared" si="6"/>
        <v>84</v>
      </c>
      <c r="G62" s="34">
        <v>0</v>
      </c>
      <c r="H62" s="41" t="s">
        <v>105</v>
      </c>
      <c r="I62" s="42">
        <v>1200000</v>
      </c>
      <c r="J62" s="42">
        <v>1900000</v>
      </c>
      <c r="K62" s="43" t="s">
        <v>84</v>
      </c>
      <c r="L62" s="9" t="s">
        <v>98</v>
      </c>
      <c r="M62" s="9" t="s">
        <v>22</v>
      </c>
      <c r="N62" s="9" t="s">
        <v>22</v>
      </c>
      <c r="O62" s="9" t="s">
        <v>72</v>
      </c>
      <c r="P62" s="9">
        <v>25</v>
      </c>
      <c r="Q62" s="9" t="s">
        <v>73</v>
      </c>
      <c r="R62" s="47">
        <v>0</v>
      </c>
      <c r="S62" s="31"/>
      <c r="T62" s="31"/>
      <c r="U62" s="31"/>
      <c r="V62" s="31"/>
      <c r="W62" s="31"/>
      <c r="X62" s="31"/>
      <c r="Y62" s="31"/>
      <c r="Z62" s="31"/>
    </row>
    <row r="63" spans="1:26" ht="23.25" customHeight="1" x14ac:dyDescent="0.3">
      <c r="A63" s="39">
        <v>62</v>
      </c>
      <c r="B63" s="40">
        <v>2</v>
      </c>
      <c r="C63" s="9">
        <f t="shared" si="0"/>
        <v>24</v>
      </c>
      <c r="D63" s="9" t="s">
        <v>104</v>
      </c>
      <c r="E63" s="9">
        <f t="shared" ref="E63:E64" si="7">F63/12</f>
        <v>0.5</v>
      </c>
      <c r="F63" s="9">
        <v>6</v>
      </c>
      <c r="G63" s="9">
        <v>1</v>
      </c>
      <c r="H63" s="35" t="s">
        <v>69</v>
      </c>
      <c r="I63" s="42">
        <v>500000</v>
      </c>
      <c r="J63" s="42">
        <v>1000000</v>
      </c>
      <c r="K63" s="43" t="s">
        <v>84</v>
      </c>
      <c r="L63" s="9" t="s">
        <v>98</v>
      </c>
      <c r="M63" s="9" t="s">
        <v>22</v>
      </c>
      <c r="N63" s="9" t="s">
        <v>22</v>
      </c>
      <c r="O63" s="9" t="s">
        <v>10</v>
      </c>
      <c r="P63" s="9">
        <v>19</v>
      </c>
      <c r="Q63" s="9" t="s">
        <v>73</v>
      </c>
      <c r="R63" s="47">
        <v>0</v>
      </c>
      <c r="S63" s="31"/>
      <c r="T63" s="31"/>
      <c r="U63" s="31"/>
      <c r="V63" s="31"/>
      <c r="W63" s="31"/>
      <c r="X63" s="31"/>
      <c r="Y63" s="31"/>
      <c r="Z63" s="31"/>
    </row>
    <row r="64" spans="1:26" ht="23.25" customHeight="1" x14ac:dyDescent="0.3">
      <c r="A64" s="39">
        <v>63</v>
      </c>
      <c r="B64" s="40">
        <v>1</v>
      </c>
      <c r="C64" s="9">
        <f t="shared" si="0"/>
        <v>12</v>
      </c>
      <c r="D64" s="9" t="s">
        <v>102</v>
      </c>
      <c r="E64" s="9">
        <f t="shared" si="7"/>
        <v>8.3333333333333329E-2</v>
      </c>
      <c r="F64" s="9">
        <v>1</v>
      </c>
      <c r="G64" s="9">
        <v>1</v>
      </c>
      <c r="H64" s="35" t="s">
        <v>69</v>
      </c>
      <c r="I64" s="42">
        <v>500000</v>
      </c>
      <c r="J64" s="42">
        <v>1100000</v>
      </c>
      <c r="K64" s="43" t="s">
        <v>100</v>
      </c>
      <c r="L64" s="9" t="s">
        <v>135</v>
      </c>
      <c r="M64" s="9" t="s">
        <v>22</v>
      </c>
      <c r="N64" s="9" t="s">
        <v>22</v>
      </c>
      <c r="O64" s="9" t="s">
        <v>10</v>
      </c>
      <c r="P64" s="9">
        <v>22</v>
      </c>
      <c r="Q64" s="9" t="s">
        <v>73</v>
      </c>
      <c r="R64" s="47">
        <v>0</v>
      </c>
      <c r="S64" s="31"/>
      <c r="T64" s="31"/>
      <c r="U64" s="31"/>
      <c r="V64" s="31"/>
      <c r="W64" s="31"/>
      <c r="X64" s="31"/>
      <c r="Y64" s="31"/>
      <c r="Z64" s="31"/>
    </row>
    <row r="65" spans="1:26" ht="23.25" customHeight="1" x14ac:dyDescent="0.3">
      <c r="A65" s="39">
        <v>64</v>
      </c>
      <c r="B65" s="40">
        <v>10</v>
      </c>
      <c r="C65" s="9">
        <f t="shared" si="0"/>
        <v>120</v>
      </c>
      <c r="D65" s="9" t="s">
        <v>102</v>
      </c>
      <c r="E65" s="9">
        <v>2</v>
      </c>
      <c r="F65" s="9">
        <f t="shared" ref="F65:F73" si="8">E65*12</f>
        <v>24</v>
      </c>
      <c r="G65" s="9">
        <v>1</v>
      </c>
      <c r="H65" s="35" t="s">
        <v>86</v>
      </c>
      <c r="I65" s="42">
        <v>3000000</v>
      </c>
      <c r="J65" s="42">
        <v>5100000</v>
      </c>
      <c r="K65" s="43" t="s">
        <v>70</v>
      </c>
      <c r="L65" s="9" t="s">
        <v>90</v>
      </c>
      <c r="M65" s="9" t="s">
        <v>132</v>
      </c>
      <c r="N65" s="9" t="s">
        <v>22</v>
      </c>
      <c r="O65" s="9" t="s">
        <v>10</v>
      </c>
      <c r="P65" s="9">
        <v>28</v>
      </c>
      <c r="Q65" s="9" t="s">
        <v>77</v>
      </c>
      <c r="R65" s="47">
        <v>0</v>
      </c>
      <c r="S65" s="31"/>
      <c r="T65" s="31"/>
      <c r="U65" s="31"/>
      <c r="V65" s="31"/>
      <c r="W65" s="31"/>
      <c r="X65" s="31"/>
      <c r="Y65" s="31"/>
      <c r="Z65" s="31"/>
    </row>
    <row r="66" spans="1:26" ht="23.25" customHeight="1" x14ac:dyDescent="0.3">
      <c r="A66" s="39">
        <v>65</v>
      </c>
      <c r="B66" s="40">
        <v>18</v>
      </c>
      <c r="C66" s="9">
        <f t="shared" si="0"/>
        <v>216</v>
      </c>
      <c r="D66" s="9" t="s">
        <v>102</v>
      </c>
      <c r="E66" s="9">
        <v>4</v>
      </c>
      <c r="F66" s="9">
        <f t="shared" si="8"/>
        <v>48</v>
      </c>
      <c r="G66" s="9">
        <v>1</v>
      </c>
      <c r="H66" s="35" t="s">
        <v>86</v>
      </c>
      <c r="I66" s="42">
        <v>2500000</v>
      </c>
      <c r="J66" s="42">
        <v>3600000</v>
      </c>
      <c r="K66" s="43" t="s">
        <v>70</v>
      </c>
      <c r="L66" s="9" t="s">
        <v>90</v>
      </c>
      <c r="M66" s="9" t="s">
        <v>22</v>
      </c>
      <c r="N66" s="9" t="s">
        <v>22</v>
      </c>
      <c r="O66" s="9" t="s">
        <v>10</v>
      </c>
      <c r="P66" s="9">
        <v>38</v>
      </c>
      <c r="Q66" s="9" t="s">
        <v>77</v>
      </c>
      <c r="R66" s="47">
        <v>2</v>
      </c>
      <c r="S66" s="31"/>
      <c r="T66" s="31"/>
      <c r="U66" s="31"/>
      <c r="V66" s="31"/>
      <c r="W66" s="31"/>
      <c r="X66" s="31"/>
      <c r="Y66" s="31"/>
      <c r="Z66" s="31"/>
    </row>
    <row r="67" spans="1:26" ht="23.25" customHeight="1" x14ac:dyDescent="0.3">
      <c r="A67" s="39">
        <v>66</v>
      </c>
      <c r="B67" s="40">
        <v>15</v>
      </c>
      <c r="C67" s="9">
        <f t="shared" si="0"/>
        <v>180</v>
      </c>
      <c r="D67" s="9" t="s">
        <v>102</v>
      </c>
      <c r="E67" s="9">
        <v>2</v>
      </c>
      <c r="F67" s="9">
        <f t="shared" si="8"/>
        <v>24</v>
      </c>
      <c r="G67" s="9">
        <v>1</v>
      </c>
      <c r="H67" s="35" t="s">
        <v>83</v>
      </c>
      <c r="I67" s="42">
        <v>800000</v>
      </c>
      <c r="J67" s="42">
        <v>2600000</v>
      </c>
      <c r="K67" s="43" t="s">
        <v>97</v>
      </c>
      <c r="L67" s="9" t="s">
        <v>107</v>
      </c>
      <c r="M67" s="9" t="s">
        <v>22</v>
      </c>
      <c r="N67" s="9" t="s">
        <v>22</v>
      </c>
      <c r="O67" s="9" t="s">
        <v>72</v>
      </c>
      <c r="P67" s="9">
        <v>26</v>
      </c>
      <c r="Q67" s="9" t="s">
        <v>73</v>
      </c>
      <c r="R67" s="47">
        <v>0</v>
      </c>
      <c r="S67" s="31"/>
      <c r="T67" s="31"/>
      <c r="U67" s="31"/>
      <c r="V67" s="31"/>
      <c r="W67" s="31"/>
      <c r="X67" s="31"/>
      <c r="Y67" s="31"/>
      <c r="Z67" s="31"/>
    </row>
    <row r="68" spans="1:26" ht="23.25" customHeight="1" x14ac:dyDescent="0.3">
      <c r="A68" s="39">
        <v>67</v>
      </c>
      <c r="B68" s="40">
        <v>16</v>
      </c>
      <c r="C68" s="9">
        <f t="shared" si="0"/>
        <v>192</v>
      </c>
      <c r="D68" s="9" t="s">
        <v>102</v>
      </c>
      <c r="E68" s="9">
        <v>10</v>
      </c>
      <c r="F68" s="9">
        <f t="shared" si="8"/>
        <v>120</v>
      </c>
      <c r="G68" s="9">
        <v>1</v>
      </c>
      <c r="H68" s="35" t="s">
        <v>136</v>
      </c>
      <c r="I68" s="42">
        <v>4000000</v>
      </c>
      <c r="J68" s="42">
        <v>8200000</v>
      </c>
      <c r="K68" s="43" t="s">
        <v>94</v>
      </c>
      <c r="L68" s="9" t="s">
        <v>137</v>
      </c>
      <c r="M68" s="9" t="s">
        <v>132</v>
      </c>
      <c r="N68" s="9" t="s">
        <v>132</v>
      </c>
      <c r="O68" s="9" t="s">
        <v>10</v>
      </c>
      <c r="P68" s="9">
        <v>39</v>
      </c>
      <c r="Q68" s="9" t="s">
        <v>73</v>
      </c>
      <c r="R68" s="47">
        <v>2</v>
      </c>
      <c r="S68" s="31"/>
      <c r="T68" s="31"/>
      <c r="U68" s="31"/>
      <c r="V68" s="31"/>
      <c r="W68" s="31"/>
      <c r="X68" s="31"/>
      <c r="Y68" s="31"/>
      <c r="Z68" s="31"/>
    </row>
    <row r="69" spans="1:26" ht="23.25" customHeight="1" x14ac:dyDescent="0.3">
      <c r="A69" s="39">
        <v>68</v>
      </c>
      <c r="B69" s="40">
        <v>10</v>
      </c>
      <c r="C69" s="9">
        <f t="shared" si="0"/>
        <v>120</v>
      </c>
      <c r="D69" s="9" t="s">
        <v>102</v>
      </c>
      <c r="E69" s="9">
        <v>5</v>
      </c>
      <c r="F69" s="9">
        <f t="shared" si="8"/>
        <v>60</v>
      </c>
      <c r="G69" s="9">
        <v>1</v>
      </c>
      <c r="H69" s="35" t="s">
        <v>83</v>
      </c>
      <c r="I69" s="42">
        <v>1000000</v>
      </c>
      <c r="J69" s="42">
        <v>1300000</v>
      </c>
      <c r="K69" s="43" t="s">
        <v>97</v>
      </c>
      <c r="L69" s="9" t="s">
        <v>138</v>
      </c>
      <c r="M69" s="9" t="s">
        <v>132</v>
      </c>
      <c r="N69" s="9" t="s">
        <v>22</v>
      </c>
      <c r="O69" s="9" t="s">
        <v>10</v>
      </c>
      <c r="P69" s="9">
        <v>35</v>
      </c>
      <c r="Q69" s="9" t="s">
        <v>77</v>
      </c>
      <c r="R69" s="47">
        <v>2</v>
      </c>
      <c r="S69" s="31"/>
      <c r="T69" s="31"/>
      <c r="U69" s="31"/>
      <c r="V69" s="31"/>
      <c r="W69" s="31"/>
      <c r="X69" s="31"/>
      <c r="Y69" s="31"/>
      <c r="Z69" s="31"/>
    </row>
    <row r="70" spans="1:26" ht="23.25" customHeight="1" x14ac:dyDescent="0.3">
      <c r="A70" s="39">
        <v>69</v>
      </c>
      <c r="B70" s="40">
        <v>10</v>
      </c>
      <c r="C70" s="9">
        <f t="shared" si="0"/>
        <v>120</v>
      </c>
      <c r="D70" s="9" t="s">
        <v>102</v>
      </c>
      <c r="E70" s="9">
        <v>8</v>
      </c>
      <c r="F70" s="9">
        <f t="shared" si="8"/>
        <v>96</v>
      </c>
      <c r="G70" s="9">
        <v>1</v>
      </c>
      <c r="H70" s="35" t="s">
        <v>86</v>
      </c>
      <c r="I70" s="42">
        <v>2000000</v>
      </c>
      <c r="J70" s="42">
        <v>3000000</v>
      </c>
      <c r="K70" s="43" t="s">
        <v>70</v>
      </c>
      <c r="L70" s="9" t="s">
        <v>139</v>
      </c>
      <c r="M70" s="9" t="s">
        <v>132</v>
      </c>
      <c r="N70" s="9" t="s">
        <v>22</v>
      </c>
      <c r="O70" s="9" t="s">
        <v>10</v>
      </c>
      <c r="P70" s="9">
        <v>33</v>
      </c>
      <c r="Q70" s="9" t="s">
        <v>73</v>
      </c>
      <c r="R70" s="47">
        <v>0</v>
      </c>
      <c r="S70" s="31"/>
      <c r="T70" s="31"/>
      <c r="U70" s="31"/>
      <c r="V70" s="31"/>
      <c r="W70" s="31"/>
      <c r="X70" s="31"/>
      <c r="Y70" s="31"/>
      <c r="Z70" s="31"/>
    </row>
    <row r="71" spans="1:26" ht="23.25" customHeight="1" x14ac:dyDescent="0.3">
      <c r="A71" s="39">
        <v>70</v>
      </c>
      <c r="B71" s="40">
        <v>6</v>
      </c>
      <c r="C71" s="9">
        <f t="shared" si="0"/>
        <v>72</v>
      </c>
      <c r="D71" s="9" t="s">
        <v>102</v>
      </c>
      <c r="E71" s="9">
        <v>6</v>
      </c>
      <c r="F71" s="9">
        <f t="shared" si="8"/>
        <v>72</v>
      </c>
      <c r="G71" s="34">
        <v>0</v>
      </c>
      <c r="H71" s="35" t="s">
        <v>86</v>
      </c>
      <c r="I71" s="42">
        <v>1800000</v>
      </c>
      <c r="J71" s="42">
        <v>2000000</v>
      </c>
      <c r="K71" s="43" t="s">
        <v>70</v>
      </c>
      <c r="L71" s="9" t="s">
        <v>93</v>
      </c>
      <c r="M71" s="9" t="s">
        <v>22</v>
      </c>
      <c r="N71" s="9" t="s">
        <v>22</v>
      </c>
      <c r="O71" s="9" t="s">
        <v>10</v>
      </c>
      <c r="P71" s="9">
        <v>31</v>
      </c>
      <c r="Q71" s="9" t="s">
        <v>73</v>
      </c>
      <c r="R71" s="47">
        <v>1</v>
      </c>
      <c r="S71" s="31"/>
      <c r="T71" s="31"/>
      <c r="U71" s="31"/>
      <c r="V71" s="31"/>
      <c r="W71" s="31"/>
      <c r="X71" s="31"/>
      <c r="Y71" s="31"/>
      <c r="Z71" s="31"/>
    </row>
    <row r="72" spans="1:26" ht="23.25" customHeight="1" x14ac:dyDescent="0.3">
      <c r="A72" s="39">
        <v>71</v>
      </c>
      <c r="B72" s="40">
        <v>4</v>
      </c>
      <c r="C72" s="9">
        <f t="shared" si="0"/>
        <v>48</v>
      </c>
      <c r="D72" s="9" t="s">
        <v>74</v>
      </c>
      <c r="E72" s="9">
        <v>2</v>
      </c>
      <c r="F72" s="9">
        <f t="shared" si="8"/>
        <v>24</v>
      </c>
      <c r="G72" s="9">
        <v>1</v>
      </c>
      <c r="H72" s="35" t="s">
        <v>83</v>
      </c>
      <c r="I72" s="42">
        <v>850000</v>
      </c>
      <c r="J72" s="42">
        <v>950000</v>
      </c>
      <c r="K72" s="43" t="s">
        <v>97</v>
      </c>
      <c r="L72" s="9" t="s">
        <v>140</v>
      </c>
      <c r="M72" s="9" t="s">
        <v>22</v>
      </c>
      <c r="N72" s="9" t="s">
        <v>22</v>
      </c>
      <c r="O72" s="9" t="s">
        <v>10</v>
      </c>
      <c r="P72" s="9">
        <v>24</v>
      </c>
      <c r="Q72" s="9" t="s">
        <v>73</v>
      </c>
      <c r="R72" s="47">
        <v>0</v>
      </c>
      <c r="S72" s="31"/>
      <c r="T72" s="31"/>
      <c r="U72" s="31"/>
      <c r="V72" s="31"/>
      <c r="W72" s="31"/>
      <c r="X72" s="31"/>
      <c r="Y72" s="31"/>
      <c r="Z72" s="31"/>
    </row>
    <row r="73" spans="1:26" ht="23.25" customHeight="1" x14ac:dyDescent="0.3">
      <c r="A73" s="39">
        <v>72</v>
      </c>
      <c r="B73" s="40">
        <v>12</v>
      </c>
      <c r="C73" s="9">
        <f t="shared" si="0"/>
        <v>144</v>
      </c>
      <c r="D73" s="9" t="s">
        <v>111</v>
      </c>
      <c r="E73" s="9">
        <v>3</v>
      </c>
      <c r="F73" s="9">
        <f t="shared" si="8"/>
        <v>36</v>
      </c>
      <c r="G73" s="9">
        <v>1</v>
      </c>
      <c r="H73" s="35" t="s">
        <v>69</v>
      </c>
      <c r="I73" s="42">
        <v>1000000</v>
      </c>
      <c r="J73" s="42">
        <v>1100000</v>
      </c>
      <c r="K73" s="43" t="s">
        <v>100</v>
      </c>
      <c r="L73" s="9" t="s">
        <v>71</v>
      </c>
      <c r="M73" s="9" t="s">
        <v>22</v>
      </c>
      <c r="N73" s="9" t="s">
        <v>22</v>
      </c>
      <c r="O73" s="9" t="s">
        <v>72</v>
      </c>
      <c r="P73" s="9">
        <v>27</v>
      </c>
      <c r="Q73" s="9" t="s">
        <v>73</v>
      </c>
      <c r="R73" s="47">
        <v>0</v>
      </c>
      <c r="S73" s="31"/>
      <c r="T73" s="31"/>
      <c r="U73" s="31"/>
      <c r="V73" s="31"/>
      <c r="W73" s="31"/>
      <c r="X73" s="31"/>
      <c r="Y73" s="31"/>
      <c r="Z73" s="31"/>
    </row>
    <row r="74" spans="1:26" ht="23.25" customHeight="1" x14ac:dyDescent="0.3">
      <c r="A74" s="39">
        <v>73</v>
      </c>
      <c r="B74" s="40">
        <v>14</v>
      </c>
      <c r="C74" s="9">
        <f t="shared" si="0"/>
        <v>168</v>
      </c>
      <c r="D74" s="9" t="s">
        <v>102</v>
      </c>
      <c r="E74" s="9">
        <f>F74/12</f>
        <v>0.5</v>
      </c>
      <c r="F74" s="9">
        <v>6</v>
      </c>
      <c r="G74" s="9">
        <v>1</v>
      </c>
      <c r="H74" s="35" t="s">
        <v>69</v>
      </c>
      <c r="I74" s="42">
        <v>600000</v>
      </c>
      <c r="J74" s="42">
        <v>110000</v>
      </c>
      <c r="K74" s="43" t="s">
        <v>84</v>
      </c>
      <c r="L74" s="9" t="s">
        <v>98</v>
      </c>
      <c r="M74" s="9" t="s">
        <v>22</v>
      </c>
      <c r="N74" s="9" t="s">
        <v>22</v>
      </c>
      <c r="O74" s="9" t="s">
        <v>10</v>
      </c>
      <c r="P74" s="9">
        <v>26</v>
      </c>
      <c r="Q74" s="9" t="s">
        <v>80</v>
      </c>
      <c r="R74" s="47">
        <v>0</v>
      </c>
      <c r="S74" s="31"/>
      <c r="T74" s="31"/>
      <c r="U74" s="31"/>
      <c r="V74" s="31"/>
      <c r="W74" s="31"/>
      <c r="X74" s="31"/>
      <c r="Y74" s="31"/>
      <c r="Z74" s="31"/>
    </row>
    <row r="75" spans="1:26" ht="23.25" customHeight="1" x14ac:dyDescent="0.3">
      <c r="A75" s="39">
        <v>74</v>
      </c>
      <c r="B75" s="40">
        <v>1.5</v>
      </c>
      <c r="C75" s="9">
        <f t="shared" si="0"/>
        <v>18</v>
      </c>
      <c r="D75" s="9" t="s">
        <v>99</v>
      </c>
      <c r="E75" s="9">
        <v>1.5</v>
      </c>
      <c r="F75" s="9">
        <f t="shared" ref="F75:F79" si="9">E75*12</f>
        <v>18</v>
      </c>
      <c r="G75" s="9">
        <v>1</v>
      </c>
      <c r="H75" s="35" t="s">
        <v>89</v>
      </c>
      <c r="I75" s="42">
        <v>700000</v>
      </c>
      <c r="J75" s="42">
        <v>500000</v>
      </c>
      <c r="K75" s="43" t="s">
        <v>70</v>
      </c>
      <c r="L75" s="9" t="s">
        <v>82</v>
      </c>
      <c r="M75" s="9" t="s">
        <v>132</v>
      </c>
      <c r="N75" s="9" t="s">
        <v>22</v>
      </c>
      <c r="O75" s="9" t="s">
        <v>72</v>
      </c>
      <c r="P75" s="9">
        <v>25</v>
      </c>
      <c r="Q75" s="9" t="s">
        <v>73</v>
      </c>
      <c r="R75" s="47">
        <v>0</v>
      </c>
      <c r="S75" s="31"/>
      <c r="T75" s="31"/>
      <c r="U75" s="31"/>
      <c r="V75" s="31"/>
      <c r="W75" s="31"/>
      <c r="X75" s="31"/>
      <c r="Y75" s="31"/>
      <c r="Z75" s="31"/>
    </row>
    <row r="76" spans="1:26" ht="23.25" customHeight="1" x14ac:dyDescent="0.3">
      <c r="A76" s="39">
        <v>75</v>
      </c>
      <c r="B76" s="40">
        <v>12</v>
      </c>
      <c r="C76" s="9">
        <f t="shared" si="0"/>
        <v>144</v>
      </c>
      <c r="D76" s="34" t="s">
        <v>68</v>
      </c>
      <c r="E76" s="9">
        <v>12</v>
      </c>
      <c r="F76" s="9">
        <f t="shared" si="9"/>
        <v>144</v>
      </c>
      <c r="G76" s="34">
        <v>0</v>
      </c>
      <c r="H76" s="35" t="s">
        <v>127</v>
      </c>
      <c r="I76" s="42">
        <v>400000</v>
      </c>
      <c r="J76" s="42">
        <v>1500000</v>
      </c>
      <c r="K76" s="43" t="s">
        <v>97</v>
      </c>
      <c r="L76" s="9" t="s">
        <v>71</v>
      </c>
      <c r="M76" s="9" t="s">
        <v>22</v>
      </c>
      <c r="N76" s="9" t="s">
        <v>22</v>
      </c>
      <c r="O76" s="9" t="s">
        <v>10</v>
      </c>
      <c r="P76" s="9">
        <v>29</v>
      </c>
      <c r="Q76" s="9" t="s">
        <v>80</v>
      </c>
      <c r="R76" s="47">
        <v>1</v>
      </c>
      <c r="S76" s="31"/>
      <c r="T76" s="31"/>
      <c r="U76" s="31"/>
      <c r="V76" s="31"/>
      <c r="W76" s="31"/>
      <c r="X76" s="31"/>
      <c r="Y76" s="31"/>
      <c r="Z76" s="31"/>
    </row>
    <row r="77" spans="1:26" ht="23.25" customHeight="1" x14ac:dyDescent="0.3">
      <c r="A77" s="39">
        <v>76</v>
      </c>
      <c r="B77" s="40">
        <v>5</v>
      </c>
      <c r="C77" s="9">
        <f t="shared" si="0"/>
        <v>60</v>
      </c>
      <c r="D77" s="9" t="s">
        <v>102</v>
      </c>
      <c r="E77" s="9">
        <v>4</v>
      </c>
      <c r="F77" s="9">
        <f t="shared" si="9"/>
        <v>48</v>
      </c>
      <c r="G77" s="9">
        <v>1</v>
      </c>
      <c r="H77" s="41" t="s">
        <v>126</v>
      </c>
      <c r="I77" s="42">
        <v>1000000</v>
      </c>
      <c r="J77" s="42">
        <v>1500000</v>
      </c>
      <c r="K77" s="43" t="s">
        <v>97</v>
      </c>
      <c r="L77" s="9" t="s">
        <v>141</v>
      </c>
      <c r="M77" s="9" t="s">
        <v>132</v>
      </c>
      <c r="N77" s="9" t="s">
        <v>22</v>
      </c>
      <c r="O77" s="9" t="s">
        <v>10</v>
      </c>
      <c r="P77" s="9">
        <v>17</v>
      </c>
      <c r="Q77" s="9" t="s">
        <v>73</v>
      </c>
      <c r="R77" s="47">
        <v>0</v>
      </c>
      <c r="S77" s="31"/>
      <c r="T77" s="31"/>
      <c r="U77" s="31"/>
      <c r="V77" s="31"/>
      <c r="W77" s="31"/>
      <c r="X77" s="31"/>
      <c r="Y77" s="31"/>
      <c r="Z77" s="31"/>
    </row>
    <row r="78" spans="1:26" ht="23.25" customHeight="1" x14ac:dyDescent="0.3">
      <c r="A78" s="39">
        <v>77</v>
      </c>
      <c r="B78" s="40">
        <v>10</v>
      </c>
      <c r="C78" s="9">
        <f t="shared" si="0"/>
        <v>120</v>
      </c>
      <c r="D78" s="34" t="s">
        <v>68</v>
      </c>
      <c r="E78" s="9">
        <v>6</v>
      </c>
      <c r="F78" s="9">
        <f t="shared" si="9"/>
        <v>72</v>
      </c>
      <c r="G78" s="9">
        <v>1</v>
      </c>
      <c r="H78" s="35" t="s">
        <v>89</v>
      </c>
      <c r="I78" s="42">
        <v>1000000</v>
      </c>
      <c r="J78" s="42">
        <v>1500000</v>
      </c>
      <c r="K78" s="43" t="s">
        <v>97</v>
      </c>
      <c r="L78" s="9" t="s">
        <v>71</v>
      </c>
      <c r="M78" s="9" t="s">
        <v>132</v>
      </c>
      <c r="N78" s="9" t="s">
        <v>22</v>
      </c>
      <c r="O78" s="9" t="s">
        <v>10</v>
      </c>
      <c r="P78" s="9">
        <v>27</v>
      </c>
      <c r="Q78" s="9" t="s">
        <v>77</v>
      </c>
      <c r="R78" s="47">
        <v>0</v>
      </c>
      <c r="S78" s="31"/>
      <c r="T78" s="31"/>
      <c r="U78" s="31"/>
      <c r="V78" s="31"/>
      <c r="W78" s="31"/>
      <c r="X78" s="31"/>
      <c r="Y78" s="31"/>
      <c r="Z78" s="31"/>
    </row>
    <row r="79" spans="1:26" ht="23.25" customHeight="1" x14ac:dyDescent="0.3">
      <c r="A79" s="39">
        <v>78</v>
      </c>
      <c r="B79" s="40">
        <v>20</v>
      </c>
      <c r="C79" s="9">
        <f t="shared" si="0"/>
        <v>240</v>
      </c>
      <c r="D79" s="34" t="s">
        <v>68</v>
      </c>
      <c r="E79" s="9">
        <v>5</v>
      </c>
      <c r="F79" s="9">
        <f t="shared" si="9"/>
        <v>60</v>
      </c>
      <c r="G79" s="9">
        <v>1</v>
      </c>
      <c r="H79" s="35" t="s">
        <v>89</v>
      </c>
      <c r="I79" s="42">
        <v>1400000</v>
      </c>
      <c r="J79" s="42">
        <v>1800000</v>
      </c>
      <c r="K79" s="43" t="s">
        <v>97</v>
      </c>
      <c r="L79" s="9" t="s">
        <v>142</v>
      </c>
      <c r="M79" s="9" t="s">
        <v>132</v>
      </c>
      <c r="N79" s="9" t="s">
        <v>22</v>
      </c>
      <c r="O79" s="9" t="s">
        <v>72</v>
      </c>
      <c r="P79" s="9">
        <v>40</v>
      </c>
      <c r="Q79" s="9" t="s">
        <v>77</v>
      </c>
      <c r="R79" s="47">
        <v>1</v>
      </c>
      <c r="S79" s="31"/>
      <c r="T79" s="31"/>
      <c r="U79" s="31"/>
      <c r="V79" s="31"/>
      <c r="W79" s="31"/>
      <c r="X79" s="31"/>
      <c r="Y79" s="31"/>
      <c r="Z79" s="31"/>
    </row>
    <row r="80" spans="1:26" ht="23.25" customHeight="1" x14ac:dyDescent="0.3">
      <c r="A80" s="39">
        <v>79</v>
      </c>
      <c r="B80" s="40"/>
      <c r="C80" s="9">
        <v>8</v>
      </c>
      <c r="D80" s="34" t="s">
        <v>68</v>
      </c>
      <c r="E80" s="9">
        <f>F80/12</f>
        <v>0.66666666666666663</v>
      </c>
      <c r="F80" s="9">
        <v>8</v>
      </c>
      <c r="G80" s="9">
        <v>1</v>
      </c>
      <c r="H80" s="35" t="s">
        <v>69</v>
      </c>
      <c r="I80" s="42">
        <v>700000</v>
      </c>
      <c r="J80" s="42">
        <v>800000</v>
      </c>
      <c r="K80" s="43" t="s">
        <v>100</v>
      </c>
      <c r="L80" s="9" t="s">
        <v>71</v>
      </c>
      <c r="M80" s="9" t="s">
        <v>22</v>
      </c>
      <c r="N80" s="9" t="s">
        <v>22</v>
      </c>
      <c r="O80" s="9" t="s">
        <v>10</v>
      </c>
      <c r="P80" s="9">
        <v>18</v>
      </c>
      <c r="Q80" s="9" t="s">
        <v>73</v>
      </c>
      <c r="R80" s="47">
        <v>0</v>
      </c>
      <c r="S80" s="31"/>
      <c r="T80" s="31"/>
      <c r="U80" s="31"/>
      <c r="V80" s="31"/>
      <c r="W80" s="31"/>
      <c r="X80" s="31"/>
      <c r="Y80" s="31"/>
      <c r="Z80" s="31"/>
    </row>
    <row r="81" spans="1:26" ht="23.25" customHeight="1" x14ac:dyDescent="0.3">
      <c r="A81" s="39">
        <v>80</v>
      </c>
      <c r="B81" s="40">
        <v>6</v>
      </c>
      <c r="C81" s="9">
        <f t="shared" ref="C81:C129" si="10">B81*12</f>
        <v>72</v>
      </c>
      <c r="D81" s="34" t="s">
        <v>68</v>
      </c>
      <c r="E81" s="9">
        <v>6</v>
      </c>
      <c r="F81" s="9">
        <f t="shared" ref="F81:F83" si="11">E81*12</f>
        <v>72</v>
      </c>
      <c r="G81" s="34">
        <v>0</v>
      </c>
      <c r="H81" s="35" t="s">
        <v>83</v>
      </c>
      <c r="I81" s="42">
        <v>850000</v>
      </c>
      <c r="J81" s="42">
        <v>1100000</v>
      </c>
      <c r="K81" s="43" t="s">
        <v>97</v>
      </c>
      <c r="L81" s="9" t="s">
        <v>143</v>
      </c>
      <c r="M81" s="9" t="s">
        <v>22</v>
      </c>
      <c r="N81" s="9" t="s">
        <v>22</v>
      </c>
      <c r="O81" s="9" t="s">
        <v>72</v>
      </c>
      <c r="P81" s="9">
        <v>24</v>
      </c>
      <c r="Q81" s="9" t="s">
        <v>73</v>
      </c>
      <c r="R81" s="47">
        <v>0</v>
      </c>
      <c r="S81" s="31"/>
      <c r="T81" s="31"/>
      <c r="U81" s="31"/>
      <c r="V81" s="31"/>
      <c r="W81" s="31"/>
      <c r="X81" s="31"/>
      <c r="Y81" s="31"/>
      <c r="Z81" s="31"/>
    </row>
    <row r="82" spans="1:26" ht="23.25" customHeight="1" x14ac:dyDescent="0.3">
      <c r="A82" s="39">
        <v>81</v>
      </c>
      <c r="B82" s="40">
        <v>12</v>
      </c>
      <c r="C82" s="9">
        <f t="shared" si="10"/>
        <v>144</v>
      </c>
      <c r="D82" s="34" t="s">
        <v>68</v>
      </c>
      <c r="E82" s="9">
        <v>1.3</v>
      </c>
      <c r="F82" s="9">
        <f t="shared" si="11"/>
        <v>15.600000000000001</v>
      </c>
      <c r="G82" s="9">
        <v>1</v>
      </c>
      <c r="H82" s="35" t="s">
        <v>69</v>
      </c>
      <c r="I82" s="42">
        <v>700000</v>
      </c>
      <c r="J82" s="42">
        <v>980000</v>
      </c>
      <c r="K82" s="43" t="s">
        <v>100</v>
      </c>
      <c r="L82" s="9" t="s">
        <v>138</v>
      </c>
      <c r="M82" s="9" t="s">
        <v>22</v>
      </c>
      <c r="N82" s="9" t="s">
        <v>22</v>
      </c>
      <c r="O82" s="9" t="s">
        <v>10</v>
      </c>
      <c r="P82" s="9">
        <v>32</v>
      </c>
      <c r="Q82" s="9" t="s">
        <v>73</v>
      </c>
      <c r="R82" s="47">
        <v>0</v>
      </c>
      <c r="S82" s="31"/>
      <c r="T82" s="31"/>
      <c r="U82" s="31"/>
      <c r="V82" s="31"/>
      <c r="W82" s="31"/>
      <c r="X82" s="31"/>
      <c r="Y82" s="31"/>
      <c r="Z82" s="31"/>
    </row>
    <row r="83" spans="1:26" ht="23.25" customHeight="1" x14ac:dyDescent="0.3">
      <c r="A83" s="39">
        <v>82</v>
      </c>
      <c r="B83" s="40">
        <v>21</v>
      </c>
      <c r="C83" s="9">
        <f t="shared" si="10"/>
        <v>252</v>
      </c>
      <c r="D83" s="9" t="s">
        <v>74</v>
      </c>
      <c r="E83" s="9">
        <v>15</v>
      </c>
      <c r="F83" s="9">
        <f t="shared" si="11"/>
        <v>180</v>
      </c>
      <c r="G83" s="9">
        <v>1</v>
      </c>
      <c r="H83" s="35" t="s">
        <v>136</v>
      </c>
      <c r="I83" s="42">
        <v>3500000</v>
      </c>
      <c r="J83" s="42">
        <v>5000000</v>
      </c>
      <c r="K83" s="43" t="s">
        <v>94</v>
      </c>
      <c r="L83" s="9" t="s">
        <v>144</v>
      </c>
      <c r="M83" s="9" t="s">
        <v>132</v>
      </c>
      <c r="N83" s="9" t="s">
        <v>132</v>
      </c>
      <c r="O83" s="9" t="s">
        <v>72</v>
      </c>
      <c r="P83" s="9">
        <v>42</v>
      </c>
      <c r="Q83" s="9" t="s">
        <v>80</v>
      </c>
      <c r="R83" s="47">
        <v>2</v>
      </c>
      <c r="S83" s="31"/>
      <c r="T83" s="31"/>
      <c r="U83" s="31"/>
      <c r="V83" s="31"/>
      <c r="W83" s="31"/>
      <c r="X83" s="31"/>
      <c r="Y83" s="31"/>
      <c r="Z83" s="31"/>
    </row>
    <row r="84" spans="1:26" ht="23.25" customHeight="1" x14ac:dyDescent="0.3">
      <c r="A84" s="39">
        <v>83</v>
      </c>
      <c r="B84" s="40">
        <v>2</v>
      </c>
      <c r="C84" s="9">
        <f t="shared" si="10"/>
        <v>24</v>
      </c>
      <c r="D84" s="34" t="s">
        <v>68</v>
      </c>
      <c r="E84" s="9">
        <f>F84/12</f>
        <v>8.3333333333333329E-2</v>
      </c>
      <c r="F84" s="9">
        <v>1</v>
      </c>
      <c r="G84" s="9">
        <v>1</v>
      </c>
      <c r="H84" s="35" t="s">
        <v>69</v>
      </c>
      <c r="I84" s="42">
        <v>240000</v>
      </c>
      <c r="J84" s="42">
        <v>600000</v>
      </c>
      <c r="K84" s="43" t="s">
        <v>84</v>
      </c>
      <c r="L84" s="9" t="s">
        <v>98</v>
      </c>
      <c r="M84" s="9" t="s">
        <v>22</v>
      </c>
      <c r="N84" s="9" t="s">
        <v>22</v>
      </c>
      <c r="O84" s="9" t="s">
        <v>10</v>
      </c>
      <c r="P84" s="9">
        <v>20</v>
      </c>
      <c r="Q84" s="9" t="s">
        <v>73</v>
      </c>
      <c r="R84" s="47">
        <v>0</v>
      </c>
      <c r="S84" s="31"/>
      <c r="T84" s="31"/>
      <c r="U84" s="31"/>
      <c r="V84" s="31"/>
      <c r="W84" s="31"/>
      <c r="X84" s="31"/>
      <c r="Y84" s="31"/>
      <c r="Z84" s="31"/>
    </row>
    <row r="85" spans="1:26" ht="23.25" customHeight="1" x14ac:dyDescent="0.3">
      <c r="A85" s="39">
        <v>84</v>
      </c>
      <c r="B85" s="40">
        <v>1</v>
      </c>
      <c r="C85" s="9">
        <f t="shared" si="10"/>
        <v>12</v>
      </c>
      <c r="D85" s="34" t="s">
        <v>68</v>
      </c>
      <c r="E85" s="9">
        <v>1</v>
      </c>
      <c r="F85" s="9">
        <f t="shared" ref="F85:F91" si="12">E85*12</f>
        <v>12</v>
      </c>
      <c r="G85" s="34">
        <v>0</v>
      </c>
      <c r="H85" s="35" t="s">
        <v>89</v>
      </c>
      <c r="I85" s="42">
        <v>750000</v>
      </c>
      <c r="J85" s="42">
        <v>1500000</v>
      </c>
      <c r="K85" s="43" t="s">
        <v>70</v>
      </c>
      <c r="L85" s="9" t="s">
        <v>71</v>
      </c>
      <c r="M85" s="9" t="s">
        <v>22</v>
      </c>
      <c r="N85" s="9" t="s">
        <v>22</v>
      </c>
      <c r="O85" s="9" t="s">
        <v>10</v>
      </c>
      <c r="P85" s="9">
        <v>23</v>
      </c>
      <c r="Q85" s="9" t="s">
        <v>73</v>
      </c>
      <c r="R85" s="47">
        <v>0</v>
      </c>
      <c r="S85" s="31"/>
      <c r="T85" s="31"/>
      <c r="U85" s="31"/>
      <c r="V85" s="31"/>
      <c r="W85" s="31"/>
      <c r="X85" s="31"/>
      <c r="Y85" s="31"/>
      <c r="Z85" s="31"/>
    </row>
    <row r="86" spans="1:26" ht="23.25" customHeight="1" x14ac:dyDescent="0.3">
      <c r="A86" s="39">
        <v>85</v>
      </c>
      <c r="B86" s="40">
        <v>30</v>
      </c>
      <c r="C86" s="9">
        <f t="shared" si="10"/>
        <v>360</v>
      </c>
      <c r="D86" s="9" t="s">
        <v>74</v>
      </c>
      <c r="E86" s="9">
        <v>30</v>
      </c>
      <c r="F86" s="9">
        <f t="shared" si="12"/>
        <v>360</v>
      </c>
      <c r="G86" s="34">
        <v>0</v>
      </c>
      <c r="H86" s="35" t="s">
        <v>145</v>
      </c>
      <c r="I86" s="42">
        <v>1500000</v>
      </c>
      <c r="J86" s="42">
        <v>3000000</v>
      </c>
      <c r="K86" s="43" t="s">
        <v>92</v>
      </c>
      <c r="L86" s="9" t="s">
        <v>146</v>
      </c>
      <c r="M86" s="9" t="s">
        <v>22</v>
      </c>
      <c r="N86" s="9" t="s">
        <v>22</v>
      </c>
      <c r="O86" s="9" t="s">
        <v>10</v>
      </c>
      <c r="P86" s="9">
        <v>39</v>
      </c>
      <c r="Q86" s="9" t="s">
        <v>80</v>
      </c>
      <c r="R86" s="47">
        <v>1</v>
      </c>
      <c r="S86" s="31"/>
      <c r="T86" s="31"/>
      <c r="U86" s="31"/>
      <c r="V86" s="31"/>
      <c r="W86" s="31"/>
      <c r="X86" s="31"/>
      <c r="Y86" s="31"/>
      <c r="Z86" s="31"/>
    </row>
    <row r="87" spans="1:26" ht="23.25" customHeight="1" x14ac:dyDescent="0.3">
      <c r="A87" s="39">
        <v>86</v>
      </c>
      <c r="B87" s="40">
        <v>30</v>
      </c>
      <c r="C87" s="9">
        <f t="shared" si="10"/>
        <v>360</v>
      </c>
      <c r="D87" s="34" t="s">
        <v>68</v>
      </c>
      <c r="E87" s="9">
        <v>15</v>
      </c>
      <c r="F87" s="9">
        <f t="shared" si="12"/>
        <v>180</v>
      </c>
      <c r="G87" s="9">
        <v>1</v>
      </c>
      <c r="H87" s="35" t="s">
        <v>147</v>
      </c>
      <c r="I87" s="42">
        <v>908000</v>
      </c>
      <c r="J87" s="42">
        <v>908000</v>
      </c>
      <c r="K87" s="43" t="s">
        <v>97</v>
      </c>
      <c r="L87" s="9" t="s">
        <v>148</v>
      </c>
      <c r="M87" s="9" t="s">
        <v>22</v>
      </c>
      <c r="N87" s="9" t="s">
        <v>22</v>
      </c>
      <c r="O87" s="9" t="s">
        <v>72</v>
      </c>
      <c r="P87" s="9">
        <v>53</v>
      </c>
      <c r="Q87" s="9" t="s">
        <v>80</v>
      </c>
      <c r="R87" s="47">
        <v>2</v>
      </c>
      <c r="S87" s="31"/>
      <c r="T87" s="31"/>
      <c r="U87" s="31"/>
      <c r="V87" s="31"/>
      <c r="W87" s="31"/>
      <c r="X87" s="31"/>
      <c r="Y87" s="31"/>
      <c r="Z87" s="31"/>
    </row>
    <row r="88" spans="1:26" ht="23.25" customHeight="1" x14ac:dyDescent="0.3">
      <c r="A88" s="39">
        <v>87</v>
      </c>
      <c r="B88" s="40">
        <v>15</v>
      </c>
      <c r="C88" s="9">
        <f t="shared" si="10"/>
        <v>180</v>
      </c>
      <c r="D88" s="34" t="s">
        <v>68</v>
      </c>
      <c r="E88" s="9">
        <v>4</v>
      </c>
      <c r="F88" s="9">
        <f t="shared" si="12"/>
        <v>48</v>
      </c>
      <c r="G88" s="9">
        <v>1</v>
      </c>
      <c r="H88" s="35" t="s">
        <v>83</v>
      </c>
      <c r="I88" s="42">
        <v>700000</v>
      </c>
      <c r="J88" s="42">
        <v>930000</v>
      </c>
      <c r="K88" s="43" t="s">
        <v>84</v>
      </c>
      <c r="L88" s="9" t="s">
        <v>98</v>
      </c>
      <c r="M88" s="9" t="s">
        <v>22</v>
      </c>
      <c r="N88" s="9" t="s">
        <v>22</v>
      </c>
      <c r="O88" s="9" t="s">
        <v>10</v>
      </c>
      <c r="P88" s="9">
        <v>30</v>
      </c>
      <c r="Q88" s="9" t="s">
        <v>73</v>
      </c>
      <c r="R88" s="47">
        <v>1</v>
      </c>
      <c r="S88" s="31"/>
      <c r="T88" s="31"/>
      <c r="U88" s="31"/>
      <c r="V88" s="31"/>
      <c r="W88" s="31"/>
      <c r="X88" s="31"/>
      <c r="Y88" s="31"/>
      <c r="Z88" s="31"/>
    </row>
    <row r="89" spans="1:26" ht="23.25" customHeight="1" x14ac:dyDescent="0.3">
      <c r="A89" s="39">
        <v>88</v>
      </c>
      <c r="B89" s="40">
        <v>11</v>
      </c>
      <c r="C89" s="9">
        <f t="shared" si="10"/>
        <v>132</v>
      </c>
      <c r="D89" s="9" t="s">
        <v>74</v>
      </c>
      <c r="E89" s="9">
        <v>4</v>
      </c>
      <c r="F89" s="9">
        <f t="shared" si="12"/>
        <v>48</v>
      </c>
      <c r="G89" s="9">
        <v>1</v>
      </c>
      <c r="H89" s="35" t="s">
        <v>89</v>
      </c>
      <c r="I89" s="42">
        <v>460000</v>
      </c>
      <c r="J89" s="42">
        <v>1200000</v>
      </c>
      <c r="K89" s="43" t="s">
        <v>70</v>
      </c>
      <c r="L89" s="9" t="s">
        <v>149</v>
      </c>
      <c r="M89" s="9" t="s">
        <v>22</v>
      </c>
      <c r="N89" s="9" t="s">
        <v>22</v>
      </c>
      <c r="O89" s="9" t="s">
        <v>72</v>
      </c>
      <c r="P89" s="9">
        <v>26</v>
      </c>
      <c r="Q89" s="9" t="s">
        <v>73</v>
      </c>
      <c r="R89" s="47">
        <v>0</v>
      </c>
      <c r="S89" s="31"/>
      <c r="T89" s="31"/>
      <c r="U89" s="31"/>
      <c r="V89" s="31"/>
      <c r="W89" s="31"/>
      <c r="X89" s="31"/>
      <c r="Y89" s="31"/>
      <c r="Z89" s="31"/>
    </row>
    <row r="90" spans="1:26" ht="23.25" customHeight="1" x14ac:dyDescent="0.3">
      <c r="A90" s="39">
        <v>89</v>
      </c>
      <c r="B90" s="40">
        <v>10</v>
      </c>
      <c r="C90" s="9">
        <f t="shared" si="10"/>
        <v>120</v>
      </c>
      <c r="D90" s="34" t="s">
        <v>68</v>
      </c>
      <c r="E90" s="9">
        <v>1</v>
      </c>
      <c r="F90" s="9">
        <f t="shared" si="12"/>
        <v>12</v>
      </c>
      <c r="G90" s="9">
        <v>1</v>
      </c>
      <c r="H90" s="35" t="s">
        <v>69</v>
      </c>
      <c r="I90" s="42">
        <v>300000</v>
      </c>
      <c r="J90" s="42">
        <v>908000</v>
      </c>
      <c r="K90" s="43" t="s">
        <v>84</v>
      </c>
      <c r="L90" s="9" t="s">
        <v>98</v>
      </c>
      <c r="M90" s="9" t="s">
        <v>22</v>
      </c>
      <c r="N90" s="9" t="s">
        <v>22</v>
      </c>
      <c r="O90" s="9" t="s">
        <v>72</v>
      </c>
      <c r="P90" s="9">
        <v>28</v>
      </c>
      <c r="Q90" s="9" t="s">
        <v>73</v>
      </c>
      <c r="R90" s="47">
        <v>0</v>
      </c>
      <c r="S90" s="31"/>
      <c r="T90" s="31"/>
      <c r="U90" s="31"/>
      <c r="V90" s="31"/>
      <c r="W90" s="31"/>
      <c r="X90" s="31"/>
      <c r="Y90" s="31"/>
      <c r="Z90" s="31"/>
    </row>
    <row r="91" spans="1:26" ht="23.25" customHeight="1" x14ac:dyDescent="0.3">
      <c r="A91" s="39">
        <v>90</v>
      </c>
      <c r="B91" s="40">
        <v>15</v>
      </c>
      <c r="C91" s="9">
        <f t="shared" si="10"/>
        <v>180</v>
      </c>
      <c r="D91" s="34" t="s">
        <v>68</v>
      </c>
      <c r="E91" s="9">
        <v>7</v>
      </c>
      <c r="F91" s="9">
        <f t="shared" si="12"/>
        <v>84</v>
      </c>
      <c r="G91" s="9">
        <v>1</v>
      </c>
      <c r="H91" s="41" t="s">
        <v>78</v>
      </c>
      <c r="I91" s="42">
        <v>908000</v>
      </c>
      <c r="J91" s="42">
        <v>908000</v>
      </c>
      <c r="K91" s="43" t="s">
        <v>97</v>
      </c>
      <c r="L91" s="9" t="s">
        <v>150</v>
      </c>
      <c r="M91" s="9" t="s">
        <v>22</v>
      </c>
      <c r="N91" s="9" t="s">
        <v>22</v>
      </c>
      <c r="O91" s="9" t="s">
        <v>10</v>
      </c>
      <c r="P91" s="9">
        <v>34</v>
      </c>
      <c r="Q91" s="9" t="s">
        <v>80</v>
      </c>
      <c r="R91" s="47">
        <v>0</v>
      </c>
      <c r="S91" s="31"/>
      <c r="T91" s="31"/>
      <c r="U91" s="31"/>
      <c r="V91" s="31"/>
      <c r="W91" s="31"/>
      <c r="X91" s="31"/>
      <c r="Y91" s="31"/>
      <c r="Z91" s="31"/>
    </row>
    <row r="92" spans="1:26" ht="23.25" customHeight="1" x14ac:dyDescent="0.3">
      <c r="A92" s="39">
        <v>91</v>
      </c>
      <c r="B92" s="40">
        <v>4</v>
      </c>
      <c r="C92" s="9">
        <f t="shared" si="10"/>
        <v>48</v>
      </c>
      <c r="D92" s="34" t="s">
        <v>68</v>
      </c>
      <c r="E92" s="9">
        <f>F92/12</f>
        <v>0.5</v>
      </c>
      <c r="F92" s="9">
        <v>6</v>
      </c>
      <c r="G92" s="34">
        <v>0</v>
      </c>
      <c r="H92" s="35" t="s">
        <v>151</v>
      </c>
      <c r="I92" s="42">
        <v>1000000</v>
      </c>
      <c r="J92" s="42">
        <v>1800000</v>
      </c>
      <c r="K92" s="43" t="s">
        <v>70</v>
      </c>
      <c r="L92" s="9" t="s">
        <v>96</v>
      </c>
      <c r="M92" s="9" t="s">
        <v>22</v>
      </c>
      <c r="N92" s="9" t="s">
        <v>22</v>
      </c>
      <c r="O92" s="9" t="s">
        <v>10</v>
      </c>
      <c r="P92" s="9">
        <v>26</v>
      </c>
      <c r="Q92" s="9" t="s">
        <v>73</v>
      </c>
      <c r="R92" s="47">
        <v>1</v>
      </c>
      <c r="S92" s="31"/>
      <c r="T92" s="31"/>
      <c r="U92" s="31"/>
      <c r="V92" s="31"/>
      <c r="W92" s="31"/>
      <c r="X92" s="31"/>
      <c r="Y92" s="31"/>
      <c r="Z92" s="31"/>
    </row>
    <row r="93" spans="1:26" ht="23.25" customHeight="1" x14ac:dyDescent="0.3">
      <c r="A93" s="39">
        <v>92</v>
      </c>
      <c r="B93" s="40">
        <v>6</v>
      </c>
      <c r="C93" s="9">
        <f t="shared" si="10"/>
        <v>72</v>
      </c>
      <c r="D93" s="9" t="s">
        <v>102</v>
      </c>
      <c r="E93" s="9">
        <v>6</v>
      </c>
      <c r="F93" s="9">
        <f t="shared" ref="F93:F97" si="13">E93*12</f>
        <v>72</v>
      </c>
      <c r="G93" s="9">
        <v>1</v>
      </c>
      <c r="H93" s="35" t="s">
        <v>69</v>
      </c>
      <c r="I93" s="42">
        <v>400000</v>
      </c>
      <c r="J93" s="42">
        <v>1000000</v>
      </c>
      <c r="K93" s="43" t="s">
        <v>70</v>
      </c>
      <c r="L93" s="9" t="s">
        <v>79</v>
      </c>
      <c r="M93" s="9" t="s">
        <v>22</v>
      </c>
      <c r="N93" s="9" t="s">
        <v>22</v>
      </c>
      <c r="O93" s="9" t="s">
        <v>10</v>
      </c>
      <c r="P93" s="9">
        <v>27</v>
      </c>
      <c r="Q93" s="9" t="s">
        <v>73</v>
      </c>
      <c r="R93" s="47">
        <v>0</v>
      </c>
      <c r="S93" s="31"/>
      <c r="T93" s="31"/>
      <c r="U93" s="31"/>
      <c r="V93" s="31"/>
      <c r="W93" s="31"/>
      <c r="X93" s="31"/>
      <c r="Y93" s="31"/>
      <c r="Z93" s="31"/>
    </row>
    <row r="94" spans="1:26" ht="23.25" customHeight="1" x14ac:dyDescent="0.3">
      <c r="A94" s="39">
        <v>93</v>
      </c>
      <c r="B94" s="40">
        <v>4</v>
      </c>
      <c r="C94" s="9">
        <f t="shared" si="10"/>
        <v>48</v>
      </c>
      <c r="D94" s="9" t="s">
        <v>102</v>
      </c>
      <c r="E94" s="9">
        <v>2</v>
      </c>
      <c r="F94" s="9">
        <f t="shared" si="13"/>
        <v>24</v>
      </c>
      <c r="G94" s="9">
        <v>1</v>
      </c>
      <c r="H94" s="35" t="s">
        <v>69</v>
      </c>
      <c r="I94" s="42">
        <v>600000</v>
      </c>
      <c r="J94" s="42">
        <v>1000000</v>
      </c>
      <c r="K94" s="43" t="s">
        <v>97</v>
      </c>
      <c r="L94" s="9" t="s">
        <v>107</v>
      </c>
      <c r="M94" s="9" t="s">
        <v>22</v>
      </c>
      <c r="N94" s="9" t="s">
        <v>22</v>
      </c>
      <c r="O94" s="9" t="s">
        <v>10</v>
      </c>
      <c r="P94" s="9">
        <v>23</v>
      </c>
      <c r="Q94" s="9" t="s">
        <v>73</v>
      </c>
      <c r="R94" s="47">
        <v>0</v>
      </c>
      <c r="S94" s="31"/>
      <c r="T94" s="31"/>
      <c r="U94" s="31"/>
      <c r="V94" s="31"/>
      <c r="W94" s="31"/>
      <c r="X94" s="31"/>
      <c r="Y94" s="31"/>
      <c r="Z94" s="31"/>
    </row>
    <row r="95" spans="1:26" ht="23.25" customHeight="1" x14ac:dyDescent="0.3">
      <c r="A95" s="39">
        <v>94</v>
      </c>
      <c r="B95" s="40">
        <v>34</v>
      </c>
      <c r="C95" s="9">
        <f t="shared" si="10"/>
        <v>408</v>
      </c>
      <c r="D95" s="9" t="s">
        <v>95</v>
      </c>
      <c r="E95" s="9">
        <v>34</v>
      </c>
      <c r="F95" s="9">
        <f t="shared" si="13"/>
        <v>408</v>
      </c>
      <c r="G95" s="9">
        <v>1</v>
      </c>
      <c r="H95" s="35" t="s">
        <v>125</v>
      </c>
      <c r="I95" s="42">
        <v>1500000</v>
      </c>
      <c r="J95" s="42">
        <v>2600000</v>
      </c>
      <c r="K95" s="43" t="s">
        <v>84</v>
      </c>
      <c r="L95" s="9" t="s">
        <v>98</v>
      </c>
      <c r="M95" s="9" t="s">
        <v>132</v>
      </c>
      <c r="N95" s="9" t="s">
        <v>22</v>
      </c>
      <c r="O95" s="9" t="s">
        <v>72</v>
      </c>
      <c r="P95" s="9">
        <v>58</v>
      </c>
      <c r="Q95" s="9" t="s">
        <v>80</v>
      </c>
      <c r="R95" s="47">
        <v>3</v>
      </c>
      <c r="S95" s="31"/>
      <c r="T95" s="31"/>
      <c r="U95" s="31"/>
      <c r="V95" s="31"/>
      <c r="W95" s="31"/>
      <c r="X95" s="31"/>
      <c r="Y95" s="31"/>
      <c r="Z95" s="31"/>
    </row>
    <row r="96" spans="1:26" ht="23.25" customHeight="1" x14ac:dyDescent="0.3">
      <c r="A96" s="39">
        <v>95</v>
      </c>
      <c r="B96" s="40">
        <v>25</v>
      </c>
      <c r="C96" s="9">
        <f t="shared" si="10"/>
        <v>300</v>
      </c>
      <c r="D96" s="9" t="s">
        <v>74</v>
      </c>
      <c r="E96" s="9">
        <v>14</v>
      </c>
      <c r="F96" s="9">
        <f t="shared" si="13"/>
        <v>168</v>
      </c>
      <c r="G96" s="9">
        <v>1</v>
      </c>
      <c r="H96" s="35" t="s">
        <v>86</v>
      </c>
      <c r="I96" s="42">
        <v>8000000</v>
      </c>
      <c r="J96" s="42">
        <v>6000000</v>
      </c>
      <c r="K96" s="43" t="s">
        <v>70</v>
      </c>
      <c r="L96" s="9" t="s">
        <v>152</v>
      </c>
      <c r="M96" s="9" t="s">
        <v>132</v>
      </c>
      <c r="N96" s="9" t="s">
        <v>22</v>
      </c>
      <c r="O96" s="9" t="s">
        <v>72</v>
      </c>
      <c r="P96" s="9">
        <v>53</v>
      </c>
      <c r="Q96" s="9" t="s">
        <v>80</v>
      </c>
      <c r="R96" s="47">
        <v>2</v>
      </c>
      <c r="S96" s="31"/>
      <c r="T96" s="31"/>
      <c r="U96" s="31"/>
      <c r="V96" s="31"/>
      <c r="W96" s="31"/>
      <c r="X96" s="31"/>
      <c r="Y96" s="31"/>
      <c r="Z96" s="31"/>
    </row>
    <row r="97" spans="1:26" ht="23.25" customHeight="1" x14ac:dyDescent="0.3">
      <c r="A97" s="39">
        <v>96</v>
      </c>
      <c r="B97" s="40">
        <v>7</v>
      </c>
      <c r="C97" s="9">
        <f t="shared" si="10"/>
        <v>84</v>
      </c>
      <c r="D97" s="9" t="s">
        <v>102</v>
      </c>
      <c r="E97" s="9">
        <v>6</v>
      </c>
      <c r="F97" s="9">
        <f t="shared" si="13"/>
        <v>72</v>
      </c>
      <c r="G97" s="9">
        <v>1</v>
      </c>
      <c r="H97" s="35" t="s">
        <v>86</v>
      </c>
      <c r="I97" s="42">
        <v>1800000</v>
      </c>
      <c r="J97" s="42">
        <v>3000000</v>
      </c>
      <c r="K97" s="43" t="s">
        <v>92</v>
      </c>
      <c r="L97" s="9" t="s">
        <v>138</v>
      </c>
      <c r="M97" s="9" t="s">
        <v>22</v>
      </c>
      <c r="N97" s="9" t="s">
        <v>22</v>
      </c>
      <c r="O97" s="9" t="s">
        <v>72</v>
      </c>
      <c r="P97" s="9">
        <v>30</v>
      </c>
      <c r="Q97" s="9" t="s">
        <v>73</v>
      </c>
      <c r="R97" s="47">
        <v>1</v>
      </c>
      <c r="S97" s="31"/>
      <c r="T97" s="31"/>
      <c r="U97" s="31"/>
      <c r="V97" s="31"/>
      <c r="W97" s="31"/>
      <c r="X97" s="31"/>
      <c r="Y97" s="31"/>
      <c r="Z97" s="31"/>
    </row>
    <row r="98" spans="1:26" ht="23.25" customHeight="1" x14ac:dyDescent="0.3">
      <c r="A98" s="39">
        <v>97</v>
      </c>
      <c r="B98" s="40">
        <v>3</v>
      </c>
      <c r="C98" s="9">
        <f t="shared" si="10"/>
        <v>36</v>
      </c>
      <c r="D98" s="9" t="s">
        <v>104</v>
      </c>
      <c r="E98" s="9">
        <f t="shared" ref="E98:E99" si="14">F98/12</f>
        <v>0.75</v>
      </c>
      <c r="F98" s="9">
        <v>9</v>
      </c>
      <c r="G98" s="9">
        <v>1</v>
      </c>
      <c r="H98" s="35" t="s">
        <v>83</v>
      </c>
      <c r="I98" s="42">
        <v>400000</v>
      </c>
      <c r="J98" s="42">
        <v>600000</v>
      </c>
      <c r="K98" s="43" t="s">
        <v>100</v>
      </c>
      <c r="L98" s="9" t="s">
        <v>107</v>
      </c>
      <c r="M98" s="9" t="s">
        <v>22</v>
      </c>
      <c r="N98" s="9" t="s">
        <v>22</v>
      </c>
      <c r="O98" s="9" t="s">
        <v>10</v>
      </c>
      <c r="P98" s="9">
        <v>25</v>
      </c>
      <c r="Q98" s="9" t="s">
        <v>73</v>
      </c>
      <c r="R98" s="47">
        <v>0</v>
      </c>
      <c r="S98" s="31"/>
      <c r="T98" s="31"/>
      <c r="U98" s="31"/>
      <c r="V98" s="31"/>
      <c r="W98" s="31"/>
      <c r="X98" s="31"/>
      <c r="Y98" s="31"/>
      <c r="Z98" s="31"/>
    </row>
    <row r="99" spans="1:26" ht="23.25" customHeight="1" x14ac:dyDescent="0.3">
      <c r="A99" s="39">
        <v>98</v>
      </c>
      <c r="B99" s="40">
        <v>5</v>
      </c>
      <c r="C99" s="9">
        <f t="shared" si="10"/>
        <v>60</v>
      </c>
      <c r="D99" s="34" t="s">
        <v>68</v>
      </c>
      <c r="E99" s="9">
        <f t="shared" si="14"/>
        <v>0.25</v>
      </c>
      <c r="F99" s="9">
        <v>3</v>
      </c>
      <c r="G99" s="9">
        <v>1</v>
      </c>
      <c r="H99" s="35" t="s">
        <v>89</v>
      </c>
      <c r="I99" s="42">
        <v>600000</v>
      </c>
      <c r="J99" s="42">
        <v>1000000</v>
      </c>
      <c r="K99" s="43" t="s">
        <v>84</v>
      </c>
      <c r="L99" s="9" t="s">
        <v>98</v>
      </c>
      <c r="M99" s="9" t="s">
        <v>22</v>
      </c>
      <c r="N99" s="9" t="s">
        <v>22</v>
      </c>
      <c r="O99" s="9" t="s">
        <v>72</v>
      </c>
      <c r="P99" s="9">
        <v>23</v>
      </c>
      <c r="Q99" s="9" t="s">
        <v>73</v>
      </c>
      <c r="R99" s="47">
        <v>0</v>
      </c>
      <c r="S99" s="31"/>
      <c r="T99" s="31"/>
      <c r="U99" s="31"/>
      <c r="V99" s="31"/>
      <c r="W99" s="31"/>
      <c r="X99" s="31"/>
      <c r="Y99" s="31"/>
      <c r="Z99" s="31"/>
    </row>
    <row r="100" spans="1:26" ht="23.25" customHeight="1" x14ac:dyDescent="0.3">
      <c r="A100" s="39">
        <v>99</v>
      </c>
      <c r="B100" s="40">
        <v>4</v>
      </c>
      <c r="C100" s="9">
        <f t="shared" si="10"/>
        <v>48</v>
      </c>
      <c r="D100" s="9" t="s">
        <v>102</v>
      </c>
      <c r="E100" s="9">
        <v>2</v>
      </c>
      <c r="F100" s="9">
        <f>E100*12</f>
        <v>24</v>
      </c>
      <c r="G100" s="9">
        <v>1</v>
      </c>
      <c r="H100" s="35" t="s">
        <v>153</v>
      </c>
      <c r="I100" s="42">
        <v>1000000</v>
      </c>
      <c r="J100" s="42">
        <v>1200000</v>
      </c>
      <c r="K100" s="43" t="s">
        <v>97</v>
      </c>
      <c r="L100" s="9" t="s">
        <v>154</v>
      </c>
      <c r="M100" s="9" t="s">
        <v>132</v>
      </c>
      <c r="N100" s="9" t="s">
        <v>132</v>
      </c>
      <c r="O100" s="9" t="s">
        <v>72</v>
      </c>
      <c r="P100" s="9">
        <v>21</v>
      </c>
      <c r="Q100" s="9" t="s">
        <v>73</v>
      </c>
      <c r="R100" s="47">
        <v>0</v>
      </c>
      <c r="S100" s="31"/>
      <c r="T100" s="31"/>
      <c r="U100" s="31"/>
      <c r="V100" s="31"/>
      <c r="W100" s="31"/>
      <c r="X100" s="31"/>
      <c r="Y100" s="31"/>
      <c r="Z100" s="31"/>
    </row>
    <row r="101" spans="1:26" ht="23.25" customHeight="1" x14ac:dyDescent="0.3">
      <c r="A101" s="39">
        <v>100</v>
      </c>
      <c r="B101" s="40">
        <v>5</v>
      </c>
      <c r="C101" s="9">
        <f t="shared" si="10"/>
        <v>60</v>
      </c>
      <c r="D101" s="9" t="s">
        <v>102</v>
      </c>
      <c r="E101" s="9">
        <f>F101/12</f>
        <v>0.16666666666666666</v>
      </c>
      <c r="F101" s="9">
        <v>2</v>
      </c>
      <c r="G101" s="34">
        <v>0</v>
      </c>
      <c r="H101" s="35" t="s">
        <v>151</v>
      </c>
      <c r="I101" s="42">
        <v>5000000</v>
      </c>
      <c r="J101" s="42">
        <v>7000000</v>
      </c>
      <c r="K101" s="43" t="s">
        <v>97</v>
      </c>
      <c r="L101" s="9" t="s">
        <v>90</v>
      </c>
      <c r="M101" s="9" t="s">
        <v>22</v>
      </c>
      <c r="N101" s="9" t="s">
        <v>22</v>
      </c>
      <c r="O101" s="9" t="s">
        <v>10</v>
      </c>
      <c r="P101" s="9">
        <v>23</v>
      </c>
      <c r="Q101" s="9" t="s">
        <v>73</v>
      </c>
      <c r="R101" s="47">
        <v>0</v>
      </c>
      <c r="S101" s="31"/>
      <c r="T101" s="31"/>
      <c r="U101" s="31"/>
      <c r="V101" s="31"/>
      <c r="W101" s="31"/>
      <c r="X101" s="31"/>
      <c r="Y101" s="31"/>
      <c r="Z101" s="31"/>
    </row>
    <row r="102" spans="1:26" ht="23.25" customHeight="1" x14ac:dyDescent="0.3">
      <c r="A102" s="39">
        <v>101</v>
      </c>
      <c r="B102" s="40">
        <v>4</v>
      </c>
      <c r="C102" s="9">
        <f t="shared" si="10"/>
        <v>48</v>
      </c>
      <c r="D102" s="34" t="s">
        <v>68</v>
      </c>
      <c r="E102" s="9">
        <v>3</v>
      </c>
      <c r="F102" s="9">
        <f t="shared" ref="F102:F117" si="15">E102*12</f>
        <v>36</v>
      </c>
      <c r="G102" s="34">
        <v>0</v>
      </c>
      <c r="H102" s="35" t="s">
        <v>151</v>
      </c>
      <c r="I102" s="42">
        <v>2500000</v>
      </c>
      <c r="J102" s="42">
        <v>2500000</v>
      </c>
      <c r="K102" s="43" t="s">
        <v>84</v>
      </c>
      <c r="L102" s="9" t="s">
        <v>98</v>
      </c>
      <c r="M102" s="9" t="s">
        <v>22</v>
      </c>
      <c r="N102" s="9" t="s">
        <v>22</v>
      </c>
      <c r="O102" s="9" t="s">
        <v>10</v>
      </c>
      <c r="P102" s="9">
        <v>25</v>
      </c>
      <c r="Q102" s="9" t="s">
        <v>77</v>
      </c>
      <c r="R102" s="47">
        <v>3</v>
      </c>
      <c r="S102" s="31"/>
      <c r="T102" s="31"/>
      <c r="U102" s="31"/>
      <c r="V102" s="31"/>
      <c r="W102" s="31"/>
      <c r="X102" s="31"/>
      <c r="Y102" s="31"/>
      <c r="Z102" s="31"/>
    </row>
    <row r="103" spans="1:26" ht="23.25" customHeight="1" x14ac:dyDescent="0.3">
      <c r="A103" s="39">
        <v>102</v>
      </c>
      <c r="B103" s="40">
        <v>6</v>
      </c>
      <c r="C103" s="9">
        <f t="shared" si="10"/>
        <v>72</v>
      </c>
      <c r="D103" s="9" t="s">
        <v>74</v>
      </c>
      <c r="E103" s="9">
        <v>5</v>
      </c>
      <c r="F103" s="9">
        <f t="shared" si="15"/>
        <v>60</v>
      </c>
      <c r="G103" s="34">
        <v>0</v>
      </c>
      <c r="H103" s="35" t="s">
        <v>69</v>
      </c>
      <c r="I103" s="42">
        <v>1000000</v>
      </c>
      <c r="J103" s="42">
        <v>1600000</v>
      </c>
      <c r="K103" s="43" t="s">
        <v>97</v>
      </c>
      <c r="L103" s="9" t="s">
        <v>107</v>
      </c>
      <c r="M103" s="9" t="s">
        <v>22</v>
      </c>
      <c r="N103" s="9" t="s">
        <v>22</v>
      </c>
      <c r="O103" s="9" t="s">
        <v>10</v>
      </c>
      <c r="P103" s="9">
        <v>38</v>
      </c>
      <c r="Q103" s="9" t="s">
        <v>80</v>
      </c>
      <c r="R103" s="47">
        <v>3</v>
      </c>
      <c r="S103" s="31"/>
      <c r="T103" s="31"/>
      <c r="U103" s="31"/>
      <c r="V103" s="31"/>
      <c r="W103" s="31"/>
      <c r="X103" s="31"/>
      <c r="Y103" s="31"/>
      <c r="Z103" s="31"/>
    </row>
    <row r="104" spans="1:26" ht="23.25" customHeight="1" x14ac:dyDescent="0.3">
      <c r="A104" s="39">
        <v>103</v>
      </c>
      <c r="B104" s="40">
        <v>6</v>
      </c>
      <c r="C104" s="9">
        <f t="shared" si="10"/>
        <v>72</v>
      </c>
      <c r="D104" s="9" t="s">
        <v>74</v>
      </c>
      <c r="E104" s="9">
        <v>4</v>
      </c>
      <c r="F104" s="9">
        <f t="shared" si="15"/>
        <v>48</v>
      </c>
      <c r="G104" s="9">
        <v>1</v>
      </c>
      <c r="H104" s="35" t="s">
        <v>69</v>
      </c>
      <c r="I104" s="42">
        <v>1000000</v>
      </c>
      <c r="J104" s="42">
        <v>1400000</v>
      </c>
      <c r="K104" s="43" t="s">
        <v>84</v>
      </c>
      <c r="L104" s="9" t="s">
        <v>98</v>
      </c>
      <c r="M104" s="9" t="s">
        <v>132</v>
      </c>
      <c r="N104" s="9" t="s">
        <v>22</v>
      </c>
      <c r="O104" s="9" t="s">
        <v>10</v>
      </c>
      <c r="P104" s="9">
        <v>25</v>
      </c>
      <c r="Q104" s="9" t="s">
        <v>80</v>
      </c>
      <c r="R104" s="47">
        <v>0</v>
      </c>
      <c r="S104" s="31"/>
      <c r="T104" s="31"/>
      <c r="U104" s="31"/>
      <c r="V104" s="31"/>
      <c r="W104" s="31"/>
      <c r="X104" s="31"/>
      <c r="Y104" s="31"/>
      <c r="Z104" s="31"/>
    </row>
    <row r="105" spans="1:26" ht="23.25" customHeight="1" x14ac:dyDescent="0.3">
      <c r="A105" s="39">
        <v>104</v>
      </c>
      <c r="B105" s="40">
        <v>11</v>
      </c>
      <c r="C105" s="9">
        <f t="shared" si="10"/>
        <v>132</v>
      </c>
      <c r="D105" s="9" t="s">
        <v>102</v>
      </c>
      <c r="E105" s="9">
        <v>2</v>
      </c>
      <c r="F105" s="9">
        <f t="shared" si="15"/>
        <v>24</v>
      </c>
      <c r="G105" s="9">
        <v>1</v>
      </c>
      <c r="H105" s="35" t="s">
        <v>155</v>
      </c>
      <c r="I105" s="42">
        <v>800000</v>
      </c>
      <c r="J105" s="42">
        <v>1100000</v>
      </c>
      <c r="K105" s="43" t="s">
        <v>84</v>
      </c>
      <c r="L105" s="9" t="s">
        <v>98</v>
      </c>
      <c r="M105" s="9" t="s">
        <v>22</v>
      </c>
      <c r="N105" s="9" t="s">
        <v>22</v>
      </c>
      <c r="O105" s="9" t="s">
        <v>72</v>
      </c>
      <c r="P105" s="9">
        <v>24</v>
      </c>
      <c r="Q105" s="9" t="s">
        <v>73</v>
      </c>
      <c r="R105" s="47">
        <v>0</v>
      </c>
      <c r="S105" s="31"/>
      <c r="T105" s="31"/>
      <c r="U105" s="31"/>
      <c r="V105" s="31"/>
      <c r="W105" s="31"/>
      <c r="X105" s="31"/>
      <c r="Y105" s="31"/>
      <c r="Z105" s="31"/>
    </row>
    <row r="106" spans="1:26" ht="23.25" customHeight="1" x14ac:dyDescent="0.3">
      <c r="A106" s="39">
        <v>105</v>
      </c>
      <c r="B106" s="40">
        <v>6</v>
      </c>
      <c r="C106" s="9">
        <f t="shared" si="10"/>
        <v>72</v>
      </c>
      <c r="D106" s="34" t="s">
        <v>68</v>
      </c>
      <c r="E106" s="9">
        <v>5</v>
      </c>
      <c r="F106" s="9">
        <f t="shared" si="15"/>
        <v>60</v>
      </c>
      <c r="G106" s="9">
        <v>1</v>
      </c>
      <c r="H106" s="35" t="s">
        <v>89</v>
      </c>
      <c r="I106" s="42">
        <v>700000</v>
      </c>
      <c r="J106" s="42">
        <v>1200000</v>
      </c>
      <c r="K106" s="43" t="s">
        <v>97</v>
      </c>
      <c r="L106" s="9" t="s">
        <v>156</v>
      </c>
      <c r="M106" s="9" t="s">
        <v>22</v>
      </c>
      <c r="N106" s="9" t="s">
        <v>22</v>
      </c>
      <c r="O106" s="9" t="s">
        <v>10</v>
      </c>
      <c r="P106" s="9">
        <v>30</v>
      </c>
      <c r="Q106" s="9" t="s">
        <v>73</v>
      </c>
      <c r="R106" s="47">
        <v>1</v>
      </c>
      <c r="S106" s="31"/>
      <c r="T106" s="31"/>
      <c r="U106" s="31"/>
      <c r="V106" s="31"/>
      <c r="W106" s="31"/>
      <c r="X106" s="31"/>
      <c r="Y106" s="31"/>
      <c r="Z106" s="31"/>
    </row>
    <row r="107" spans="1:26" ht="23.25" customHeight="1" x14ac:dyDescent="0.3">
      <c r="A107" s="39">
        <v>106</v>
      </c>
      <c r="B107" s="40">
        <v>25</v>
      </c>
      <c r="C107" s="9">
        <f t="shared" si="10"/>
        <v>300</v>
      </c>
      <c r="D107" s="34" t="s">
        <v>68</v>
      </c>
      <c r="E107" s="9">
        <v>25</v>
      </c>
      <c r="F107" s="9">
        <f t="shared" si="15"/>
        <v>300</v>
      </c>
      <c r="G107" s="34">
        <v>0</v>
      </c>
      <c r="H107" s="35" t="s">
        <v>151</v>
      </c>
      <c r="I107" s="42">
        <v>2000000</v>
      </c>
      <c r="J107" s="42">
        <v>2500000</v>
      </c>
      <c r="K107" s="43" t="s">
        <v>70</v>
      </c>
      <c r="L107" s="9" t="s">
        <v>82</v>
      </c>
      <c r="M107" s="9" t="s">
        <v>22</v>
      </c>
      <c r="N107" s="9" t="s">
        <v>22</v>
      </c>
      <c r="O107" s="9" t="s">
        <v>10</v>
      </c>
      <c r="P107" s="9">
        <v>38</v>
      </c>
      <c r="Q107" s="9" t="s">
        <v>77</v>
      </c>
      <c r="R107" s="47">
        <v>0</v>
      </c>
      <c r="S107" s="31"/>
      <c r="T107" s="31"/>
      <c r="U107" s="31"/>
      <c r="V107" s="31"/>
      <c r="W107" s="31"/>
      <c r="X107" s="31"/>
      <c r="Y107" s="31"/>
      <c r="Z107" s="31"/>
    </row>
    <row r="108" spans="1:26" ht="23.25" customHeight="1" x14ac:dyDescent="0.3">
      <c r="A108" s="39">
        <v>107</v>
      </c>
      <c r="B108" s="40">
        <v>4</v>
      </c>
      <c r="C108" s="9">
        <f t="shared" si="10"/>
        <v>48</v>
      </c>
      <c r="D108" s="9" t="s">
        <v>74</v>
      </c>
      <c r="E108" s="9">
        <v>4</v>
      </c>
      <c r="F108" s="9">
        <f t="shared" si="15"/>
        <v>48</v>
      </c>
      <c r="G108" s="9">
        <v>1</v>
      </c>
      <c r="H108" s="35" t="s">
        <v>83</v>
      </c>
      <c r="I108" s="42">
        <v>800000</v>
      </c>
      <c r="J108" s="42">
        <v>1112000</v>
      </c>
      <c r="K108" s="43" t="s">
        <v>97</v>
      </c>
      <c r="L108" s="9" t="s">
        <v>107</v>
      </c>
      <c r="M108" s="9" t="s">
        <v>22</v>
      </c>
      <c r="N108" s="9" t="s">
        <v>22</v>
      </c>
      <c r="O108" s="9" t="s">
        <v>10</v>
      </c>
      <c r="P108" s="9">
        <v>23</v>
      </c>
      <c r="Q108" s="9" t="s">
        <v>73</v>
      </c>
      <c r="R108" s="47">
        <v>0</v>
      </c>
      <c r="S108" s="31"/>
      <c r="T108" s="31"/>
      <c r="U108" s="31"/>
      <c r="V108" s="31"/>
      <c r="W108" s="31"/>
      <c r="X108" s="31"/>
      <c r="Y108" s="31"/>
      <c r="Z108" s="31"/>
    </row>
    <row r="109" spans="1:26" ht="23.25" customHeight="1" x14ac:dyDescent="0.3">
      <c r="A109" s="39">
        <v>108</v>
      </c>
      <c r="B109" s="40">
        <v>15</v>
      </c>
      <c r="C109" s="9">
        <f t="shared" si="10"/>
        <v>180</v>
      </c>
      <c r="D109" s="34" t="s">
        <v>68</v>
      </c>
      <c r="E109" s="9">
        <v>5</v>
      </c>
      <c r="F109" s="9">
        <f t="shared" si="15"/>
        <v>60</v>
      </c>
      <c r="G109" s="9">
        <v>1</v>
      </c>
      <c r="H109" s="35" t="s">
        <v>89</v>
      </c>
      <c r="I109" s="42">
        <v>1000000</v>
      </c>
      <c r="J109" s="42">
        <v>1300000</v>
      </c>
      <c r="K109" s="43" t="s">
        <v>84</v>
      </c>
      <c r="L109" s="9" t="s">
        <v>98</v>
      </c>
      <c r="M109" s="9" t="s">
        <v>132</v>
      </c>
      <c r="N109" s="9" t="s">
        <v>22</v>
      </c>
      <c r="O109" s="9" t="s">
        <v>10</v>
      </c>
      <c r="P109" s="9">
        <v>31</v>
      </c>
      <c r="Q109" s="9" t="s">
        <v>73</v>
      </c>
      <c r="R109" s="47">
        <v>2</v>
      </c>
      <c r="S109" s="31"/>
      <c r="T109" s="31"/>
      <c r="U109" s="31"/>
      <c r="V109" s="31"/>
      <c r="W109" s="31"/>
      <c r="X109" s="31"/>
      <c r="Y109" s="31"/>
      <c r="Z109" s="31"/>
    </row>
    <row r="110" spans="1:26" ht="23.25" customHeight="1" x14ac:dyDescent="0.3">
      <c r="A110" s="39">
        <v>109</v>
      </c>
      <c r="B110" s="40">
        <v>17</v>
      </c>
      <c r="C110" s="9">
        <f t="shared" si="10"/>
        <v>204</v>
      </c>
      <c r="D110" s="9" t="s">
        <v>102</v>
      </c>
      <c r="E110" s="9">
        <v>5</v>
      </c>
      <c r="F110" s="9">
        <f t="shared" si="15"/>
        <v>60</v>
      </c>
      <c r="G110" s="34">
        <v>0</v>
      </c>
      <c r="H110" s="35" t="s">
        <v>153</v>
      </c>
      <c r="I110" s="42">
        <v>1700000</v>
      </c>
      <c r="J110" s="42">
        <v>980000</v>
      </c>
      <c r="K110" s="43" t="s">
        <v>70</v>
      </c>
      <c r="L110" s="9" t="s">
        <v>157</v>
      </c>
      <c r="M110" s="9" t="s">
        <v>132</v>
      </c>
      <c r="N110" s="9" t="s">
        <v>132</v>
      </c>
      <c r="O110" s="9" t="s">
        <v>72</v>
      </c>
      <c r="P110" s="9">
        <v>31</v>
      </c>
      <c r="Q110" s="9" t="s">
        <v>73</v>
      </c>
      <c r="R110" s="47">
        <v>2</v>
      </c>
      <c r="S110" s="31"/>
      <c r="T110" s="31"/>
      <c r="U110" s="31"/>
      <c r="V110" s="31"/>
      <c r="W110" s="31"/>
      <c r="X110" s="31"/>
      <c r="Y110" s="31"/>
      <c r="Z110" s="31"/>
    </row>
    <row r="111" spans="1:26" ht="23.25" customHeight="1" x14ac:dyDescent="0.3">
      <c r="A111" s="39">
        <v>110</v>
      </c>
      <c r="B111" s="40">
        <v>30</v>
      </c>
      <c r="C111" s="9">
        <f t="shared" si="10"/>
        <v>360</v>
      </c>
      <c r="D111" s="9" t="s">
        <v>123</v>
      </c>
      <c r="E111" s="9">
        <v>28</v>
      </c>
      <c r="F111" s="9">
        <f t="shared" si="15"/>
        <v>336</v>
      </c>
      <c r="G111" s="9">
        <v>1</v>
      </c>
      <c r="H111" s="35" t="s">
        <v>124</v>
      </c>
      <c r="I111" s="42">
        <v>2000000</v>
      </c>
      <c r="J111" s="42">
        <v>5000000</v>
      </c>
      <c r="K111" s="43" t="s">
        <v>114</v>
      </c>
      <c r="L111" s="9" t="s">
        <v>98</v>
      </c>
      <c r="M111" s="9" t="s">
        <v>132</v>
      </c>
      <c r="N111" s="9" t="s">
        <v>22</v>
      </c>
      <c r="O111" s="9" t="s">
        <v>72</v>
      </c>
      <c r="P111" s="9">
        <v>58</v>
      </c>
      <c r="Q111" s="9" t="s">
        <v>77</v>
      </c>
      <c r="R111" s="47">
        <v>4</v>
      </c>
      <c r="S111" s="31"/>
      <c r="T111" s="31"/>
      <c r="U111" s="31"/>
      <c r="V111" s="31"/>
      <c r="W111" s="31"/>
      <c r="X111" s="31"/>
      <c r="Y111" s="31"/>
      <c r="Z111" s="31"/>
    </row>
    <row r="112" spans="1:26" ht="23.25" customHeight="1" x14ac:dyDescent="0.3">
      <c r="A112" s="39">
        <v>111</v>
      </c>
      <c r="B112" s="40">
        <v>3</v>
      </c>
      <c r="C112" s="9">
        <f t="shared" si="10"/>
        <v>36</v>
      </c>
      <c r="D112" s="34" t="s">
        <v>68</v>
      </c>
      <c r="E112" s="9">
        <v>2</v>
      </c>
      <c r="F112" s="9">
        <f t="shared" si="15"/>
        <v>24</v>
      </c>
      <c r="G112" s="9">
        <v>1</v>
      </c>
      <c r="H112" s="35" t="s">
        <v>69</v>
      </c>
      <c r="I112" s="42">
        <v>500000</v>
      </c>
      <c r="J112" s="42">
        <v>8000000</v>
      </c>
      <c r="K112" s="43" t="s">
        <v>114</v>
      </c>
      <c r="L112" s="9" t="s">
        <v>98</v>
      </c>
      <c r="M112" s="9" t="s">
        <v>22</v>
      </c>
      <c r="N112" s="9" t="s">
        <v>22</v>
      </c>
      <c r="O112" s="9" t="s">
        <v>10</v>
      </c>
      <c r="P112" s="9">
        <v>23</v>
      </c>
      <c r="Q112" s="9" t="s">
        <v>73</v>
      </c>
      <c r="R112" s="47">
        <v>2</v>
      </c>
      <c r="S112" s="31"/>
      <c r="T112" s="31"/>
      <c r="U112" s="31"/>
      <c r="V112" s="31"/>
      <c r="W112" s="31"/>
      <c r="X112" s="31"/>
      <c r="Y112" s="31"/>
      <c r="Z112" s="31"/>
    </row>
    <row r="113" spans="1:26" ht="23.25" customHeight="1" x14ac:dyDescent="0.3">
      <c r="A113" s="39">
        <v>112</v>
      </c>
      <c r="B113" s="40">
        <v>3</v>
      </c>
      <c r="C113" s="9">
        <f t="shared" si="10"/>
        <v>36</v>
      </c>
      <c r="D113" s="9" t="s">
        <v>102</v>
      </c>
      <c r="E113" s="9">
        <v>2</v>
      </c>
      <c r="F113" s="9">
        <f t="shared" si="15"/>
        <v>24</v>
      </c>
      <c r="G113" s="9">
        <v>1</v>
      </c>
      <c r="H113" s="35" t="s">
        <v>69</v>
      </c>
      <c r="I113" s="42">
        <v>1000000</v>
      </c>
      <c r="J113" s="42">
        <v>1000000</v>
      </c>
      <c r="K113" s="43" t="s">
        <v>84</v>
      </c>
      <c r="L113" s="9" t="s">
        <v>98</v>
      </c>
      <c r="M113" s="9" t="s">
        <v>22</v>
      </c>
      <c r="N113" s="9" t="s">
        <v>22</v>
      </c>
      <c r="O113" s="9" t="s">
        <v>10</v>
      </c>
      <c r="P113" s="9">
        <v>20</v>
      </c>
      <c r="Q113" s="9" t="s">
        <v>73</v>
      </c>
      <c r="R113" s="47">
        <v>0</v>
      </c>
      <c r="S113" s="31"/>
      <c r="T113" s="31"/>
      <c r="U113" s="31"/>
      <c r="V113" s="31"/>
      <c r="W113" s="31"/>
      <c r="X113" s="31"/>
      <c r="Y113" s="31"/>
      <c r="Z113" s="31"/>
    </row>
    <row r="114" spans="1:26" ht="23.25" customHeight="1" x14ac:dyDescent="0.3">
      <c r="A114" s="39">
        <v>113</v>
      </c>
      <c r="B114" s="40">
        <v>20</v>
      </c>
      <c r="C114" s="9">
        <f t="shared" si="10"/>
        <v>240</v>
      </c>
      <c r="D114" s="34" t="s">
        <v>68</v>
      </c>
      <c r="E114" s="9">
        <v>15</v>
      </c>
      <c r="F114" s="9">
        <f t="shared" si="15"/>
        <v>180</v>
      </c>
      <c r="G114" s="34">
        <v>0</v>
      </c>
      <c r="H114" s="35" t="s">
        <v>151</v>
      </c>
      <c r="I114" s="42">
        <v>1800000</v>
      </c>
      <c r="J114" s="42">
        <v>900000</v>
      </c>
      <c r="K114" s="43" t="s">
        <v>84</v>
      </c>
      <c r="L114" s="9" t="s">
        <v>98</v>
      </c>
      <c r="M114" s="9" t="s">
        <v>158</v>
      </c>
      <c r="N114" s="9" t="s">
        <v>22</v>
      </c>
      <c r="O114" s="9" t="s">
        <v>10</v>
      </c>
      <c r="P114" s="9">
        <v>47</v>
      </c>
      <c r="Q114" s="9" t="s">
        <v>80</v>
      </c>
      <c r="R114" s="47">
        <v>2</v>
      </c>
      <c r="S114" s="31"/>
      <c r="T114" s="31"/>
      <c r="U114" s="31"/>
      <c r="V114" s="31"/>
      <c r="W114" s="31"/>
      <c r="X114" s="31"/>
      <c r="Y114" s="31"/>
      <c r="Z114" s="31"/>
    </row>
    <row r="115" spans="1:26" ht="23.25" customHeight="1" x14ac:dyDescent="0.3">
      <c r="A115" s="39">
        <v>114</v>
      </c>
      <c r="B115" s="40">
        <v>20</v>
      </c>
      <c r="C115" s="9">
        <f t="shared" si="10"/>
        <v>240</v>
      </c>
      <c r="D115" s="34" t="s">
        <v>68</v>
      </c>
      <c r="E115" s="9">
        <v>1</v>
      </c>
      <c r="F115" s="9">
        <f t="shared" si="15"/>
        <v>12</v>
      </c>
      <c r="G115" s="9">
        <v>1</v>
      </c>
      <c r="H115" s="35" t="s">
        <v>69</v>
      </c>
      <c r="I115" s="42">
        <v>908000</v>
      </c>
      <c r="J115" s="42">
        <v>1000000</v>
      </c>
      <c r="K115" s="43" t="s">
        <v>84</v>
      </c>
      <c r="L115" s="9" t="s">
        <v>98</v>
      </c>
      <c r="M115" s="9" t="s">
        <v>132</v>
      </c>
      <c r="N115" s="9" t="s">
        <v>22</v>
      </c>
      <c r="O115" s="9" t="s">
        <v>10</v>
      </c>
      <c r="P115" s="9">
        <v>43</v>
      </c>
      <c r="Q115" s="9" t="s">
        <v>73</v>
      </c>
      <c r="R115" s="47">
        <v>1</v>
      </c>
      <c r="S115" s="31"/>
      <c r="T115" s="31"/>
      <c r="U115" s="31"/>
      <c r="V115" s="31"/>
      <c r="W115" s="31"/>
      <c r="X115" s="31"/>
      <c r="Y115" s="31"/>
      <c r="Z115" s="31"/>
    </row>
    <row r="116" spans="1:26" ht="23.25" customHeight="1" x14ac:dyDescent="0.3">
      <c r="A116" s="39">
        <v>115</v>
      </c>
      <c r="B116" s="40">
        <v>6</v>
      </c>
      <c r="C116" s="9">
        <f t="shared" si="10"/>
        <v>72</v>
      </c>
      <c r="D116" s="9" t="s">
        <v>74</v>
      </c>
      <c r="E116" s="9">
        <v>6</v>
      </c>
      <c r="F116" s="9">
        <f t="shared" si="15"/>
        <v>72</v>
      </c>
      <c r="G116" s="9">
        <v>1</v>
      </c>
      <c r="H116" s="35" t="s">
        <v>83</v>
      </c>
      <c r="I116" s="42">
        <v>700000</v>
      </c>
      <c r="J116" s="42">
        <v>1500000</v>
      </c>
      <c r="K116" s="43" t="s">
        <v>97</v>
      </c>
      <c r="L116" s="9" t="s">
        <v>156</v>
      </c>
      <c r="M116" s="9" t="s">
        <v>22</v>
      </c>
      <c r="N116" s="9" t="s">
        <v>22</v>
      </c>
      <c r="O116" s="9" t="s">
        <v>72</v>
      </c>
      <c r="P116" s="9">
        <v>25</v>
      </c>
      <c r="Q116" s="9" t="s">
        <v>77</v>
      </c>
      <c r="R116" s="47">
        <v>1</v>
      </c>
      <c r="S116" s="31"/>
      <c r="T116" s="31"/>
      <c r="U116" s="31"/>
      <c r="V116" s="31"/>
      <c r="W116" s="31"/>
      <c r="X116" s="31"/>
      <c r="Y116" s="31"/>
      <c r="Z116" s="31"/>
    </row>
    <row r="117" spans="1:26" ht="23.25" customHeight="1" x14ac:dyDescent="0.3">
      <c r="A117" s="39">
        <v>116</v>
      </c>
      <c r="B117" s="40">
        <v>15</v>
      </c>
      <c r="C117" s="9">
        <f t="shared" si="10"/>
        <v>180</v>
      </c>
      <c r="D117" s="9" t="s">
        <v>74</v>
      </c>
      <c r="E117" s="9">
        <v>15</v>
      </c>
      <c r="F117" s="9">
        <f t="shared" si="15"/>
        <v>180</v>
      </c>
      <c r="G117" s="9">
        <v>1</v>
      </c>
      <c r="H117" s="35" t="s">
        <v>83</v>
      </c>
      <c r="I117" s="42">
        <v>1400000</v>
      </c>
      <c r="J117" s="42">
        <v>1600000</v>
      </c>
      <c r="K117" s="43" t="s">
        <v>97</v>
      </c>
      <c r="L117" s="9" t="s">
        <v>156</v>
      </c>
      <c r="M117" s="9" t="s">
        <v>22</v>
      </c>
      <c r="N117" s="9" t="s">
        <v>22</v>
      </c>
      <c r="O117" s="9" t="s">
        <v>72</v>
      </c>
      <c r="P117" s="9">
        <v>38</v>
      </c>
      <c r="Q117" s="9" t="s">
        <v>80</v>
      </c>
      <c r="R117" s="47">
        <v>3</v>
      </c>
      <c r="S117" s="31"/>
      <c r="T117" s="31"/>
      <c r="U117" s="31"/>
      <c r="V117" s="31"/>
      <c r="W117" s="31"/>
      <c r="X117" s="31"/>
      <c r="Y117" s="31"/>
      <c r="Z117" s="31"/>
    </row>
    <row r="118" spans="1:26" ht="23.25" customHeight="1" x14ac:dyDescent="0.3">
      <c r="A118" s="39">
        <v>117</v>
      </c>
      <c r="B118" s="40">
        <v>7</v>
      </c>
      <c r="C118" s="9">
        <f t="shared" si="10"/>
        <v>84</v>
      </c>
      <c r="D118" s="34" t="s">
        <v>68</v>
      </c>
      <c r="E118" s="9">
        <f>F118/12</f>
        <v>0.58333333333333337</v>
      </c>
      <c r="F118" s="9">
        <v>7</v>
      </c>
      <c r="G118" s="9">
        <v>1</v>
      </c>
      <c r="H118" s="35" t="s">
        <v>69</v>
      </c>
      <c r="I118" s="42">
        <v>450000</v>
      </c>
      <c r="J118" s="42">
        <v>1700000</v>
      </c>
      <c r="K118" s="43" t="s">
        <v>84</v>
      </c>
      <c r="L118" s="9" t="s">
        <v>98</v>
      </c>
      <c r="M118" s="9" t="s">
        <v>22</v>
      </c>
      <c r="N118" s="9" t="s">
        <v>22</v>
      </c>
      <c r="O118" s="9" t="s">
        <v>10</v>
      </c>
      <c r="P118" s="9">
        <v>24</v>
      </c>
      <c r="Q118" s="9" t="s">
        <v>73</v>
      </c>
      <c r="R118" s="47">
        <v>1</v>
      </c>
      <c r="S118" s="31"/>
      <c r="T118" s="31"/>
      <c r="U118" s="31"/>
      <c r="V118" s="31"/>
      <c r="W118" s="31"/>
      <c r="X118" s="31"/>
      <c r="Y118" s="31"/>
      <c r="Z118" s="31"/>
    </row>
    <row r="119" spans="1:26" ht="23.25" customHeight="1" x14ac:dyDescent="0.3">
      <c r="A119" s="39">
        <v>118</v>
      </c>
      <c r="B119" s="40">
        <v>6</v>
      </c>
      <c r="C119" s="9">
        <f t="shared" si="10"/>
        <v>72</v>
      </c>
      <c r="D119" s="34" t="s">
        <v>68</v>
      </c>
      <c r="E119" s="9">
        <v>1</v>
      </c>
      <c r="F119" s="9">
        <f>E119*12</f>
        <v>12</v>
      </c>
      <c r="G119" s="9">
        <v>1</v>
      </c>
      <c r="H119" s="35" t="s">
        <v>83</v>
      </c>
      <c r="I119" s="42">
        <v>400000</v>
      </c>
      <c r="J119" s="42">
        <v>2000000</v>
      </c>
      <c r="K119" s="43" t="s">
        <v>84</v>
      </c>
      <c r="L119" s="9" t="s">
        <v>98</v>
      </c>
      <c r="M119" s="9" t="s">
        <v>132</v>
      </c>
      <c r="N119" s="9" t="s">
        <v>22</v>
      </c>
      <c r="O119" s="9" t="s">
        <v>72</v>
      </c>
      <c r="P119" s="9">
        <v>22</v>
      </c>
      <c r="Q119" s="9" t="s">
        <v>73</v>
      </c>
      <c r="R119" s="47">
        <v>2</v>
      </c>
      <c r="S119" s="31"/>
      <c r="T119" s="31"/>
      <c r="U119" s="31"/>
      <c r="V119" s="31"/>
      <c r="W119" s="31"/>
      <c r="X119" s="31"/>
      <c r="Y119" s="31"/>
      <c r="Z119" s="31"/>
    </row>
    <row r="120" spans="1:26" ht="23.25" customHeight="1" x14ac:dyDescent="0.3">
      <c r="A120" s="39">
        <v>119</v>
      </c>
      <c r="B120" s="40">
        <v>7</v>
      </c>
      <c r="C120" s="9">
        <f t="shared" si="10"/>
        <v>84</v>
      </c>
      <c r="D120" s="34" t="s">
        <v>68</v>
      </c>
      <c r="E120" s="9">
        <f>F120/12</f>
        <v>0.5</v>
      </c>
      <c r="F120" s="9">
        <v>6</v>
      </c>
      <c r="G120" s="34">
        <v>0</v>
      </c>
      <c r="H120" s="35" t="s">
        <v>89</v>
      </c>
      <c r="I120" s="42">
        <v>900000</v>
      </c>
      <c r="J120" s="42">
        <v>1600000</v>
      </c>
      <c r="K120" s="43" t="s">
        <v>100</v>
      </c>
      <c r="L120" s="9" t="s">
        <v>159</v>
      </c>
      <c r="M120" s="9" t="s">
        <v>22</v>
      </c>
      <c r="N120" s="9" t="s">
        <v>22</v>
      </c>
      <c r="O120" s="9" t="s">
        <v>10</v>
      </c>
      <c r="P120" s="9">
        <v>34</v>
      </c>
      <c r="Q120" s="9" t="s">
        <v>80</v>
      </c>
      <c r="R120" s="47">
        <v>3</v>
      </c>
      <c r="S120" s="31"/>
      <c r="T120" s="31"/>
      <c r="U120" s="31"/>
      <c r="V120" s="31"/>
      <c r="W120" s="31"/>
      <c r="X120" s="31"/>
      <c r="Y120" s="31"/>
      <c r="Z120" s="31"/>
    </row>
    <row r="121" spans="1:26" ht="23.25" customHeight="1" x14ac:dyDescent="0.3">
      <c r="A121" s="39">
        <v>120</v>
      </c>
      <c r="B121" s="40">
        <v>10</v>
      </c>
      <c r="C121" s="9">
        <f t="shared" si="10"/>
        <v>120</v>
      </c>
      <c r="D121" s="34" t="s">
        <v>68</v>
      </c>
      <c r="E121" s="9">
        <v>10</v>
      </c>
      <c r="F121" s="9">
        <f t="shared" ref="F121:F126" si="16">E121*12</f>
        <v>120</v>
      </c>
      <c r="G121" s="9">
        <v>1</v>
      </c>
      <c r="H121" s="35" t="s">
        <v>89</v>
      </c>
      <c r="I121" s="42">
        <v>900000</v>
      </c>
      <c r="J121" s="42">
        <v>1400000</v>
      </c>
      <c r="K121" s="43" t="s">
        <v>160</v>
      </c>
      <c r="L121" s="9" t="s">
        <v>161</v>
      </c>
      <c r="M121" s="9" t="s">
        <v>22</v>
      </c>
      <c r="N121" s="9" t="s">
        <v>22</v>
      </c>
      <c r="O121" s="9" t="s">
        <v>72</v>
      </c>
      <c r="P121" s="9">
        <v>24</v>
      </c>
      <c r="Q121" s="9" t="s">
        <v>77</v>
      </c>
      <c r="R121" s="47">
        <v>0</v>
      </c>
      <c r="S121" s="31"/>
      <c r="T121" s="31"/>
      <c r="U121" s="31"/>
      <c r="V121" s="31"/>
      <c r="W121" s="31"/>
      <c r="X121" s="31"/>
      <c r="Y121" s="31"/>
      <c r="Z121" s="31"/>
    </row>
    <row r="122" spans="1:26" ht="23.25" customHeight="1" x14ac:dyDescent="0.3">
      <c r="A122" s="39">
        <v>121</v>
      </c>
      <c r="B122" s="40">
        <v>7</v>
      </c>
      <c r="C122" s="9">
        <f t="shared" si="10"/>
        <v>84</v>
      </c>
      <c r="D122" s="9" t="s">
        <v>111</v>
      </c>
      <c r="E122" s="9">
        <v>2</v>
      </c>
      <c r="F122" s="9">
        <f t="shared" si="16"/>
        <v>24</v>
      </c>
      <c r="G122" s="9">
        <v>1</v>
      </c>
      <c r="H122" s="41" t="s">
        <v>91</v>
      </c>
      <c r="I122" s="42">
        <v>600000</v>
      </c>
      <c r="J122" s="42">
        <v>2200000</v>
      </c>
      <c r="K122" s="43" t="s">
        <v>160</v>
      </c>
      <c r="L122" s="9" t="s">
        <v>71</v>
      </c>
      <c r="M122" s="9" t="s">
        <v>88</v>
      </c>
      <c r="N122" s="9" t="s">
        <v>22</v>
      </c>
      <c r="O122" s="9" t="s">
        <v>72</v>
      </c>
      <c r="P122" s="9">
        <v>40</v>
      </c>
      <c r="Q122" s="9" t="s">
        <v>121</v>
      </c>
      <c r="R122" s="47">
        <v>0</v>
      </c>
      <c r="S122" s="31"/>
      <c r="T122" s="31"/>
      <c r="U122" s="31"/>
      <c r="V122" s="31"/>
      <c r="W122" s="31"/>
      <c r="X122" s="31"/>
      <c r="Y122" s="31"/>
      <c r="Z122" s="31"/>
    </row>
    <row r="123" spans="1:26" ht="23.25" customHeight="1" x14ac:dyDescent="0.3">
      <c r="A123" s="39">
        <v>122</v>
      </c>
      <c r="B123" s="40">
        <v>2</v>
      </c>
      <c r="C123" s="9">
        <f t="shared" si="10"/>
        <v>24</v>
      </c>
      <c r="D123" s="9" t="s">
        <v>102</v>
      </c>
      <c r="E123" s="9">
        <v>2</v>
      </c>
      <c r="F123" s="9">
        <f t="shared" si="16"/>
        <v>24</v>
      </c>
      <c r="G123" s="9">
        <v>1</v>
      </c>
      <c r="H123" s="35" t="s">
        <v>69</v>
      </c>
      <c r="I123" s="42">
        <v>400000</v>
      </c>
      <c r="J123" s="42">
        <v>1000000</v>
      </c>
      <c r="K123" s="43" t="s">
        <v>84</v>
      </c>
      <c r="L123" s="9" t="s">
        <v>98</v>
      </c>
      <c r="M123" s="9" t="s">
        <v>22</v>
      </c>
      <c r="N123" s="9" t="s">
        <v>22</v>
      </c>
      <c r="O123" s="9" t="s">
        <v>10</v>
      </c>
      <c r="P123" s="9">
        <v>27</v>
      </c>
      <c r="Q123" s="9" t="s">
        <v>73</v>
      </c>
      <c r="R123" s="47">
        <v>3</v>
      </c>
      <c r="S123" s="31"/>
      <c r="T123" s="31"/>
      <c r="U123" s="31"/>
      <c r="V123" s="31"/>
      <c r="W123" s="31"/>
      <c r="X123" s="31"/>
      <c r="Y123" s="31"/>
      <c r="Z123" s="31"/>
    </row>
    <row r="124" spans="1:26" ht="23.25" customHeight="1" x14ac:dyDescent="0.3">
      <c r="A124" s="39">
        <v>123</v>
      </c>
      <c r="B124" s="40">
        <v>12</v>
      </c>
      <c r="C124" s="9">
        <f t="shared" si="10"/>
        <v>144</v>
      </c>
      <c r="D124" s="34" t="s">
        <v>68</v>
      </c>
      <c r="E124" s="9">
        <v>12</v>
      </c>
      <c r="F124" s="9">
        <f t="shared" si="16"/>
        <v>144</v>
      </c>
      <c r="G124" s="34">
        <v>0</v>
      </c>
      <c r="H124" s="35" t="s">
        <v>89</v>
      </c>
      <c r="I124" s="42">
        <v>3000000</v>
      </c>
      <c r="J124" s="42">
        <v>8000000</v>
      </c>
      <c r="K124" s="43" t="s">
        <v>97</v>
      </c>
      <c r="L124" s="9" t="s">
        <v>90</v>
      </c>
      <c r="M124" s="9" t="s">
        <v>22</v>
      </c>
      <c r="N124" s="9" t="s">
        <v>22</v>
      </c>
      <c r="O124" s="9" t="s">
        <v>10</v>
      </c>
      <c r="P124" s="9">
        <v>49</v>
      </c>
      <c r="Q124" s="9" t="s">
        <v>77</v>
      </c>
      <c r="R124" s="47">
        <v>2</v>
      </c>
      <c r="S124" s="31"/>
      <c r="T124" s="31"/>
      <c r="U124" s="31"/>
      <c r="V124" s="31"/>
      <c r="W124" s="31"/>
      <c r="X124" s="31"/>
      <c r="Y124" s="31"/>
      <c r="Z124" s="31"/>
    </row>
    <row r="125" spans="1:26" ht="23.25" customHeight="1" x14ac:dyDescent="0.3">
      <c r="A125" s="39">
        <v>124</v>
      </c>
      <c r="B125" s="40">
        <v>15</v>
      </c>
      <c r="C125" s="9">
        <f t="shared" si="10"/>
        <v>180</v>
      </c>
      <c r="D125" s="9" t="s">
        <v>74</v>
      </c>
      <c r="E125" s="9">
        <v>15</v>
      </c>
      <c r="F125" s="9">
        <f t="shared" si="16"/>
        <v>180</v>
      </c>
      <c r="G125" s="9">
        <v>1</v>
      </c>
      <c r="H125" s="35" t="s">
        <v>69</v>
      </c>
      <c r="I125" s="42">
        <v>700000</v>
      </c>
      <c r="J125" s="42">
        <v>1014980</v>
      </c>
      <c r="K125" s="43" t="s">
        <v>100</v>
      </c>
      <c r="L125" s="9" t="s">
        <v>71</v>
      </c>
      <c r="M125" s="9" t="s">
        <v>22</v>
      </c>
      <c r="N125" s="9" t="s">
        <v>22</v>
      </c>
      <c r="O125" s="9" t="s">
        <v>10</v>
      </c>
      <c r="P125" s="9">
        <v>35</v>
      </c>
      <c r="Q125" s="9" t="s">
        <v>80</v>
      </c>
      <c r="R125" s="47">
        <v>0</v>
      </c>
      <c r="S125" s="31"/>
      <c r="T125" s="31"/>
      <c r="U125" s="31"/>
      <c r="V125" s="31"/>
      <c r="W125" s="31"/>
      <c r="X125" s="31"/>
      <c r="Y125" s="31"/>
      <c r="Z125" s="31"/>
    </row>
    <row r="126" spans="1:26" ht="23.25" customHeight="1" x14ac:dyDescent="0.3">
      <c r="A126" s="39">
        <v>125</v>
      </c>
      <c r="B126" s="40">
        <v>10</v>
      </c>
      <c r="C126" s="9">
        <f t="shared" si="10"/>
        <v>120</v>
      </c>
      <c r="D126" s="9" t="s">
        <v>111</v>
      </c>
      <c r="E126" s="9">
        <v>5</v>
      </c>
      <c r="F126" s="9">
        <f t="shared" si="16"/>
        <v>60</v>
      </c>
      <c r="G126" s="9">
        <v>1</v>
      </c>
      <c r="H126" s="35" t="s">
        <v>69</v>
      </c>
      <c r="I126" s="42">
        <v>1000000</v>
      </c>
      <c r="J126" s="42">
        <v>1200000</v>
      </c>
      <c r="K126" s="43" t="s">
        <v>97</v>
      </c>
      <c r="L126" s="9" t="s">
        <v>162</v>
      </c>
      <c r="M126" s="9" t="s">
        <v>163</v>
      </c>
      <c r="N126" s="9" t="s">
        <v>22</v>
      </c>
      <c r="O126" s="9" t="s">
        <v>10</v>
      </c>
      <c r="P126" s="9">
        <v>34</v>
      </c>
      <c r="Q126" s="9" t="s">
        <v>121</v>
      </c>
      <c r="R126" s="47">
        <v>2</v>
      </c>
      <c r="S126" s="31"/>
      <c r="T126" s="31"/>
      <c r="U126" s="31"/>
      <c r="V126" s="31"/>
      <c r="W126" s="31"/>
      <c r="X126" s="31"/>
      <c r="Y126" s="31"/>
      <c r="Z126" s="31"/>
    </row>
    <row r="127" spans="1:26" ht="23.25" customHeight="1" x14ac:dyDescent="0.3">
      <c r="A127" s="39">
        <v>126</v>
      </c>
      <c r="B127" s="40">
        <v>19</v>
      </c>
      <c r="C127" s="9">
        <f t="shared" si="10"/>
        <v>228</v>
      </c>
      <c r="D127" s="9" t="s">
        <v>74</v>
      </c>
      <c r="E127" s="9">
        <v>5</v>
      </c>
      <c r="F127" s="9">
        <v>5</v>
      </c>
      <c r="G127" s="34">
        <v>0</v>
      </c>
      <c r="H127" s="35" t="s">
        <v>89</v>
      </c>
      <c r="I127" s="42">
        <v>1800000</v>
      </c>
      <c r="J127" s="42">
        <v>9000000</v>
      </c>
      <c r="K127" s="43" t="s">
        <v>84</v>
      </c>
      <c r="L127" s="9" t="s">
        <v>98</v>
      </c>
      <c r="M127" s="9" t="s">
        <v>22</v>
      </c>
      <c r="N127" s="9" t="s">
        <v>22</v>
      </c>
      <c r="O127" s="9" t="s">
        <v>72</v>
      </c>
      <c r="P127" s="9">
        <v>37</v>
      </c>
      <c r="Q127" s="9" t="s">
        <v>73</v>
      </c>
      <c r="R127" s="47">
        <v>0</v>
      </c>
      <c r="S127" s="31"/>
      <c r="T127" s="31"/>
      <c r="U127" s="31"/>
      <c r="V127" s="31"/>
      <c r="W127" s="31"/>
      <c r="X127" s="31"/>
      <c r="Y127" s="31"/>
      <c r="Z127" s="31"/>
    </row>
    <row r="128" spans="1:26" ht="23.25" customHeight="1" x14ac:dyDescent="0.3">
      <c r="A128" s="39">
        <v>127</v>
      </c>
      <c r="B128" s="40">
        <v>4</v>
      </c>
      <c r="C128" s="9">
        <f t="shared" si="10"/>
        <v>48</v>
      </c>
      <c r="D128" s="34" t="s">
        <v>68</v>
      </c>
      <c r="E128" s="9">
        <f>F128/12</f>
        <v>8.3333333333333329E-2</v>
      </c>
      <c r="F128" s="9">
        <v>1</v>
      </c>
      <c r="G128" s="34">
        <v>0</v>
      </c>
      <c r="H128" s="35" t="s">
        <v>69</v>
      </c>
      <c r="I128" s="42">
        <v>800000</v>
      </c>
      <c r="J128" s="42">
        <v>1500000</v>
      </c>
      <c r="K128" s="43" t="s">
        <v>100</v>
      </c>
      <c r="L128" s="9" t="s">
        <v>79</v>
      </c>
      <c r="M128" s="9" t="s">
        <v>88</v>
      </c>
      <c r="N128" s="9" t="s">
        <v>22</v>
      </c>
      <c r="O128" s="9" t="s">
        <v>10</v>
      </c>
      <c r="P128" s="9">
        <v>30</v>
      </c>
      <c r="Q128" s="9" t="s">
        <v>73</v>
      </c>
      <c r="R128" s="47">
        <v>0</v>
      </c>
      <c r="S128" s="31"/>
      <c r="T128" s="31"/>
      <c r="U128" s="31"/>
      <c r="V128" s="31"/>
      <c r="W128" s="31"/>
      <c r="X128" s="31"/>
      <c r="Y128" s="31"/>
      <c r="Z128" s="31"/>
    </row>
    <row r="129" spans="1:26" ht="23.25" customHeight="1" x14ac:dyDescent="0.3">
      <c r="A129" s="39">
        <v>128</v>
      </c>
      <c r="B129" s="40">
        <v>18</v>
      </c>
      <c r="C129" s="9">
        <f t="shared" si="10"/>
        <v>216</v>
      </c>
      <c r="D129" s="34" t="s">
        <v>68</v>
      </c>
      <c r="E129" s="9">
        <v>18</v>
      </c>
      <c r="F129" s="9">
        <f>E129*12</f>
        <v>216</v>
      </c>
      <c r="G129" s="34">
        <v>0</v>
      </c>
      <c r="H129" s="35" t="s">
        <v>69</v>
      </c>
      <c r="I129" s="42">
        <v>600000</v>
      </c>
      <c r="J129" s="42">
        <v>1014980</v>
      </c>
      <c r="K129" s="43" t="s">
        <v>97</v>
      </c>
      <c r="L129" s="9" t="s">
        <v>90</v>
      </c>
      <c r="M129" s="9" t="s">
        <v>22</v>
      </c>
      <c r="N129" s="9" t="s">
        <v>22</v>
      </c>
      <c r="O129" s="9" t="s">
        <v>10</v>
      </c>
      <c r="P129" s="9">
        <v>35</v>
      </c>
      <c r="Q129" s="9" t="s">
        <v>73</v>
      </c>
      <c r="R129" s="47">
        <v>0</v>
      </c>
      <c r="S129" s="31"/>
      <c r="T129" s="31"/>
      <c r="U129" s="31"/>
      <c r="V129" s="31"/>
      <c r="W129" s="31"/>
      <c r="X129" s="31"/>
      <c r="Y129" s="31"/>
      <c r="Z129" s="31"/>
    </row>
    <row r="130" spans="1:26" ht="23.25" customHeight="1" x14ac:dyDescent="0.3">
      <c r="A130" s="39">
        <v>129</v>
      </c>
      <c r="B130" s="40"/>
      <c r="C130" s="9">
        <v>6</v>
      </c>
      <c r="D130" s="9" t="s">
        <v>74</v>
      </c>
      <c r="E130" s="9">
        <f t="shared" ref="E130:E131" si="17">F130/12</f>
        <v>0.5</v>
      </c>
      <c r="F130" s="9">
        <v>6</v>
      </c>
      <c r="G130" s="34">
        <v>0</v>
      </c>
      <c r="H130" s="35" t="s">
        <v>69</v>
      </c>
      <c r="I130" s="42">
        <v>1800000</v>
      </c>
      <c r="J130" s="42">
        <f>1014980*2</f>
        <v>2029960</v>
      </c>
      <c r="K130" s="43" t="s">
        <v>84</v>
      </c>
      <c r="L130" s="9" t="s">
        <v>98</v>
      </c>
      <c r="M130" s="9" t="s">
        <v>22</v>
      </c>
      <c r="N130" s="9" t="s">
        <v>22</v>
      </c>
      <c r="O130" s="9" t="s">
        <v>10</v>
      </c>
      <c r="P130" s="9">
        <v>18</v>
      </c>
      <c r="Q130" s="9" t="s">
        <v>73</v>
      </c>
      <c r="R130" s="47">
        <v>0</v>
      </c>
      <c r="S130" s="31"/>
      <c r="T130" s="31"/>
      <c r="U130" s="31"/>
      <c r="V130" s="31"/>
      <c r="W130" s="31"/>
      <c r="X130" s="31"/>
      <c r="Y130" s="31"/>
      <c r="Z130" s="31"/>
    </row>
    <row r="131" spans="1:26" ht="23.25" customHeight="1" x14ac:dyDescent="0.3">
      <c r="A131" s="39">
        <v>130</v>
      </c>
      <c r="B131" s="40">
        <v>1.5</v>
      </c>
      <c r="C131" s="9">
        <f t="shared" ref="C131:C407" si="18">B131*12</f>
        <v>18</v>
      </c>
      <c r="D131" s="34" t="s">
        <v>68</v>
      </c>
      <c r="E131" s="9">
        <f t="shared" si="17"/>
        <v>0.33333333333333331</v>
      </c>
      <c r="F131" s="9">
        <v>4</v>
      </c>
      <c r="G131" s="9">
        <v>1</v>
      </c>
      <c r="H131" s="35" t="s">
        <v>89</v>
      </c>
      <c r="I131" s="42">
        <v>50000</v>
      </c>
      <c r="J131" s="42">
        <v>1200000</v>
      </c>
      <c r="K131" s="43" t="s">
        <v>97</v>
      </c>
      <c r="L131" s="9" t="s">
        <v>164</v>
      </c>
      <c r="M131" s="9" t="s">
        <v>132</v>
      </c>
      <c r="N131" s="9" t="s">
        <v>22</v>
      </c>
      <c r="O131" s="9" t="s">
        <v>10</v>
      </c>
      <c r="P131" s="9">
        <v>20</v>
      </c>
      <c r="Q131" s="9" t="s">
        <v>73</v>
      </c>
      <c r="R131" s="47">
        <v>0</v>
      </c>
      <c r="S131" s="31"/>
      <c r="T131" s="31"/>
      <c r="U131" s="31"/>
      <c r="V131" s="31"/>
      <c r="W131" s="31"/>
      <c r="X131" s="31"/>
      <c r="Y131" s="31"/>
      <c r="Z131" s="31"/>
    </row>
    <row r="132" spans="1:26" ht="23.25" customHeight="1" x14ac:dyDescent="0.3">
      <c r="A132" s="39">
        <v>131</v>
      </c>
      <c r="B132" s="40">
        <v>25</v>
      </c>
      <c r="C132" s="9">
        <f t="shared" si="18"/>
        <v>300</v>
      </c>
      <c r="D132" s="34" t="s">
        <v>68</v>
      </c>
      <c r="E132" s="9">
        <v>25</v>
      </c>
      <c r="F132" s="9">
        <f t="shared" ref="F132:F142" si="19">E132*12</f>
        <v>300</v>
      </c>
      <c r="G132" s="9">
        <v>1</v>
      </c>
      <c r="H132" s="35" t="s">
        <v>69</v>
      </c>
      <c r="I132" s="42">
        <v>700000</v>
      </c>
      <c r="J132" s="42">
        <v>1014980</v>
      </c>
      <c r="K132" s="43" t="s">
        <v>84</v>
      </c>
      <c r="L132" s="9" t="s">
        <v>98</v>
      </c>
      <c r="M132" s="9" t="s">
        <v>22</v>
      </c>
      <c r="N132" s="9" t="s">
        <v>22</v>
      </c>
      <c r="O132" s="9" t="s">
        <v>10</v>
      </c>
      <c r="P132" s="9">
        <v>54</v>
      </c>
      <c r="Q132" s="9" t="s">
        <v>77</v>
      </c>
      <c r="R132" s="47">
        <v>3</v>
      </c>
      <c r="S132" s="31"/>
      <c r="T132" s="31"/>
      <c r="U132" s="31"/>
      <c r="V132" s="31"/>
      <c r="W132" s="31"/>
      <c r="X132" s="31"/>
      <c r="Y132" s="31"/>
      <c r="Z132" s="31"/>
    </row>
    <row r="133" spans="1:26" ht="23.25" customHeight="1" x14ac:dyDescent="0.3">
      <c r="A133" s="48">
        <v>132</v>
      </c>
      <c r="B133" s="49">
        <v>30</v>
      </c>
      <c r="C133" s="9">
        <f t="shared" si="18"/>
        <v>360</v>
      </c>
      <c r="D133" s="9" t="s">
        <v>104</v>
      </c>
      <c r="E133" s="9">
        <v>8</v>
      </c>
      <c r="F133" s="9">
        <f t="shared" si="19"/>
        <v>96</v>
      </c>
      <c r="G133" s="9">
        <v>1</v>
      </c>
      <c r="H133" s="35" t="s">
        <v>105</v>
      </c>
      <c r="I133" s="50">
        <v>1200000</v>
      </c>
      <c r="J133" s="50">
        <v>1200000</v>
      </c>
      <c r="K133" s="43" t="s">
        <v>114</v>
      </c>
      <c r="L133" s="9" t="s">
        <v>98</v>
      </c>
      <c r="M133" s="51" t="s">
        <v>88</v>
      </c>
      <c r="N133" s="51" t="s">
        <v>22</v>
      </c>
      <c r="O133" s="51" t="s">
        <v>10</v>
      </c>
      <c r="P133" s="51">
        <v>45</v>
      </c>
      <c r="Q133" s="51" t="s">
        <v>73</v>
      </c>
      <c r="R133" s="52">
        <v>2</v>
      </c>
      <c r="S133" s="53"/>
      <c r="T133" s="53"/>
      <c r="U133" s="53"/>
      <c r="V133" s="53"/>
      <c r="W133" s="53"/>
      <c r="X133" s="53"/>
      <c r="Y133" s="53"/>
      <c r="Z133" s="53"/>
    </row>
    <row r="134" spans="1:26" ht="23.25" customHeight="1" x14ac:dyDescent="0.3">
      <c r="A134" s="39">
        <v>133</v>
      </c>
      <c r="B134" s="40">
        <v>3</v>
      </c>
      <c r="C134" s="9">
        <f t="shared" si="18"/>
        <v>36</v>
      </c>
      <c r="D134" s="9" t="s">
        <v>102</v>
      </c>
      <c r="E134" s="9">
        <v>3</v>
      </c>
      <c r="F134" s="9">
        <f t="shared" si="19"/>
        <v>36</v>
      </c>
      <c r="G134" s="9">
        <v>1</v>
      </c>
      <c r="H134" s="35" t="s">
        <v>89</v>
      </c>
      <c r="I134" s="42">
        <v>600000</v>
      </c>
      <c r="J134" s="42">
        <v>1200000</v>
      </c>
      <c r="K134" s="43" t="s">
        <v>97</v>
      </c>
      <c r="L134" s="9" t="s">
        <v>138</v>
      </c>
      <c r="M134" s="9" t="s">
        <v>22</v>
      </c>
      <c r="N134" s="9" t="s">
        <v>22</v>
      </c>
      <c r="O134" s="9" t="s">
        <v>10</v>
      </c>
      <c r="P134" s="9">
        <v>21</v>
      </c>
      <c r="Q134" s="9" t="s">
        <v>73</v>
      </c>
      <c r="R134" s="47">
        <v>0</v>
      </c>
      <c r="S134" s="31"/>
      <c r="T134" s="31"/>
      <c r="U134" s="31"/>
      <c r="V134" s="31"/>
      <c r="W134" s="31"/>
      <c r="X134" s="31"/>
      <c r="Y134" s="31"/>
      <c r="Z134" s="31"/>
    </row>
    <row r="135" spans="1:26" ht="23.25" customHeight="1" x14ac:dyDescent="0.3">
      <c r="A135" s="39">
        <v>134</v>
      </c>
      <c r="B135" s="40">
        <v>6</v>
      </c>
      <c r="C135" s="9">
        <f t="shared" si="18"/>
        <v>72</v>
      </c>
      <c r="D135" s="9" t="s">
        <v>74</v>
      </c>
      <c r="E135" s="9">
        <v>5</v>
      </c>
      <c r="F135" s="9">
        <f t="shared" si="19"/>
        <v>60</v>
      </c>
      <c r="G135" s="34">
        <v>0</v>
      </c>
      <c r="H135" s="35" t="s">
        <v>89</v>
      </c>
      <c r="I135" s="42">
        <v>1600000</v>
      </c>
      <c r="J135" s="42">
        <v>2000000</v>
      </c>
      <c r="K135" s="43" t="s">
        <v>97</v>
      </c>
      <c r="L135" s="9" t="s">
        <v>71</v>
      </c>
      <c r="M135" s="9" t="s">
        <v>88</v>
      </c>
      <c r="N135" s="9" t="s">
        <v>22</v>
      </c>
      <c r="O135" s="9" t="s">
        <v>72</v>
      </c>
      <c r="P135" s="9">
        <v>29</v>
      </c>
      <c r="Q135" s="9" t="s">
        <v>73</v>
      </c>
      <c r="R135" s="47">
        <v>0</v>
      </c>
      <c r="S135" s="31"/>
      <c r="T135" s="31"/>
      <c r="U135" s="31"/>
      <c r="V135" s="31"/>
      <c r="W135" s="31"/>
      <c r="X135" s="31"/>
      <c r="Y135" s="31"/>
      <c r="Z135" s="31"/>
    </row>
    <row r="136" spans="1:26" ht="23.25" customHeight="1" x14ac:dyDescent="0.3">
      <c r="A136" s="39">
        <v>135</v>
      </c>
      <c r="B136" s="40">
        <v>25</v>
      </c>
      <c r="C136" s="9">
        <f t="shared" si="18"/>
        <v>300</v>
      </c>
      <c r="D136" s="9" t="s">
        <v>95</v>
      </c>
      <c r="E136" s="9">
        <v>27</v>
      </c>
      <c r="F136" s="9">
        <f t="shared" si="19"/>
        <v>324</v>
      </c>
      <c r="G136" s="9">
        <v>1</v>
      </c>
      <c r="H136" s="35" t="s">
        <v>165</v>
      </c>
      <c r="I136" s="42">
        <v>1000000</v>
      </c>
      <c r="J136" s="42">
        <v>1500000</v>
      </c>
      <c r="K136" s="43" t="s">
        <v>84</v>
      </c>
      <c r="L136" s="9" t="s">
        <v>98</v>
      </c>
      <c r="M136" s="9" t="s">
        <v>88</v>
      </c>
      <c r="N136" s="9" t="s">
        <v>22</v>
      </c>
      <c r="O136" s="9" t="s">
        <v>72</v>
      </c>
      <c r="P136" s="9">
        <v>62</v>
      </c>
      <c r="Q136" s="9" t="s">
        <v>77</v>
      </c>
      <c r="R136" s="47">
        <v>1</v>
      </c>
      <c r="S136" s="31"/>
      <c r="T136" s="31"/>
      <c r="U136" s="31"/>
      <c r="V136" s="31"/>
      <c r="W136" s="31"/>
      <c r="X136" s="31"/>
      <c r="Y136" s="31"/>
      <c r="Z136" s="31"/>
    </row>
    <row r="137" spans="1:26" ht="23.25" customHeight="1" x14ac:dyDescent="0.3">
      <c r="A137" s="39">
        <v>136</v>
      </c>
      <c r="B137" s="40">
        <v>6</v>
      </c>
      <c r="C137" s="9">
        <f t="shared" si="18"/>
        <v>72</v>
      </c>
      <c r="D137" s="9" t="s">
        <v>68</v>
      </c>
      <c r="E137" s="9">
        <v>2</v>
      </c>
      <c r="F137" s="9">
        <f t="shared" si="19"/>
        <v>24</v>
      </c>
      <c r="G137" s="9">
        <v>1</v>
      </c>
      <c r="H137" s="35" t="s">
        <v>89</v>
      </c>
      <c r="I137" s="42">
        <v>600000</v>
      </c>
      <c r="J137" s="42">
        <v>1200000</v>
      </c>
      <c r="K137" s="43" t="s">
        <v>70</v>
      </c>
      <c r="L137" s="9" t="s">
        <v>138</v>
      </c>
      <c r="M137" s="9" t="s">
        <v>22</v>
      </c>
      <c r="N137" s="9" t="s">
        <v>22</v>
      </c>
      <c r="O137" s="9" t="s">
        <v>10</v>
      </c>
      <c r="P137" s="9">
        <v>24</v>
      </c>
      <c r="Q137" s="9" t="s">
        <v>77</v>
      </c>
      <c r="R137" s="47">
        <v>1</v>
      </c>
      <c r="S137" s="31"/>
      <c r="T137" s="31"/>
      <c r="U137" s="31"/>
      <c r="V137" s="31"/>
      <c r="W137" s="31"/>
      <c r="X137" s="31"/>
      <c r="Y137" s="31"/>
      <c r="Z137" s="31"/>
    </row>
    <row r="138" spans="1:26" ht="23.25" customHeight="1" x14ac:dyDescent="0.3">
      <c r="A138" s="39">
        <v>137</v>
      </c>
      <c r="B138" s="40">
        <v>3</v>
      </c>
      <c r="C138" s="9">
        <f t="shared" si="18"/>
        <v>36</v>
      </c>
      <c r="D138" s="9" t="s">
        <v>74</v>
      </c>
      <c r="E138" s="9">
        <v>3</v>
      </c>
      <c r="F138" s="9">
        <f t="shared" si="19"/>
        <v>36</v>
      </c>
      <c r="G138" s="34">
        <v>0</v>
      </c>
      <c r="H138" s="35" t="s">
        <v>166</v>
      </c>
      <c r="I138" s="42">
        <v>2500000</v>
      </c>
      <c r="J138" s="42">
        <v>20000000</v>
      </c>
      <c r="K138" s="43" t="s">
        <v>70</v>
      </c>
      <c r="L138" s="9" t="s">
        <v>167</v>
      </c>
      <c r="M138" s="9" t="s">
        <v>88</v>
      </c>
      <c r="N138" s="9" t="s">
        <v>22</v>
      </c>
      <c r="O138" s="9" t="s">
        <v>72</v>
      </c>
      <c r="P138" s="9">
        <v>25</v>
      </c>
      <c r="Q138" s="9" t="s">
        <v>73</v>
      </c>
      <c r="R138" s="47">
        <v>0</v>
      </c>
      <c r="S138" s="31"/>
      <c r="T138" s="31"/>
      <c r="U138" s="31"/>
      <c r="V138" s="31"/>
      <c r="W138" s="31"/>
      <c r="X138" s="31"/>
      <c r="Y138" s="31"/>
      <c r="Z138" s="31"/>
    </row>
    <row r="139" spans="1:26" ht="23.25" customHeight="1" x14ac:dyDescent="0.3">
      <c r="A139" s="39">
        <v>138</v>
      </c>
      <c r="B139" s="40">
        <v>10</v>
      </c>
      <c r="C139" s="9">
        <f t="shared" si="18"/>
        <v>120</v>
      </c>
      <c r="D139" s="9" t="s">
        <v>111</v>
      </c>
      <c r="E139" s="9">
        <v>35</v>
      </c>
      <c r="F139" s="9">
        <f t="shared" si="19"/>
        <v>420</v>
      </c>
      <c r="G139" s="34">
        <v>0</v>
      </c>
      <c r="H139" s="35" t="s">
        <v>125</v>
      </c>
      <c r="I139" s="42">
        <v>1000000</v>
      </c>
      <c r="J139" s="42">
        <v>908000</v>
      </c>
      <c r="K139" s="43" t="s">
        <v>114</v>
      </c>
      <c r="L139" s="9" t="s">
        <v>98</v>
      </c>
      <c r="M139" s="9" t="s">
        <v>22</v>
      </c>
      <c r="N139" s="9" t="s">
        <v>22</v>
      </c>
      <c r="O139" s="9" t="s">
        <v>72</v>
      </c>
      <c r="P139" s="9">
        <v>58</v>
      </c>
      <c r="Q139" s="9" t="s">
        <v>77</v>
      </c>
      <c r="R139" s="47">
        <v>2</v>
      </c>
      <c r="S139" s="31"/>
      <c r="T139" s="31"/>
      <c r="U139" s="31"/>
      <c r="V139" s="31"/>
      <c r="W139" s="31"/>
      <c r="X139" s="31"/>
      <c r="Y139" s="31"/>
      <c r="Z139" s="31"/>
    </row>
    <row r="140" spans="1:26" ht="23.25" customHeight="1" x14ac:dyDescent="0.3">
      <c r="A140" s="39">
        <v>139</v>
      </c>
      <c r="B140" s="40">
        <v>3</v>
      </c>
      <c r="C140" s="9">
        <f t="shared" si="18"/>
        <v>36</v>
      </c>
      <c r="D140" s="9" t="s">
        <v>115</v>
      </c>
      <c r="E140" s="9">
        <v>1.5</v>
      </c>
      <c r="F140" s="9">
        <f t="shared" si="19"/>
        <v>18</v>
      </c>
      <c r="G140" s="9">
        <v>1</v>
      </c>
      <c r="H140" s="41" t="s">
        <v>130</v>
      </c>
      <c r="I140" s="42">
        <v>900000</v>
      </c>
      <c r="J140" s="42">
        <v>2500000</v>
      </c>
      <c r="K140" s="43" t="s">
        <v>84</v>
      </c>
      <c r="L140" s="9" t="s">
        <v>98</v>
      </c>
      <c r="M140" s="9" t="s">
        <v>88</v>
      </c>
      <c r="N140" s="9" t="s">
        <v>88</v>
      </c>
      <c r="O140" s="9" t="s">
        <v>10</v>
      </c>
      <c r="P140" s="9">
        <v>20</v>
      </c>
      <c r="Q140" s="9" t="s">
        <v>77</v>
      </c>
      <c r="R140" s="47">
        <v>0</v>
      </c>
      <c r="S140" s="31"/>
      <c r="T140" s="31"/>
      <c r="U140" s="31"/>
      <c r="V140" s="31"/>
      <c r="W140" s="31"/>
      <c r="X140" s="31"/>
      <c r="Y140" s="31"/>
      <c r="Z140" s="31"/>
    </row>
    <row r="141" spans="1:26" ht="23.25" customHeight="1" x14ac:dyDescent="0.3">
      <c r="A141" s="39">
        <v>140</v>
      </c>
      <c r="B141" s="40">
        <v>6</v>
      </c>
      <c r="C141" s="9">
        <f t="shared" si="18"/>
        <v>72</v>
      </c>
      <c r="D141" s="9" t="s">
        <v>115</v>
      </c>
      <c r="E141" s="9">
        <v>1</v>
      </c>
      <c r="F141" s="9">
        <f t="shared" si="19"/>
        <v>12</v>
      </c>
      <c r="G141" s="9">
        <v>1</v>
      </c>
      <c r="H141" s="41" t="s">
        <v>130</v>
      </c>
      <c r="I141" s="42">
        <v>1500000</v>
      </c>
      <c r="J141" s="42">
        <v>2500000</v>
      </c>
      <c r="K141" s="43" t="s">
        <v>84</v>
      </c>
      <c r="L141" s="9" t="s">
        <v>98</v>
      </c>
      <c r="M141" s="9" t="s">
        <v>88</v>
      </c>
      <c r="N141" s="9" t="s">
        <v>88</v>
      </c>
      <c r="O141" s="9" t="s">
        <v>10</v>
      </c>
      <c r="P141" s="9">
        <v>21</v>
      </c>
      <c r="Q141" s="9" t="s">
        <v>77</v>
      </c>
      <c r="R141" s="47">
        <v>1</v>
      </c>
      <c r="S141" s="31"/>
      <c r="T141" s="31"/>
      <c r="U141" s="31"/>
      <c r="V141" s="31"/>
      <c r="W141" s="31"/>
      <c r="X141" s="31"/>
      <c r="Y141" s="31"/>
      <c r="Z141" s="31"/>
    </row>
    <row r="142" spans="1:26" ht="23.25" customHeight="1" x14ac:dyDescent="0.3">
      <c r="A142" s="39">
        <v>141</v>
      </c>
      <c r="B142" s="40">
        <v>30</v>
      </c>
      <c r="C142" s="9">
        <f t="shared" si="18"/>
        <v>360</v>
      </c>
      <c r="D142" s="9" t="s">
        <v>102</v>
      </c>
      <c r="E142" s="9">
        <v>10</v>
      </c>
      <c r="F142" s="9">
        <f t="shared" si="19"/>
        <v>120</v>
      </c>
      <c r="G142" s="9">
        <v>1</v>
      </c>
      <c r="H142" s="41" t="s">
        <v>78</v>
      </c>
      <c r="I142" s="42">
        <v>700000</v>
      </c>
      <c r="J142" s="42">
        <v>1500000</v>
      </c>
      <c r="K142" s="43" t="s">
        <v>84</v>
      </c>
      <c r="L142" s="9" t="s">
        <v>98</v>
      </c>
      <c r="M142" s="9" t="s">
        <v>88</v>
      </c>
      <c r="N142" s="9" t="s">
        <v>22</v>
      </c>
      <c r="O142" s="9" t="s">
        <v>72</v>
      </c>
      <c r="P142" s="9">
        <v>53</v>
      </c>
      <c r="Q142" s="9" t="s">
        <v>80</v>
      </c>
      <c r="R142" s="47">
        <v>2</v>
      </c>
      <c r="S142" s="31"/>
      <c r="T142" s="31"/>
      <c r="U142" s="31"/>
      <c r="V142" s="31"/>
      <c r="W142" s="31"/>
      <c r="X142" s="31"/>
      <c r="Y142" s="31"/>
      <c r="Z142" s="31"/>
    </row>
    <row r="143" spans="1:26" ht="23.25" customHeight="1" x14ac:dyDescent="0.3">
      <c r="A143" s="39">
        <v>142</v>
      </c>
      <c r="B143" s="40">
        <v>2</v>
      </c>
      <c r="C143" s="9">
        <f t="shared" si="18"/>
        <v>24</v>
      </c>
      <c r="D143" s="9" t="s">
        <v>102</v>
      </c>
      <c r="E143" s="9">
        <f>F143/12</f>
        <v>0.58333333333333337</v>
      </c>
      <c r="F143" s="9">
        <v>7</v>
      </c>
      <c r="G143" s="9">
        <v>1</v>
      </c>
      <c r="H143" s="35" t="s">
        <v>168</v>
      </c>
      <c r="I143" s="42">
        <v>600000</v>
      </c>
      <c r="J143" s="42">
        <v>1200000</v>
      </c>
      <c r="K143" s="43" t="s">
        <v>84</v>
      </c>
      <c r="L143" s="9" t="s">
        <v>98</v>
      </c>
      <c r="M143" s="9" t="s">
        <v>22</v>
      </c>
      <c r="N143" s="9" t="s">
        <v>22</v>
      </c>
      <c r="O143" s="9" t="s">
        <v>10</v>
      </c>
      <c r="P143" s="9">
        <v>20</v>
      </c>
      <c r="Q143" s="9" t="s">
        <v>73</v>
      </c>
      <c r="R143" s="47">
        <v>0</v>
      </c>
      <c r="S143" s="31"/>
      <c r="T143" s="31"/>
      <c r="U143" s="31"/>
      <c r="V143" s="31"/>
      <c r="W143" s="31"/>
      <c r="X143" s="31"/>
      <c r="Y143" s="31"/>
      <c r="Z143" s="31"/>
    </row>
    <row r="144" spans="1:26" ht="23.25" customHeight="1" x14ac:dyDescent="0.3">
      <c r="A144" s="39">
        <v>143</v>
      </c>
      <c r="B144" s="40">
        <v>30</v>
      </c>
      <c r="C144" s="9">
        <f t="shared" si="18"/>
        <v>360</v>
      </c>
      <c r="D144" s="9" t="s">
        <v>74</v>
      </c>
      <c r="E144" s="9">
        <v>30</v>
      </c>
      <c r="F144" s="9">
        <f t="shared" ref="F144:F407" si="20">E144*12</f>
        <v>360</v>
      </c>
      <c r="G144" s="34">
        <v>0</v>
      </c>
      <c r="H144" s="35" t="s">
        <v>151</v>
      </c>
      <c r="I144" s="42">
        <v>1000000</v>
      </c>
      <c r="J144" s="42">
        <v>3000000</v>
      </c>
      <c r="K144" s="43" t="s">
        <v>160</v>
      </c>
      <c r="L144" s="9" t="s">
        <v>157</v>
      </c>
      <c r="M144" s="9" t="s">
        <v>88</v>
      </c>
      <c r="N144" s="9" t="s">
        <v>22</v>
      </c>
      <c r="O144" s="9" t="s">
        <v>72</v>
      </c>
      <c r="P144" s="9">
        <v>62</v>
      </c>
      <c r="Q144" s="9" t="s">
        <v>121</v>
      </c>
      <c r="R144" s="47">
        <v>2</v>
      </c>
      <c r="S144" s="31"/>
      <c r="T144" s="31"/>
      <c r="U144" s="31"/>
      <c r="V144" s="31"/>
      <c r="W144" s="31"/>
      <c r="X144" s="31"/>
      <c r="Y144" s="31"/>
      <c r="Z144" s="31"/>
    </row>
    <row r="145" spans="1:26" ht="23.25" customHeight="1" x14ac:dyDescent="0.3">
      <c r="A145" s="39">
        <v>144</v>
      </c>
      <c r="B145" s="40">
        <v>21</v>
      </c>
      <c r="C145" s="9">
        <f t="shared" si="18"/>
        <v>252</v>
      </c>
      <c r="D145" s="9" t="s">
        <v>74</v>
      </c>
      <c r="E145" s="9">
        <v>15</v>
      </c>
      <c r="F145" s="9">
        <f t="shared" si="20"/>
        <v>180</v>
      </c>
      <c r="G145" s="9">
        <v>1</v>
      </c>
      <c r="H145" s="35" t="s">
        <v>86</v>
      </c>
      <c r="I145" s="42">
        <v>700000</v>
      </c>
      <c r="J145" s="42">
        <v>1200000</v>
      </c>
      <c r="K145" s="43" t="s">
        <v>70</v>
      </c>
      <c r="L145" s="9" t="s">
        <v>120</v>
      </c>
      <c r="M145" s="9" t="s">
        <v>22</v>
      </c>
      <c r="N145" s="9" t="s">
        <v>22</v>
      </c>
      <c r="O145" s="9" t="s">
        <v>10</v>
      </c>
      <c r="P145" s="9">
        <v>40</v>
      </c>
      <c r="Q145" s="9" t="s">
        <v>73</v>
      </c>
      <c r="R145" s="47">
        <v>6</v>
      </c>
      <c r="S145" s="31"/>
      <c r="T145" s="31"/>
      <c r="U145" s="31"/>
      <c r="V145" s="31"/>
      <c r="W145" s="31"/>
      <c r="X145" s="31"/>
      <c r="Y145" s="31"/>
      <c r="Z145" s="31"/>
    </row>
    <row r="146" spans="1:26" ht="23.25" customHeight="1" x14ac:dyDescent="0.3">
      <c r="A146" s="39">
        <v>145</v>
      </c>
      <c r="B146" s="40">
        <v>2</v>
      </c>
      <c r="C146" s="9">
        <f t="shared" si="18"/>
        <v>24</v>
      </c>
      <c r="D146" s="9" t="s">
        <v>68</v>
      </c>
      <c r="E146" s="9">
        <v>1</v>
      </c>
      <c r="F146" s="9">
        <f t="shared" si="20"/>
        <v>12</v>
      </c>
      <c r="G146" s="9">
        <v>1</v>
      </c>
      <c r="H146" s="35" t="s">
        <v>69</v>
      </c>
      <c r="I146" s="42">
        <v>400000</v>
      </c>
      <c r="J146" s="42">
        <v>800000</v>
      </c>
      <c r="K146" s="43" t="s">
        <v>84</v>
      </c>
      <c r="L146" s="9" t="s">
        <v>98</v>
      </c>
      <c r="M146" s="9" t="s">
        <v>22</v>
      </c>
      <c r="N146" s="9" t="s">
        <v>22</v>
      </c>
      <c r="O146" s="9" t="s">
        <v>72</v>
      </c>
      <c r="P146" s="9">
        <v>21</v>
      </c>
      <c r="Q146" s="9" t="s">
        <v>73</v>
      </c>
      <c r="R146" s="47">
        <v>0</v>
      </c>
      <c r="S146" s="31"/>
      <c r="T146" s="31"/>
      <c r="U146" s="31"/>
      <c r="V146" s="31"/>
      <c r="W146" s="31"/>
      <c r="X146" s="31"/>
      <c r="Y146" s="31"/>
      <c r="Z146" s="31"/>
    </row>
    <row r="147" spans="1:26" ht="23.25" customHeight="1" x14ac:dyDescent="0.3">
      <c r="A147" s="39">
        <v>146</v>
      </c>
      <c r="B147" s="40">
        <v>2</v>
      </c>
      <c r="C147" s="9">
        <f t="shared" si="18"/>
        <v>24</v>
      </c>
      <c r="D147" s="9" t="s">
        <v>68</v>
      </c>
      <c r="E147" s="9">
        <v>1</v>
      </c>
      <c r="F147" s="9">
        <f t="shared" si="20"/>
        <v>12</v>
      </c>
      <c r="G147" s="9">
        <v>1</v>
      </c>
      <c r="H147" s="35" t="s">
        <v>83</v>
      </c>
      <c r="I147" s="42">
        <v>300000</v>
      </c>
      <c r="J147" s="42">
        <v>908000</v>
      </c>
      <c r="K147" s="43" t="s">
        <v>97</v>
      </c>
      <c r="L147" s="9" t="s">
        <v>154</v>
      </c>
      <c r="M147" s="9" t="s">
        <v>22</v>
      </c>
      <c r="N147" s="9" t="s">
        <v>22</v>
      </c>
      <c r="O147" s="9" t="s">
        <v>72</v>
      </c>
      <c r="P147" s="9">
        <v>17</v>
      </c>
      <c r="Q147" s="9" t="s">
        <v>73</v>
      </c>
      <c r="R147" s="47">
        <v>0</v>
      </c>
      <c r="S147" s="31"/>
      <c r="T147" s="31"/>
      <c r="U147" s="31"/>
      <c r="V147" s="31"/>
      <c r="W147" s="31"/>
      <c r="X147" s="31"/>
      <c r="Y147" s="31"/>
      <c r="Z147" s="31"/>
    </row>
    <row r="148" spans="1:26" ht="23.25" customHeight="1" x14ac:dyDescent="0.3">
      <c r="A148" s="39">
        <v>147</v>
      </c>
      <c r="B148" s="40">
        <v>7</v>
      </c>
      <c r="C148" s="9">
        <f t="shared" si="18"/>
        <v>84</v>
      </c>
      <c r="D148" s="9" t="s">
        <v>68</v>
      </c>
      <c r="E148" s="9">
        <v>3</v>
      </c>
      <c r="F148" s="9">
        <f t="shared" si="20"/>
        <v>36</v>
      </c>
      <c r="G148" s="9">
        <v>1</v>
      </c>
      <c r="H148" s="35" t="s">
        <v>69</v>
      </c>
      <c r="I148" s="42">
        <v>600000</v>
      </c>
      <c r="J148" s="42">
        <v>908000</v>
      </c>
      <c r="K148" s="43" t="s">
        <v>70</v>
      </c>
      <c r="L148" s="9" t="s">
        <v>169</v>
      </c>
      <c r="M148" s="9" t="s">
        <v>22</v>
      </c>
      <c r="N148" s="9" t="s">
        <v>22</v>
      </c>
      <c r="O148" s="9" t="s">
        <v>10</v>
      </c>
      <c r="P148" s="9">
        <v>25</v>
      </c>
      <c r="Q148" s="9" t="s">
        <v>73</v>
      </c>
      <c r="R148" s="47">
        <v>0</v>
      </c>
      <c r="S148" s="31"/>
      <c r="T148" s="31"/>
      <c r="U148" s="31"/>
      <c r="V148" s="31"/>
      <c r="W148" s="31"/>
      <c r="X148" s="31"/>
      <c r="Y148" s="31"/>
      <c r="Z148" s="31"/>
    </row>
    <row r="149" spans="1:26" ht="23.25" customHeight="1" x14ac:dyDescent="0.3">
      <c r="A149" s="39">
        <v>148</v>
      </c>
      <c r="B149" s="40">
        <v>1</v>
      </c>
      <c r="C149" s="9">
        <f t="shared" si="18"/>
        <v>12</v>
      </c>
      <c r="D149" s="9" t="s">
        <v>68</v>
      </c>
      <c r="E149" s="9">
        <v>0.16666666669999999</v>
      </c>
      <c r="F149" s="9">
        <f t="shared" si="20"/>
        <v>2.0000000004</v>
      </c>
      <c r="G149" s="9">
        <v>1</v>
      </c>
      <c r="H149" s="35" t="s">
        <v>69</v>
      </c>
      <c r="I149" s="42">
        <v>50000</v>
      </c>
      <c r="J149" s="42">
        <v>908000</v>
      </c>
      <c r="K149" s="43" t="s">
        <v>84</v>
      </c>
      <c r="L149" s="9" t="s">
        <v>98</v>
      </c>
      <c r="M149" s="9" t="s">
        <v>22</v>
      </c>
      <c r="N149" s="9" t="s">
        <v>22</v>
      </c>
      <c r="O149" s="9" t="s">
        <v>10</v>
      </c>
      <c r="P149" s="9">
        <v>18</v>
      </c>
      <c r="Q149" s="9" t="s">
        <v>73</v>
      </c>
      <c r="R149" s="47">
        <v>0</v>
      </c>
      <c r="S149" s="31"/>
      <c r="T149" s="31"/>
      <c r="U149" s="31"/>
      <c r="V149" s="31"/>
      <c r="W149" s="31"/>
      <c r="X149" s="31"/>
      <c r="Y149" s="31"/>
      <c r="Z149" s="31"/>
    </row>
    <row r="150" spans="1:26" ht="23.25" customHeight="1" x14ac:dyDescent="0.3">
      <c r="A150" s="39">
        <v>149</v>
      </c>
      <c r="B150" s="40">
        <v>2.5</v>
      </c>
      <c r="C150" s="9">
        <f t="shared" si="18"/>
        <v>30</v>
      </c>
      <c r="D150" s="9" t="s">
        <v>104</v>
      </c>
      <c r="E150" s="9">
        <v>8.3333333300000006E-2</v>
      </c>
      <c r="F150" s="9">
        <f t="shared" si="20"/>
        <v>0.99999999960000008</v>
      </c>
      <c r="G150" s="9">
        <v>1</v>
      </c>
      <c r="H150" s="41" t="s">
        <v>170</v>
      </c>
      <c r="I150" s="42">
        <v>700000</v>
      </c>
      <c r="J150" s="42">
        <v>2000000</v>
      </c>
      <c r="K150" s="43" t="s">
        <v>70</v>
      </c>
      <c r="L150" s="9" t="s">
        <v>171</v>
      </c>
      <c r="M150" s="9" t="s">
        <v>22</v>
      </c>
      <c r="N150" s="9" t="s">
        <v>22</v>
      </c>
      <c r="O150" s="9" t="s">
        <v>10</v>
      </c>
      <c r="P150" s="9">
        <v>25</v>
      </c>
      <c r="Q150" s="9" t="s">
        <v>73</v>
      </c>
      <c r="R150" s="47">
        <v>0</v>
      </c>
      <c r="S150" s="31"/>
      <c r="T150" s="31"/>
      <c r="U150" s="31"/>
      <c r="V150" s="31"/>
      <c r="W150" s="31"/>
      <c r="X150" s="31"/>
      <c r="Y150" s="31"/>
      <c r="Z150" s="31"/>
    </row>
    <row r="151" spans="1:26" ht="23.25" customHeight="1" x14ac:dyDescent="0.3">
      <c r="A151" s="39">
        <v>150</v>
      </c>
      <c r="B151" s="40">
        <v>2</v>
      </c>
      <c r="C151" s="9">
        <f t="shared" si="18"/>
        <v>24</v>
      </c>
      <c r="D151" s="9" t="s">
        <v>104</v>
      </c>
      <c r="E151" s="9">
        <v>8.3333333300000006E-2</v>
      </c>
      <c r="F151" s="9">
        <f t="shared" si="20"/>
        <v>0.99999999960000008</v>
      </c>
      <c r="G151" s="9">
        <v>1</v>
      </c>
      <c r="H151" s="35" t="s">
        <v>145</v>
      </c>
      <c r="I151" s="42">
        <v>400000</v>
      </c>
      <c r="J151" s="42">
        <v>908000</v>
      </c>
      <c r="K151" s="43" t="s">
        <v>84</v>
      </c>
      <c r="L151" s="9" t="s">
        <v>98</v>
      </c>
      <c r="M151" s="9" t="s">
        <v>22</v>
      </c>
      <c r="N151" s="9" t="s">
        <v>22</v>
      </c>
      <c r="O151" s="9" t="s">
        <v>10</v>
      </c>
      <c r="P151" s="9">
        <v>21</v>
      </c>
      <c r="Q151" s="9" t="s">
        <v>73</v>
      </c>
      <c r="R151" s="47">
        <v>0</v>
      </c>
      <c r="S151" s="31"/>
      <c r="T151" s="31"/>
      <c r="U151" s="31"/>
      <c r="V151" s="31"/>
      <c r="W151" s="31"/>
      <c r="X151" s="31"/>
      <c r="Y151" s="31"/>
      <c r="Z151" s="31"/>
    </row>
    <row r="152" spans="1:26" ht="23.25" customHeight="1" x14ac:dyDescent="0.3">
      <c r="A152" s="39">
        <v>151</v>
      </c>
      <c r="B152" s="40">
        <v>18</v>
      </c>
      <c r="C152" s="9">
        <f t="shared" si="18"/>
        <v>216</v>
      </c>
      <c r="D152" s="9" t="s">
        <v>68</v>
      </c>
      <c r="E152" s="9">
        <v>3</v>
      </c>
      <c r="F152" s="9">
        <f t="shared" si="20"/>
        <v>36</v>
      </c>
      <c r="G152" s="9">
        <v>1</v>
      </c>
      <c r="H152" s="41" t="s">
        <v>127</v>
      </c>
      <c r="I152" s="42">
        <v>2000000</v>
      </c>
      <c r="J152" s="42">
        <v>1000000</v>
      </c>
      <c r="K152" s="43" t="s">
        <v>84</v>
      </c>
      <c r="L152" s="9" t="s">
        <v>98</v>
      </c>
      <c r="M152" s="9" t="s">
        <v>132</v>
      </c>
      <c r="N152" s="9" t="s">
        <v>22</v>
      </c>
      <c r="O152" s="9" t="s">
        <v>10</v>
      </c>
      <c r="P152" s="9">
        <v>46</v>
      </c>
      <c r="Q152" s="9" t="s">
        <v>121</v>
      </c>
      <c r="R152" s="47">
        <v>1</v>
      </c>
      <c r="S152" s="31"/>
      <c r="T152" s="31"/>
      <c r="U152" s="31"/>
      <c r="V152" s="31"/>
      <c r="W152" s="31"/>
      <c r="X152" s="31"/>
      <c r="Y152" s="31"/>
      <c r="Z152" s="31"/>
    </row>
    <row r="153" spans="1:26" ht="23.25" customHeight="1" x14ac:dyDescent="0.3">
      <c r="A153" s="39">
        <v>152</v>
      </c>
      <c r="B153" s="40">
        <v>15</v>
      </c>
      <c r="C153" s="9">
        <f t="shared" si="18"/>
        <v>180</v>
      </c>
      <c r="D153" s="9" t="s">
        <v>68</v>
      </c>
      <c r="E153" s="9">
        <v>1.5</v>
      </c>
      <c r="F153" s="9">
        <f t="shared" si="20"/>
        <v>18</v>
      </c>
      <c r="G153" s="9">
        <v>1</v>
      </c>
      <c r="H153" s="41" t="s">
        <v>89</v>
      </c>
      <c r="I153" s="42">
        <v>1500000</v>
      </c>
      <c r="J153" s="42">
        <v>2000000</v>
      </c>
      <c r="K153" s="43" t="s">
        <v>97</v>
      </c>
      <c r="L153" s="9" t="s">
        <v>71</v>
      </c>
      <c r="M153" s="9" t="s">
        <v>132</v>
      </c>
      <c r="N153" s="9" t="s">
        <v>22</v>
      </c>
      <c r="O153" s="9" t="s">
        <v>72</v>
      </c>
      <c r="P153" s="9">
        <v>41</v>
      </c>
      <c r="Q153" s="9" t="s">
        <v>77</v>
      </c>
      <c r="R153" s="47">
        <v>2</v>
      </c>
      <c r="S153" s="31"/>
      <c r="T153" s="31"/>
      <c r="U153" s="31"/>
      <c r="V153" s="31"/>
      <c r="W153" s="31"/>
      <c r="X153" s="31"/>
      <c r="Y153" s="31"/>
      <c r="Z153" s="31"/>
    </row>
    <row r="154" spans="1:26" ht="23.25" customHeight="1" x14ac:dyDescent="0.3">
      <c r="A154" s="39">
        <v>153</v>
      </c>
      <c r="B154" s="40">
        <v>8</v>
      </c>
      <c r="C154" s="9">
        <f t="shared" si="18"/>
        <v>96</v>
      </c>
      <c r="D154" s="9" t="s">
        <v>74</v>
      </c>
      <c r="E154" s="9">
        <v>3</v>
      </c>
      <c r="F154" s="9">
        <f t="shared" si="20"/>
        <v>36</v>
      </c>
      <c r="G154" s="9">
        <v>1</v>
      </c>
      <c r="H154" s="35" t="s">
        <v>69</v>
      </c>
      <c r="I154" s="42">
        <v>500000</v>
      </c>
      <c r="J154" s="42">
        <v>1100000</v>
      </c>
      <c r="K154" s="43" t="s">
        <v>84</v>
      </c>
      <c r="L154" s="9" t="s">
        <v>98</v>
      </c>
      <c r="M154" s="9" t="s">
        <v>132</v>
      </c>
      <c r="N154" s="9" t="s">
        <v>22</v>
      </c>
      <c r="O154" s="9" t="s">
        <v>10</v>
      </c>
      <c r="P154" s="9">
        <v>22</v>
      </c>
      <c r="Q154" s="9" t="s">
        <v>77</v>
      </c>
      <c r="R154" s="47">
        <v>0</v>
      </c>
      <c r="S154" s="31"/>
      <c r="T154" s="31"/>
      <c r="U154" s="31"/>
      <c r="V154" s="31"/>
      <c r="W154" s="31"/>
      <c r="X154" s="31"/>
      <c r="Y154" s="31"/>
      <c r="Z154" s="31"/>
    </row>
    <row r="155" spans="1:26" ht="23.25" customHeight="1" x14ac:dyDescent="0.3">
      <c r="A155" s="39">
        <v>154</v>
      </c>
      <c r="B155" s="40">
        <v>3</v>
      </c>
      <c r="C155" s="9">
        <f t="shared" si="18"/>
        <v>36</v>
      </c>
      <c r="D155" s="9" t="s">
        <v>68</v>
      </c>
      <c r="E155" s="9">
        <v>1</v>
      </c>
      <c r="F155" s="9">
        <f t="shared" si="20"/>
        <v>12</v>
      </c>
      <c r="G155" s="9">
        <v>1</v>
      </c>
      <c r="H155" s="35" t="s">
        <v>69</v>
      </c>
      <c r="I155" s="42">
        <v>600000</v>
      </c>
      <c r="J155" s="42">
        <v>1800000</v>
      </c>
      <c r="K155" s="43" t="s">
        <v>160</v>
      </c>
      <c r="L155" s="9" t="s">
        <v>71</v>
      </c>
      <c r="M155" s="9" t="s">
        <v>22</v>
      </c>
      <c r="N155" s="9" t="s">
        <v>22</v>
      </c>
      <c r="O155" s="9" t="s">
        <v>10</v>
      </c>
      <c r="P155" s="9">
        <v>24</v>
      </c>
      <c r="Q155" s="9" t="s">
        <v>73</v>
      </c>
      <c r="R155" s="47">
        <v>0</v>
      </c>
      <c r="S155" s="31"/>
      <c r="T155" s="31"/>
      <c r="U155" s="31"/>
      <c r="V155" s="31"/>
      <c r="W155" s="31"/>
      <c r="X155" s="31"/>
      <c r="Y155" s="31"/>
      <c r="Z155" s="31"/>
    </row>
    <row r="156" spans="1:26" ht="23.25" customHeight="1" x14ac:dyDescent="0.3">
      <c r="A156" s="39">
        <v>155</v>
      </c>
      <c r="B156" s="40">
        <v>10</v>
      </c>
      <c r="C156" s="9">
        <f t="shared" si="18"/>
        <v>120</v>
      </c>
      <c r="D156" s="9" t="s">
        <v>68</v>
      </c>
      <c r="E156" s="9">
        <v>4</v>
      </c>
      <c r="F156" s="9">
        <f t="shared" si="20"/>
        <v>48</v>
      </c>
      <c r="G156" s="9">
        <v>1</v>
      </c>
      <c r="H156" s="41" t="s">
        <v>89</v>
      </c>
      <c r="I156" s="42">
        <v>800000</v>
      </c>
      <c r="J156" s="42">
        <v>2500000</v>
      </c>
      <c r="K156" s="43" t="s">
        <v>70</v>
      </c>
      <c r="L156" s="9" t="s">
        <v>90</v>
      </c>
      <c r="M156" s="9" t="s">
        <v>22</v>
      </c>
      <c r="N156" s="9" t="s">
        <v>22</v>
      </c>
      <c r="O156" s="9" t="s">
        <v>10</v>
      </c>
      <c r="P156" s="9">
        <v>28</v>
      </c>
      <c r="Q156" s="9" t="s">
        <v>77</v>
      </c>
      <c r="R156" s="47">
        <v>1</v>
      </c>
      <c r="S156" s="31"/>
      <c r="T156" s="31"/>
      <c r="U156" s="31"/>
      <c r="V156" s="31"/>
      <c r="W156" s="31"/>
      <c r="X156" s="31"/>
      <c r="Y156" s="31"/>
      <c r="Z156" s="31"/>
    </row>
    <row r="157" spans="1:26" ht="23.25" customHeight="1" x14ac:dyDescent="0.3">
      <c r="A157" s="39">
        <v>156</v>
      </c>
      <c r="B157" s="40">
        <v>7</v>
      </c>
      <c r="C157" s="9">
        <f t="shared" si="18"/>
        <v>84</v>
      </c>
      <c r="D157" s="9" t="s">
        <v>68</v>
      </c>
      <c r="E157" s="9">
        <v>1</v>
      </c>
      <c r="F157" s="9">
        <f t="shared" si="20"/>
        <v>12</v>
      </c>
      <c r="G157" s="34">
        <v>0</v>
      </c>
      <c r="H157" s="35" t="s">
        <v>69</v>
      </c>
      <c r="I157" s="42">
        <v>800000</v>
      </c>
      <c r="J157" s="42">
        <v>908000</v>
      </c>
      <c r="K157" s="43" t="s">
        <v>84</v>
      </c>
      <c r="L157" s="9" t="s">
        <v>98</v>
      </c>
      <c r="M157" s="9" t="s">
        <v>132</v>
      </c>
      <c r="N157" s="9" t="s">
        <v>22</v>
      </c>
      <c r="O157" s="9" t="s">
        <v>10</v>
      </c>
      <c r="P157" s="9">
        <v>29</v>
      </c>
      <c r="Q157" s="9" t="s">
        <v>73</v>
      </c>
      <c r="R157" s="47">
        <v>1</v>
      </c>
      <c r="S157" s="31"/>
      <c r="T157" s="31"/>
      <c r="U157" s="31"/>
      <c r="V157" s="31"/>
      <c r="W157" s="31"/>
      <c r="X157" s="31"/>
      <c r="Y157" s="31"/>
      <c r="Z157" s="31"/>
    </row>
    <row r="158" spans="1:26" ht="23.25" customHeight="1" x14ac:dyDescent="0.3">
      <c r="A158" s="39">
        <v>157</v>
      </c>
      <c r="B158" s="40">
        <v>6</v>
      </c>
      <c r="C158" s="9">
        <f t="shared" si="18"/>
        <v>72</v>
      </c>
      <c r="D158" s="9" t="s">
        <v>74</v>
      </c>
      <c r="E158" s="9">
        <v>3</v>
      </c>
      <c r="F158" s="9">
        <f t="shared" si="20"/>
        <v>36</v>
      </c>
      <c r="G158" s="9">
        <v>1</v>
      </c>
      <c r="H158" s="35" t="s">
        <v>69</v>
      </c>
      <c r="I158" s="42">
        <v>1000000</v>
      </c>
      <c r="J158" s="42">
        <v>1132000</v>
      </c>
      <c r="K158" s="43" t="s">
        <v>84</v>
      </c>
      <c r="L158" s="9" t="s">
        <v>98</v>
      </c>
      <c r="M158" s="9" t="s">
        <v>132</v>
      </c>
      <c r="N158" s="9" t="s">
        <v>22</v>
      </c>
      <c r="O158" s="9" t="s">
        <v>10</v>
      </c>
      <c r="P158" s="9">
        <v>24</v>
      </c>
      <c r="Q158" s="9" t="s">
        <v>73</v>
      </c>
      <c r="R158" s="47">
        <v>0</v>
      </c>
      <c r="S158" s="31"/>
      <c r="T158" s="31"/>
      <c r="U158" s="31"/>
      <c r="V158" s="31"/>
      <c r="W158" s="31"/>
      <c r="X158" s="31"/>
      <c r="Y158" s="31"/>
      <c r="Z158" s="31"/>
    </row>
    <row r="159" spans="1:26" ht="23.25" customHeight="1" x14ac:dyDescent="0.3">
      <c r="A159" s="39">
        <v>158</v>
      </c>
      <c r="B159" s="40">
        <v>10</v>
      </c>
      <c r="C159" s="9">
        <f t="shared" si="18"/>
        <v>120</v>
      </c>
      <c r="D159" s="9" t="s">
        <v>68</v>
      </c>
      <c r="E159" s="9">
        <v>3</v>
      </c>
      <c r="F159" s="9">
        <f t="shared" si="20"/>
        <v>36</v>
      </c>
      <c r="G159" s="34">
        <v>0</v>
      </c>
      <c r="H159" s="41" t="s">
        <v>83</v>
      </c>
      <c r="I159" s="42">
        <v>1000000</v>
      </c>
      <c r="J159" s="42">
        <v>1800000</v>
      </c>
      <c r="K159" s="43" t="s">
        <v>100</v>
      </c>
      <c r="L159" s="9" t="s">
        <v>138</v>
      </c>
      <c r="M159" s="9" t="s">
        <v>132</v>
      </c>
      <c r="N159" s="9" t="s">
        <v>22</v>
      </c>
      <c r="O159" s="9" t="s">
        <v>72</v>
      </c>
      <c r="P159" s="9">
        <v>28</v>
      </c>
      <c r="Q159" s="9" t="s">
        <v>73</v>
      </c>
      <c r="R159" s="47">
        <v>0</v>
      </c>
      <c r="S159" s="31"/>
      <c r="T159" s="31"/>
      <c r="U159" s="31"/>
      <c r="V159" s="31"/>
      <c r="W159" s="31"/>
      <c r="X159" s="31"/>
      <c r="Y159" s="31"/>
      <c r="Z159" s="31"/>
    </row>
    <row r="160" spans="1:26" ht="23.25" customHeight="1" x14ac:dyDescent="0.3">
      <c r="A160" s="39">
        <v>159</v>
      </c>
      <c r="B160" s="40">
        <v>7</v>
      </c>
      <c r="C160" s="9">
        <f t="shared" si="18"/>
        <v>84</v>
      </c>
      <c r="D160" s="9" t="s">
        <v>68</v>
      </c>
      <c r="E160" s="9">
        <v>0.16666666669999999</v>
      </c>
      <c r="F160" s="9">
        <f t="shared" si="20"/>
        <v>2.0000000004</v>
      </c>
      <c r="G160" s="34">
        <v>0</v>
      </c>
      <c r="H160" s="35" t="s">
        <v>69</v>
      </c>
      <c r="I160" s="42">
        <v>300000</v>
      </c>
      <c r="J160" s="42">
        <v>908000</v>
      </c>
      <c r="K160" s="43" t="s">
        <v>84</v>
      </c>
      <c r="L160" s="9" t="s">
        <v>98</v>
      </c>
      <c r="M160" s="9" t="s">
        <v>22</v>
      </c>
      <c r="N160" s="9" t="s">
        <v>22</v>
      </c>
      <c r="O160" s="9" t="s">
        <v>10</v>
      </c>
      <c r="P160" s="9">
        <v>27</v>
      </c>
      <c r="Q160" s="9" t="s">
        <v>73</v>
      </c>
      <c r="R160" s="47">
        <v>1</v>
      </c>
      <c r="S160" s="31"/>
      <c r="T160" s="31"/>
      <c r="U160" s="31"/>
      <c r="V160" s="31"/>
      <c r="W160" s="31"/>
      <c r="X160" s="31"/>
      <c r="Y160" s="31"/>
      <c r="Z160" s="31"/>
    </row>
    <row r="161" spans="1:26" ht="23.25" customHeight="1" x14ac:dyDescent="0.3">
      <c r="A161" s="39">
        <v>160</v>
      </c>
      <c r="B161" s="54">
        <v>5</v>
      </c>
      <c r="C161" s="9">
        <f t="shared" si="18"/>
        <v>60</v>
      </c>
      <c r="D161" s="9" t="s">
        <v>68</v>
      </c>
      <c r="E161" s="9">
        <v>0.5</v>
      </c>
      <c r="F161" s="9">
        <f t="shared" si="20"/>
        <v>6</v>
      </c>
      <c r="G161" s="9">
        <v>1</v>
      </c>
      <c r="H161" s="41" t="s">
        <v>83</v>
      </c>
      <c r="I161" s="42">
        <v>600000</v>
      </c>
      <c r="J161" s="42">
        <v>908000</v>
      </c>
      <c r="K161" s="43" t="s">
        <v>100</v>
      </c>
      <c r="L161" s="9" t="s">
        <v>172</v>
      </c>
      <c r="M161" s="9" t="s">
        <v>22</v>
      </c>
      <c r="N161" s="9" t="s">
        <v>22</v>
      </c>
      <c r="O161" s="9" t="s">
        <v>10</v>
      </c>
      <c r="P161" s="9">
        <v>23</v>
      </c>
      <c r="Q161" s="9" t="s">
        <v>73</v>
      </c>
      <c r="R161" s="47">
        <v>1</v>
      </c>
      <c r="S161" s="31"/>
      <c r="T161" s="31"/>
      <c r="U161" s="31"/>
      <c r="V161" s="31"/>
      <c r="W161" s="31"/>
      <c r="X161" s="31"/>
      <c r="Y161" s="31"/>
      <c r="Z161" s="31"/>
    </row>
    <row r="162" spans="1:26" ht="23.25" customHeight="1" x14ac:dyDescent="0.3">
      <c r="A162" s="39">
        <v>161</v>
      </c>
      <c r="B162" s="40">
        <v>12</v>
      </c>
      <c r="C162" s="9">
        <f t="shared" si="18"/>
        <v>144</v>
      </c>
      <c r="D162" s="9" t="s">
        <v>68</v>
      </c>
      <c r="E162" s="9">
        <v>6</v>
      </c>
      <c r="F162" s="9">
        <f t="shared" si="20"/>
        <v>72</v>
      </c>
      <c r="G162" s="34">
        <v>0</v>
      </c>
      <c r="H162" s="35" t="s">
        <v>69</v>
      </c>
      <c r="I162" s="42">
        <v>700000</v>
      </c>
      <c r="J162" s="42">
        <v>908000</v>
      </c>
      <c r="K162" s="43" t="s">
        <v>97</v>
      </c>
      <c r="L162" s="9" t="s">
        <v>107</v>
      </c>
      <c r="M162" s="9" t="s">
        <v>132</v>
      </c>
      <c r="N162" s="9" t="s">
        <v>22</v>
      </c>
      <c r="O162" s="9" t="s">
        <v>10</v>
      </c>
      <c r="P162" s="9">
        <v>34</v>
      </c>
      <c r="Q162" s="9" t="s">
        <v>73</v>
      </c>
      <c r="R162" s="47">
        <v>1</v>
      </c>
      <c r="S162" s="31"/>
      <c r="T162" s="31"/>
      <c r="U162" s="31"/>
      <c r="V162" s="31"/>
      <c r="W162" s="31"/>
      <c r="X162" s="31"/>
      <c r="Y162" s="31"/>
      <c r="Z162" s="31"/>
    </row>
    <row r="163" spans="1:26" ht="23.25" customHeight="1" x14ac:dyDescent="0.3">
      <c r="A163" s="39">
        <v>162</v>
      </c>
      <c r="B163" s="40">
        <v>3</v>
      </c>
      <c r="C163" s="9">
        <f t="shared" si="18"/>
        <v>36</v>
      </c>
      <c r="D163" s="9" t="s">
        <v>68</v>
      </c>
      <c r="E163" s="9">
        <v>2</v>
      </c>
      <c r="F163" s="9">
        <f t="shared" si="20"/>
        <v>24</v>
      </c>
      <c r="G163" s="34">
        <v>0</v>
      </c>
      <c r="H163" s="35" t="s">
        <v>69</v>
      </c>
      <c r="I163" s="42">
        <v>2000000</v>
      </c>
      <c r="J163" s="42">
        <v>1000000</v>
      </c>
      <c r="K163" s="43" t="s">
        <v>100</v>
      </c>
      <c r="L163" s="9" t="s">
        <v>150</v>
      </c>
      <c r="M163" s="9" t="s">
        <v>22</v>
      </c>
      <c r="N163" s="9" t="s">
        <v>22</v>
      </c>
      <c r="O163" s="9" t="s">
        <v>10</v>
      </c>
      <c r="P163" s="9">
        <v>23</v>
      </c>
      <c r="Q163" s="9" t="s">
        <v>73</v>
      </c>
      <c r="R163" s="47">
        <v>0</v>
      </c>
      <c r="S163" s="31"/>
      <c r="T163" s="31"/>
      <c r="U163" s="31"/>
      <c r="V163" s="31"/>
      <c r="W163" s="31"/>
      <c r="X163" s="31"/>
      <c r="Y163" s="31"/>
      <c r="Z163" s="31"/>
    </row>
    <row r="164" spans="1:26" ht="23.25" customHeight="1" x14ac:dyDescent="0.3">
      <c r="A164" s="39">
        <v>163</v>
      </c>
      <c r="B164" s="40">
        <v>9</v>
      </c>
      <c r="C164" s="9">
        <f t="shared" si="18"/>
        <v>108</v>
      </c>
      <c r="D164" s="9" t="s">
        <v>68</v>
      </c>
      <c r="E164" s="9">
        <v>5</v>
      </c>
      <c r="F164" s="9">
        <f t="shared" si="20"/>
        <v>60</v>
      </c>
      <c r="G164" s="9">
        <v>1</v>
      </c>
      <c r="H164" s="35" t="s">
        <v>69</v>
      </c>
      <c r="I164" s="42">
        <v>600000</v>
      </c>
      <c r="J164" s="42">
        <v>1000000</v>
      </c>
      <c r="K164" s="43" t="s">
        <v>100</v>
      </c>
      <c r="L164" s="9" t="s">
        <v>138</v>
      </c>
      <c r="M164" s="9" t="s">
        <v>22</v>
      </c>
      <c r="N164" s="9" t="s">
        <v>22</v>
      </c>
      <c r="O164" s="9" t="s">
        <v>10</v>
      </c>
      <c r="P164" s="9">
        <v>26</v>
      </c>
      <c r="Q164" s="9" t="s">
        <v>73</v>
      </c>
      <c r="R164" s="47">
        <v>0</v>
      </c>
      <c r="S164" s="31"/>
      <c r="T164" s="31"/>
      <c r="U164" s="31"/>
      <c r="V164" s="31"/>
      <c r="W164" s="31"/>
      <c r="X164" s="31"/>
      <c r="Y164" s="31"/>
      <c r="Z164" s="31"/>
    </row>
    <row r="165" spans="1:26" ht="23.25" customHeight="1" x14ac:dyDescent="0.3">
      <c r="A165" s="39">
        <v>164</v>
      </c>
      <c r="B165" s="40">
        <v>12</v>
      </c>
      <c r="C165" s="9">
        <f t="shared" si="18"/>
        <v>144</v>
      </c>
      <c r="D165" s="9" t="s">
        <v>68</v>
      </c>
      <c r="E165" s="9">
        <v>11</v>
      </c>
      <c r="F165" s="9">
        <f t="shared" si="20"/>
        <v>132</v>
      </c>
      <c r="G165" s="9">
        <v>1</v>
      </c>
      <c r="H165" s="35" t="s">
        <v>69</v>
      </c>
      <c r="I165" s="42">
        <v>600000</v>
      </c>
      <c r="J165" s="42">
        <v>1200000</v>
      </c>
      <c r="K165" s="43" t="s">
        <v>97</v>
      </c>
      <c r="L165" s="9" t="s">
        <v>173</v>
      </c>
      <c r="M165" s="9" t="s">
        <v>22</v>
      </c>
      <c r="N165" s="9" t="s">
        <v>22</v>
      </c>
      <c r="O165" s="9" t="s">
        <v>10</v>
      </c>
      <c r="P165" s="9">
        <v>30</v>
      </c>
      <c r="Q165" s="9" t="s">
        <v>73</v>
      </c>
      <c r="R165" s="47">
        <v>0</v>
      </c>
      <c r="S165" s="31"/>
      <c r="T165" s="31"/>
      <c r="U165" s="31"/>
      <c r="V165" s="31"/>
      <c r="W165" s="31"/>
      <c r="X165" s="31"/>
      <c r="Y165" s="31"/>
      <c r="Z165" s="31"/>
    </row>
    <row r="166" spans="1:26" ht="23.25" customHeight="1" x14ac:dyDescent="0.3">
      <c r="A166" s="39">
        <v>165</v>
      </c>
      <c r="B166" s="40">
        <v>10</v>
      </c>
      <c r="C166" s="9">
        <f t="shared" si="18"/>
        <v>120</v>
      </c>
      <c r="D166" s="9" t="s">
        <v>68</v>
      </c>
      <c r="E166" s="9">
        <v>3</v>
      </c>
      <c r="F166" s="9">
        <f t="shared" si="20"/>
        <v>36</v>
      </c>
      <c r="G166" s="9">
        <v>1</v>
      </c>
      <c r="H166" s="35" t="s">
        <v>69</v>
      </c>
      <c r="I166" s="42">
        <v>500000</v>
      </c>
      <c r="J166" s="42">
        <v>908000</v>
      </c>
      <c r="K166" s="43" t="s">
        <v>84</v>
      </c>
      <c r="L166" s="9" t="s">
        <v>98</v>
      </c>
      <c r="M166" s="9" t="s">
        <v>22</v>
      </c>
      <c r="N166" s="9" t="s">
        <v>22</v>
      </c>
      <c r="O166" s="9" t="s">
        <v>10</v>
      </c>
      <c r="P166" s="9">
        <v>29</v>
      </c>
      <c r="Q166" s="9" t="s">
        <v>77</v>
      </c>
      <c r="R166" s="47">
        <v>1</v>
      </c>
      <c r="S166" s="31"/>
      <c r="T166" s="31"/>
      <c r="U166" s="31"/>
      <c r="V166" s="31"/>
      <c r="W166" s="31"/>
      <c r="X166" s="31"/>
      <c r="Y166" s="31"/>
      <c r="Z166" s="31"/>
    </row>
    <row r="167" spans="1:26" ht="23.25" customHeight="1" x14ac:dyDescent="0.3">
      <c r="A167" s="39">
        <v>166</v>
      </c>
      <c r="B167" s="40">
        <v>10</v>
      </c>
      <c r="C167" s="9">
        <f t="shared" si="18"/>
        <v>120</v>
      </c>
      <c r="D167" s="9" t="s">
        <v>68</v>
      </c>
      <c r="E167" s="9">
        <v>10</v>
      </c>
      <c r="F167" s="9">
        <f t="shared" si="20"/>
        <v>120</v>
      </c>
      <c r="G167" s="9">
        <v>1</v>
      </c>
      <c r="H167" s="41" t="s">
        <v>83</v>
      </c>
      <c r="I167" s="42">
        <v>1000000</v>
      </c>
      <c r="J167" s="42">
        <v>1000000</v>
      </c>
      <c r="K167" s="43" t="s">
        <v>97</v>
      </c>
      <c r="L167" s="9" t="s">
        <v>90</v>
      </c>
      <c r="M167" s="9" t="s">
        <v>22</v>
      </c>
      <c r="N167" s="9" t="s">
        <v>22</v>
      </c>
      <c r="O167" s="9" t="s">
        <v>10</v>
      </c>
      <c r="P167" s="9">
        <v>31</v>
      </c>
      <c r="Q167" s="9" t="s">
        <v>73</v>
      </c>
      <c r="R167" s="47">
        <v>0</v>
      </c>
      <c r="S167" s="31"/>
      <c r="T167" s="31"/>
      <c r="U167" s="31"/>
      <c r="V167" s="31"/>
      <c r="W167" s="31"/>
      <c r="X167" s="31"/>
      <c r="Y167" s="31"/>
      <c r="Z167" s="31"/>
    </row>
    <row r="168" spans="1:26" ht="23.25" customHeight="1" x14ac:dyDescent="0.3">
      <c r="A168" s="39">
        <v>167</v>
      </c>
      <c r="B168" s="40">
        <v>5</v>
      </c>
      <c r="C168" s="9">
        <f t="shared" si="18"/>
        <v>60</v>
      </c>
      <c r="D168" s="9" t="s">
        <v>123</v>
      </c>
      <c r="E168" s="9">
        <v>0.33333333300000001</v>
      </c>
      <c r="F168" s="55">
        <f t="shared" si="20"/>
        <v>3.9999999960000001</v>
      </c>
      <c r="G168" s="9">
        <v>1</v>
      </c>
      <c r="H168" s="41" t="s">
        <v>174</v>
      </c>
      <c r="I168" s="42">
        <v>1000000</v>
      </c>
      <c r="J168" s="42">
        <v>1500000</v>
      </c>
      <c r="K168" s="43" t="s">
        <v>100</v>
      </c>
      <c r="L168" s="9" t="s">
        <v>175</v>
      </c>
      <c r="M168" s="9" t="s">
        <v>132</v>
      </c>
      <c r="N168" s="9" t="s">
        <v>22</v>
      </c>
      <c r="O168" s="9" t="s">
        <v>72</v>
      </c>
      <c r="P168" s="9">
        <v>26</v>
      </c>
      <c r="Q168" s="9" t="s">
        <v>73</v>
      </c>
      <c r="R168" s="47">
        <v>0</v>
      </c>
      <c r="S168" s="31"/>
      <c r="T168" s="31"/>
      <c r="U168" s="31"/>
      <c r="V168" s="31"/>
      <c r="W168" s="31"/>
      <c r="X168" s="31"/>
      <c r="Y168" s="31"/>
      <c r="Z168" s="31"/>
    </row>
    <row r="169" spans="1:26" ht="23.25" customHeight="1" x14ac:dyDescent="0.3">
      <c r="A169" s="39">
        <v>168</v>
      </c>
      <c r="B169" s="40">
        <v>10</v>
      </c>
      <c r="C169" s="9">
        <f t="shared" si="18"/>
        <v>120</v>
      </c>
      <c r="D169" s="9" t="s">
        <v>68</v>
      </c>
      <c r="E169" s="9">
        <v>5</v>
      </c>
      <c r="F169" s="9">
        <f t="shared" si="20"/>
        <v>60</v>
      </c>
      <c r="G169" s="9">
        <v>1</v>
      </c>
      <c r="H169" s="35" t="s">
        <v>69</v>
      </c>
      <c r="I169" s="42">
        <v>500000</v>
      </c>
      <c r="J169" s="42">
        <v>3500000</v>
      </c>
      <c r="K169" s="43" t="s">
        <v>97</v>
      </c>
      <c r="L169" s="9" t="s">
        <v>107</v>
      </c>
      <c r="M169" s="9" t="s">
        <v>132</v>
      </c>
      <c r="N169" s="9" t="s">
        <v>22</v>
      </c>
      <c r="O169" s="9" t="s">
        <v>10</v>
      </c>
      <c r="P169" s="9">
        <v>21</v>
      </c>
      <c r="Q169" s="9" t="s">
        <v>73</v>
      </c>
      <c r="R169" s="47">
        <v>0</v>
      </c>
      <c r="S169" s="31"/>
      <c r="T169" s="31"/>
      <c r="U169" s="31"/>
      <c r="V169" s="31"/>
      <c r="W169" s="31"/>
      <c r="X169" s="31"/>
      <c r="Y169" s="31"/>
      <c r="Z169" s="31"/>
    </row>
    <row r="170" spans="1:26" ht="23.25" customHeight="1" x14ac:dyDescent="0.3">
      <c r="A170" s="39">
        <v>169</v>
      </c>
      <c r="B170" s="40">
        <v>3</v>
      </c>
      <c r="C170" s="9">
        <f t="shared" si="18"/>
        <v>36</v>
      </c>
      <c r="D170" s="9" t="s">
        <v>68</v>
      </c>
      <c r="E170" s="9">
        <v>8.3333333300000006E-2</v>
      </c>
      <c r="F170" s="9">
        <f t="shared" si="20"/>
        <v>0.99999999960000008</v>
      </c>
      <c r="G170" s="9">
        <v>1</v>
      </c>
      <c r="H170" s="35" t="s">
        <v>69</v>
      </c>
      <c r="I170" s="42">
        <v>300000</v>
      </c>
      <c r="J170" s="42">
        <v>960000</v>
      </c>
      <c r="K170" s="43" t="s">
        <v>97</v>
      </c>
      <c r="L170" s="9" t="s">
        <v>71</v>
      </c>
      <c r="M170" s="9" t="s">
        <v>22</v>
      </c>
      <c r="N170" s="9" t="s">
        <v>22</v>
      </c>
      <c r="O170" s="9" t="s">
        <v>10</v>
      </c>
      <c r="P170" s="9">
        <v>21</v>
      </c>
      <c r="Q170" s="9" t="s">
        <v>73</v>
      </c>
      <c r="R170" s="47">
        <v>1</v>
      </c>
      <c r="S170" s="31"/>
      <c r="T170" s="31"/>
      <c r="U170" s="31"/>
      <c r="V170" s="31"/>
      <c r="W170" s="31"/>
      <c r="X170" s="31"/>
      <c r="Y170" s="31"/>
      <c r="Z170" s="31"/>
    </row>
    <row r="171" spans="1:26" ht="23.25" customHeight="1" x14ac:dyDescent="0.3">
      <c r="A171" s="39">
        <v>170</v>
      </c>
      <c r="B171" s="40">
        <v>15</v>
      </c>
      <c r="C171" s="9">
        <f t="shared" si="18"/>
        <v>180</v>
      </c>
      <c r="D171" s="9" t="s">
        <v>68</v>
      </c>
      <c r="E171" s="9">
        <v>5</v>
      </c>
      <c r="F171" s="9">
        <f t="shared" si="20"/>
        <v>60</v>
      </c>
      <c r="G171" s="9">
        <v>1</v>
      </c>
      <c r="H171" s="41" t="s">
        <v>176</v>
      </c>
      <c r="I171" s="42">
        <v>1000000</v>
      </c>
      <c r="J171" s="42">
        <v>1800000</v>
      </c>
      <c r="K171" s="43" t="s">
        <v>70</v>
      </c>
      <c r="L171" s="9" t="s">
        <v>90</v>
      </c>
      <c r="M171" s="9" t="s">
        <v>22</v>
      </c>
      <c r="N171" s="9" t="s">
        <v>22</v>
      </c>
      <c r="O171" s="9" t="s">
        <v>10</v>
      </c>
      <c r="P171" s="9">
        <v>33</v>
      </c>
      <c r="Q171" s="9" t="s">
        <v>77</v>
      </c>
      <c r="R171" s="47">
        <v>1</v>
      </c>
      <c r="S171" s="31"/>
      <c r="T171" s="31"/>
      <c r="U171" s="31"/>
      <c r="V171" s="31"/>
      <c r="W171" s="31"/>
      <c r="X171" s="31"/>
      <c r="Y171" s="31"/>
      <c r="Z171" s="31"/>
    </row>
    <row r="172" spans="1:26" ht="23.25" customHeight="1" x14ac:dyDescent="0.3">
      <c r="A172" s="39">
        <v>171</v>
      </c>
      <c r="B172" s="40">
        <v>4</v>
      </c>
      <c r="C172" s="9">
        <f t="shared" si="18"/>
        <v>48</v>
      </c>
      <c r="D172" s="9" t="s">
        <v>68</v>
      </c>
      <c r="E172" s="9">
        <v>4</v>
      </c>
      <c r="F172" s="9">
        <f t="shared" si="20"/>
        <v>48</v>
      </c>
      <c r="G172" s="9">
        <v>1</v>
      </c>
      <c r="H172" s="35" t="s">
        <v>69</v>
      </c>
      <c r="I172" s="42">
        <v>800000</v>
      </c>
      <c r="J172" s="42">
        <v>1000000</v>
      </c>
      <c r="K172" s="43" t="s">
        <v>97</v>
      </c>
      <c r="L172" s="9" t="s">
        <v>71</v>
      </c>
      <c r="M172" s="9" t="s">
        <v>22</v>
      </c>
      <c r="N172" s="9" t="s">
        <v>22</v>
      </c>
      <c r="O172" s="9" t="s">
        <v>10</v>
      </c>
      <c r="P172" s="9">
        <v>18</v>
      </c>
      <c r="Q172" s="9" t="s">
        <v>73</v>
      </c>
      <c r="R172" s="47">
        <v>0</v>
      </c>
      <c r="S172" s="31"/>
      <c r="T172" s="31"/>
      <c r="U172" s="31"/>
      <c r="V172" s="31"/>
      <c r="W172" s="31"/>
      <c r="X172" s="31"/>
      <c r="Y172" s="31"/>
      <c r="Z172" s="31"/>
    </row>
    <row r="173" spans="1:26" ht="23.25" customHeight="1" x14ac:dyDescent="0.3">
      <c r="A173" s="39">
        <v>172</v>
      </c>
      <c r="B173" s="40">
        <v>6</v>
      </c>
      <c r="C173" s="9">
        <f t="shared" si="18"/>
        <v>72</v>
      </c>
      <c r="D173" s="9" t="s">
        <v>68</v>
      </c>
      <c r="E173" s="9">
        <v>5</v>
      </c>
      <c r="F173" s="9">
        <f t="shared" si="20"/>
        <v>60</v>
      </c>
      <c r="G173" s="9">
        <v>1</v>
      </c>
      <c r="H173" s="41" t="s">
        <v>89</v>
      </c>
      <c r="I173" s="42">
        <v>1000000</v>
      </c>
      <c r="J173" s="42">
        <v>1200000</v>
      </c>
      <c r="K173" s="43" t="s">
        <v>97</v>
      </c>
      <c r="L173" s="9" t="s">
        <v>71</v>
      </c>
      <c r="M173" s="9" t="s">
        <v>22</v>
      </c>
      <c r="N173" s="9" t="s">
        <v>22</v>
      </c>
      <c r="O173" s="9" t="s">
        <v>72</v>
      </c>
      <c r="P173" s="9">
        <v>24</v>
      </c>
      <c r="Q173" s="9" t="s">
        <v>77</v>
      </c>
      <c r="R173" s="47">
        <v>0</v>
      </c>
      <c r="S173" s="31"/>
      <c r="T173" s="31"/>
      <c r="U173" s="31"/>
      <c r="V173" s="31"/>
      <c r="W173" s="31"/>
      <c r="X173" s="31"/>
      <c r="Y173" s="31"/>
      <c r="Z173" s="31"/>
    </row>
    <row r="174" spans="1:26" ht="23.25" customHeight="1" x14ac:dyDescent="0.3">
      <c r="A174" s="39">
        <v>173</v>
      </c>
      <c r="B174" s="40">
        <v>3</v>
      </c>
      <c r="C174" s="9">
        <f t="shared" si="18"/>
        <v>36</v>
      </c>
      <c r="D174" s="9" t="s">
        <v>68</v>
      </c>
      <c r="E174" s="9">
        <v>8.3333333300000006E-2</v>
      </c>
      <c r="F174" s="9">
        <f t="shared" si="20"/>
        <v>0.99999999960000008</v>
      </c>
      <c r="G174" s="9">
        <v>1</v>
      </c>
      <c r="H174" s="35" t="s">
        <v>105</v>
      </c>
      <c r="I174" s="42">
        <v>600000</v>
      </c>
      <c r="J174" s="42">
        <v>900000</v>
      </c>
      <c r="K174" s="43" t="s">
        <v>84</v>
      </c>
      <c r="L174" s="9" t="s">
        <v>98</v>
      </c>
      <c r="M174" s="9" t="s">
        <v>22</v>
      </c>
      <c r="N174" s="9" t="s">
        <v>22</v>
      </c>
      <c r="O174" s="9" t="s">
        <v>72</v>
      </c>
      <c r="P174" s="9">
        <v>20</v>
      </c>
      <c r="Q174" s="9" t="s">
        <v>73</v>
      </c>
      <c r="R174" s="47">
        <v>0</v>
      </c>
      <c r="S174" s="31"/>
      <c r="T174" s="31"/>
      <c r="U174" s="31"/>
      <c r="V174" s="31"/>
      <c r="W174" s="31"/>
      <c r="X174" s="31"/>
      <c r="Y174" s="31"/>
      <c r="Z174" s="31"/>
    </row>
    <row r="175" spans="1:26" ht="23.25" customHeight="1" x14ac:dyDescent="0.3">
      <c r="A175" s="39">
        <v>174</v>
      </c>
      <c r="B175" s="40">
        <v>5</v>
      </c>
      <c r="C175" s="9">
        <f t="shared" si="18"/>
        <v>60</v>
      </c>
      <c r="D175" s="9" t="s">
        <v>68</v>
      </c>
      <c r="E175" s="9">
        <v>3</v>
      </c>
      <c r="F175" s="9">
        <f t="shared" si="20"/>
        <v>36</v>
      </c>
      <c r="G175" s="9">
        <v>1</v>
      </c>
      <c r="H175" s="35" t="s">
        <v>69</v>
      </c>
      <c r="I175" s="42">
        <v>1000000</v>
      </c>
      <c r="J175" s="42">
        <v>900000</v>
      </c>
      <c r="K175" s="43" t="s">
        <v>84</v>
      </c>
      <c r="L175" s="9" t="s">
        <v>98</v>
      </c>
      <c r="M175" s="9" t="s">
        <v>132</v>
      </c>
      <c r="N175" s="9" t="s">
        <v>132</v>
      </c>
      <c r="O175" s="9" t="s">
        <v>10</v>
      </c>
      <c r="P175" s="9">
        <v>21</v>
      </c>
      <c r="Q175" s="9" t="s">
        <v>73</v>
      </c>
      <c r="R175" s="47">
        <v>0</v>
      </c>
      <c r="S175" s="31"/>
      <c r="T175" s="31"/>
      <c r="U175" s="31"/>
      <c r="V175" s="31"/>
      <c r="W175" s="31"/>
      <c r="X175" s="31"/>
      <c r="Y175" s="31"/>
      <c r="Z175" s="31"/>
    </row>
    <row r="176" spans="1:26" ht="23.25" customHeight="1" x14ac:dyDescent="0.3">
      <c r="A176" s="39">
        <v>175</v>
      </c>
      <c r="B176" s="9">
        <v>0.16666666669999999</v>
      </c>
      <c r="C176" s="9">
        <f t="shared" si="18"/>
        <v>2.0000000004</v>
      </c>
      <c r="D176" s="9" t="s">
        <v>68</v>
      </c>
      <c r="E176" s="9">
        <v>0.16666666669999999</v>
      </c>
      <c r="F176" s="9">
        <f t="shared" si="20"/>
        <v>2.0000000004</v>
      </c>
      <c r="G176" s="9">
        <v>1</v>
      </c>
      <c r="H176" s="35" t="s">
        <v>69</v>
      </c>
      <c r="I176" s="42">
        <v>400000</v>
      </c>
      <c r="J176" s="42">
        <v>950000</v>
      </c>
      <c r="K176" s="43" t="s">
        <v>97</v>
      </c>
      <c r="L176" s="9" t="s">
        <v>71</v>
      </c>
      <c r="M176" s="9" t="s">
        <v>22</v>
      </c>
      <c r="N176" s="9" t="s">
        <v>22</v>
      </c>
      <c r="O176" s="9" t="s">
        <v>10</v>
      </c>
      <c r="P176" s="9">
        <v>19</v>
      </c>
      <c r="Q176" s="9" t="s">
        <v>73</v>
      </c>
      <c r="R176" s="47">
        <v>0</v>
      </c>
      <c r="S176" s="31"/>
      <c r="T176" s="31"/>
      <c r="U176" s="31"/>
      <c r="V176" s="31"/>
      <c r="W176" s="31"/>
      <c r="X176" s="31"/>
      <c r="Y176" s="31"/>
      <c r="Z176" s="31"/>
    </row>
    <row r="177" spans="1:26" ht="23.25" customHeight="1" x14ac:dyDescent="0.3">
      <c r="A177" s="39">
        <v>176</v>
      </c>
      <c r="B177" s="40">
        <v>8</v>
      </c>
      <c r="C177" s="9">
        <f t="shared" si="18"/>
        <v>96</v>
      </c>
      <c r="D177" s="9" t="s">
        <v>68</v>
      </c>
      <c r="E177" s="9">
        <v>1</v>
      </c>
      <c r="F177" s="9">
        <f t="shared" si="20"/>
        <v>12</v>
      </c>
      <c r="G177" s="34">
        <v>0</v>
      </c>
      <c r="H177" s="35" t="s">
        <v>69</v>
      </c>
      <c r="I177" s="42">
        <v>1000000</v>
      </c>
      <c r="J177" s="42">
        <v>1000000</v>
      </c>
      <c r="K177" s="43" t="s">
        <v>97</v>
      </c>
      <c r="L177" s="9" t="s">
        <v>106</v>
      </c>
      <c r="M177" s="9" t="s">
        <v>22</v>
      </c>
      <c r="N177" s="9" t="s">
        <v>22</v>
      </c>
      <c r="O177" s="9" t="s">
        <v>72</v>
      </c>
      <c r="P177" s="9">
        <v>24</v>
      </c>
      <c r="Q177" s="9" t="s">
        <v>73</v>
      </c>
      <c r="R177" s="47">
        <v>0</v>
      </c>
      <c r="S177" s="31"/>
      <c r="T177" s="31"/>
      <c r="U177" s="31"/>
      <c r="V177" s="31"/>
      <c r="W177" s="31"/>
      <c r="X177" s="31"/>
      <c r="Y177" s="31"/>
      <c r="Z177" s="31"/>
    </row>
    <row r="178" spans="1:26" ht="23.25" customHeight="1" x14ac:dyDescent="0.3">
      <c r="A178" s="39">
        <v>177</v>
      </c>
      <c r="B178" s="40">
        <v>2</v>
      </c>
      <c r="C178" s="9">
        <f t="shared" si="18"/>
        <v>24</v>
      </c>
      <c r="D178" s="9" t="s">
        <v>68</v>
      </c>
      <c r="E178" s="9">
        <v>8.3333333300000006E-2</v>
      </c>
      <c r="F178" s="9">
        <f t="shared" si="20"/>
        <v>0.99999999960000008</v>
      </c>
      <c r="G178" s="9">
        <v>1</v>
      </c>
      <c r="H178" s="35" t="s">
        <v>69</v>
      </c>
      <c r="I178" s="42">
        <v>900000</v>
      </c>
      <c r="J178" s="42">
        <v>1100000</v>
      </c>
      <c r="K178" s="43" t="s">
        <v>97</v>
      </c>
      <c r="L178" s="9" t="s">
        <v>107</v>
      </c>
      <c r="M178" s="9" t="s">
        <v>132</v>
      </c>
      <c r="N178" s="9" t="s">
        <v>22</v>
      </c>
      <c r="O178" s="9" t="s">
        <v>10</v>
      </c>
      <c r="P178" s="9">
        <v>21</v>
      </c>
      <c r="Q178" s="9" t="s">
        <v>73</v>
      </c>
      <c r="R178" s="47">
        <v>0</v>
      </c>
      <c r="S178" s="31"/>
      <c r="T178" s="31"/>
      <c r="U178" s="31"/>
      <c r="V178" s="31"/>
      <c r="W178" s="31"/>
      <c r="X178" s="31"/>
      <c r="Y178" s="31"/>
      <c r="Z178" s="31"/>
    </row>
    <row r="179" spans="1:26" ht="23.25" customHeight="1" x14ac:dyDescent="0.3">
      <c r="A179" s="39">
        <v>178</v>
      </c>
      <c r="B179" s="40">
        <v>5</v>
      </c>
      <c r="C179" s="9">
        <f t="shared" si="18"/>
        <v>60</v>
      </c>
      <c r="D179" s="9" t="s">
        <v>68</v>
      </c>
      <c r="E179" s="9">
        <v>5</v>
      </c>
      <c r="F179" s="9">
        <f t="shared" si="20"/>
        <v>60</v>
      </c>
      <c r="G179" s="9">
        <v>1</v>
      </c>
      <c r="H179" s="35" t="s">
        <v>69</v>
      </c>
      <c r="I179" s="42">
        <v>400000</v>
      </c>
      <c r="J179" s="42">
        <v>800000</v>
      </c>
      <c r="K179" s="43" t="s">
        <v>70</v>
      </c>
      <c r="L179" s="9" t="s">
        <v>177</v>
      </c>
      <c r="M179" s="9" t="s">
        <v>132</v>
      </c>
      <c r="N179" s="9" t="s">
        <v>22</v>
      </c>
      <c r="O179" s="9" t="s">
        <v>10</v>
      </c>
      <c r="P179" s="9">
        <v>21</v>
      </c>
      <c r="Q179" s="9" t="s">
        <v>73</v>
      </c>
      <c r="R179" s="47">
        <v>0</v>
      </c>
      <c r="S179" s="31"/>
      <c r="T179" s="31"/>
      <c r="U179" s="31"/>
      <c r="V179" s="31"/>
      <c r="W179" s="31"/>
      <c r="X179" s="31"/>
      <c r="Y179" s="31"/>
      <c r="Z179" s="31"/>
    </row>
    <row r="180" spans="1:26" ht="23.25" customHeight="1" x14ac:dyDescent="0.3">
      <c r="A180" s="39">
        <v>179</v>
      </c>
      <c r="B180" s="9">
        <v>0.16666666669999999</v>
      </c>
      <c r="C180" s="9">
        <f t="shared" si="18"/>
        <v>2.0000000004</v>
      </c>
      <c r="D180" s="9" t="s">
        <v>68</v>
      </c>
      <c r="E180" s="9">
        <v>8.3333333300000006E-2</v>
      </c>
      <c r="F180" s="9">
        <f t="shared" si="20"/>
        <v>0.99999999960000008</v>
      </c>
      <c r="G180" s="9">
        <v>1</v>
      </c>
      <c r="H180" s="35" t="s">
        <v>69</v>
      </c>
      <c r="I180" s="42">
        <v>1020000</v>
      </c>
      <c r="J180" s="42">
        <v>1500000</v>
      </c>
      <c r="K180" s="43" t="s">
        <v>97</v>
      </c>
      <c r="L180" s="9" t="s">
        <v>90</v>
      </c>
      <c r="M180" s="9" t="s">
        <v>22</v>
      </c>
      <c r="N180" s="9" t="s">
        <v>22</v>
      </c>
      <c r="O180" s="9" t="s">
        <v>10</v>
      </c>
      <c r="P180" s="9">
        <v>30</v>
      </c>
      <c r="Q180" s="9" t="s">
        <v>77</v>
      </c>
      <c r="R180" s="47">
        <v>1</v>
      </c>
      <c r="S180" s="31"/>
      <c r="T180" s="31"/>
      <c r="U180" s="31"/>
      <c r="V180" s="31"/>
      <c r="W180" s="31"/>
      <c r="X180" s="31"/>
      <c r="Y180" s="31"/>
      <c r="Z180" s="31"/>
    </row>
    <row r="181" spans="1:26" ht="23.25" customHeight="1" x14ac:dyDescent="0.3">
      <c r="A181" s="39">
        <v>180</v>
      </c>
      <c r="B181" s="40">
        <v>6</v>
      </c>
      <c r="C181" s="9">
        <f t="shared" si="18"/>
        <v>72</v>
      </c>
      <c r="D181" s="9" t="s">
        <v>68</v>
      </c>
      <c r="E181" s="9">
        <v>6</v>
      </c>
      <c r="F181" s="9">
        <f t="shared" si="20"/>
        <v>72</v>
      </c>
      <c r="G181" s="34">
        <v>0</v>
      </c>
      <c r="H181" s="35" t="s">
        <v>151</v>
      </c>
      <c r="I181" s="42">
        <v>1500000</v>
      </c>
      <c r="J181" s="42">
        <v>2500000</v>
      </c>
      <c r="K181" s="43" t="s">
        <v>70</v>
      </c>
      <c r="L181" s="9" t="s">
        <v>157</v>
      </c>
      <c r="M181" s="9" t="s">
        <v>22</v>
      </c>
      <c r="N181" s="9" t="s">
        <v>22</v>
      </c>
      <c r="O181" s="9" t="s">
        <v>72</v>
      </c>
      <c r="P181" s="9">
        <v>24</v>
      </c>
      <c r="Q181" s="9" t="s">
        <v>73</v>
      </c>
      <c r="R181" s="47">
        <v>0</v>
      </c>
      <c r="S181" s="31"/>
      <c r="T181" s="31"/>
      <c r="U181" s="31"/>
      <c r="V181" s="31"/>
      <c r="W181" s="31"/>
      <c r="X181" s="31"/>
      <c r="Y181" s="31"/>
      <c r="Z181" s="31"/>
    </row>
    <row r="182" spans="1:26" ht="23.25" customHeight="1" x14ac:dyDescent="0.3">
      <c r="A182" s="39">
        <v>181</v>
      </c>
      <c r="B182" s="40">
        <v>4.5</v>
      </c>
      <c r="C182" s="9">
        <f t="shared" si="18"/>
        <v>54</v>
      </c>
      <c r="D182" s="9" t="s">
        <v>68</v>
      </c>
      <c r="E182" s="9">
        <v>4.5</v>
      </c>
      <c r="F182" s="9">
        <f t="shared" si="20"/>
        <v>54</v>
      </c>
      <c r="G182" s="34">
        <v>0</v>
      </c>
      <c r="H182" s="35" t="s">
        <v>69</v>
      </c>
      <c r="I182" s="42">
        <v>400000</v>
      </c>
      <c r="J182" s="42">
        <v>1100000</v>
      </c>
      <c r="K182" s="43" t="s">
        <v>97</v>
      </c>
      <c r="L182" s="9" t="s">
        <v>178</v>
      </c>
      <c r="M182" s="9" t="s">
        <v>22</v>
      </c>
      <c r="N182" s="9" t="s">
        <v>22</v>
      </c>
      <c r="O182" s="9" t="s">
        <v>72</v>
      </c>
      <c r="P182" s="9">
        <v>28</v>
      </c>
      <c r="Q182" s="9" t="s">
        <v>73</v>
      </c>
      <c r="R182" s="47">
        <v>0</v>
      </c>
      <c r="S182" s="31"/>
      <c r="T182" s="31"/>
      <c r="U182" s="31"/>
      <c r="V182" s="31"/>
      <c r="W182" s="31"/>
      <c r="X182" s="31"/>
      <c r="Y182" s="31"/>
      <c r="Z182" s="31"/>
    </row>
    <row r="183" spans="1:26" ht="23.25" customHeight="1" x14ac:dyDescent="0.3">
      <c r="A183" s="39">
        <v>182</v>
      </c>
      <c r="B183" s="40">
        <v>2</v>
      </c>
      <c r="C183" s="9">
        <f t="shared" si="18"/>
        <v>24</v>
      </c>
      <c r="D183" s="9" t="s">
        <v>68</v>
      </c>
      <c r="E183" s="9">
        <v>0.5</v>
      </c>
      <c r="F183" s="9">
        <f t="shared" si="20"/>
        <v>6</v>
      </c>
      <c r="G183" s="9">
        <v>1</v>
      </c>
      <c r="H183" s="35" t="s">
        <v>69</v>
      </c>
      <c r="I183" s="42">
        <v>800000</v>
      </c>
      <c r="J183" s="42">
        <v>1000000</v>
      </c>
      <c r="K183" s="43" t="s">
        <v>97</v>
      </c>
      <c r="L183" s="9" t="s">
        <v>71</v>
      </c>
      <c r="M183" s="9" t="s">
        <v>22</v>
      </c>
      <c r="N183" s="9" t="s">
        <v>22</v>
      </c>
      <c r="O183" s="9" t="s">
        <v>10</v>
      </c>
      <c r="P183" s="9">
        <v>18</v>
      </c>
      <c r="Q183" s="9" t="s">
        <v>73</v>
      </c>
      <c r="R183" s="47">
        <v>0</v>
      </c>
      <c r="S183" s="31"/>
      <c r="T183" s="31"/>
      <c r="U183" s="31"/>
      <c r="V183" s="31"/>
      <c r="W183" s="31"/>
      <c r="X183" s="31"/>
      <c r="Y183" s="31"/>
      <c r="Z183" s="31"/>
    </row>
    <row r="184" spans="1:26" ht="23.25" customHeight="1" x14ac:dyDescent="0.3">
      <c r="A184" s="39">
        <v>183</v>
      </c>
      <c r="B184" s="40">
        <v>2</v>
      </c>
      <c r="C184" s="9">
        <f t="shared" si="18"/>
        <v>24</v>
      </c>
      <c r="D184" s="9" t="s">
        <v>68</v>
      </c>
      <c r="E184" s="9">
        <v>2</v>
      </c>
      <c r="F184" s="9">
        <f t="shared" si="20"/>
        <v>24</v>
      </c>
      <c r="G184" s="9">
        <v>1</v>
      </c>
      <c r="H184" s="35" t="s">
        <v>69</v>
      </c>
      <c r="I184" s="42">
        <v>908000</v>
      </c>
      <c r="J184" s="42">
        <v>908000</v>
      </c>
      <c r="K184" s="43" t="s">
        <v>100</v>
      </c>
      <c r="L184" s="9" t="s">
        <v>117</v>
      </c>
      <c r="M184" s="9" t="s">
        <v>22</v>
      </c>
      <c r="N184" s="9" t="s">
        <v>22</v>
      </c>
      <c r="O184" s="9" t="s">
        <v>10</v>
      </c>
      <c r="P184" s="9">
        <v>22</v>
      </c>
      <c r="Q184" s="9" t="s">
        <v>77</v>
      </c>
      <c r="R184" s="47">
        <v>0</v>
      </c>
      <c r="S184" s="31"/>
      <c r="T184" s="31"/>
      <c r="U184" s="31"/>
      <c r="V184" s="31"/>
      <c r="W184" s="31"/>
      <c r="X184" s="31"/>
      <c r="Y184" s="31"/>
      <c r="Z184" s="31"/>
    </row>
    <row r="185" spans="1:26" ht="23.25" customHeight="1" x14ac:dyDescent="0.3">
      <c r="A185" s="39">
        <v>184</v>
      </c>
      <c r="B185" s="40">
        <v>3</v>
      </c>
      <c r="C185" s="9">
        <f t="shared" si="18"/>
        <v>36</v>
      </c>
      <c r="D185" s="9" t="s">
        <v>68</v>
      </c>
      <c r="E185" s="9">
        <v>8.3333333300000006E-2</v>
      </c>
      <c r="F185" s="9">
        <f t="shared" si="20"/>
        <v>0.99999999960000008</v>
      </c>
      <c r="G185" s="9">
        <v>1</v>
      </c>
      <c r="H185" s="35" t="s">
        <v>69</v>
      </c>
      <c r="I185" s="42">
        <v>908000</v>
      </c>
      <c r="J185" s="42">
        <v>908000</v>
      </c>
      <c r="K185" s="43" t="s">
        <v>70</v>
      </c>
      <c r="L185" s="9" t="s">
        <v>179</v>
      </c>
      <c r="M185" s="9" t="s">
        <v>132</v>
      </c>
      <c r="N185" s="9" t="s">
        <v>132</v>
      </c>
      <c r="O185" s="9" t="s">
        <v>72</v>
      </c>
      <c r="P185" s="9">
        <v>24</v>
      </c>
      <c r="Q185" s="9" t="s">
        <v>77</v>
      </c>
      <c r="R185" s="47">
        <v>0</v>
      </c>
      <c r="S185" s="31"/>
      <c r="T185" s="31"/>
      <c r="U185" s="31"/>
      <c r="V185" s="31"/>
      <c r="W185" s="31"/>
      <c r="X185" s="31"/>
      <c r="Y185" s="31"/>
      <c r="Z185" s="31"/>
    </row>
    <row r="186" spans="1:26" ht="23.25" customHeight="1" x14ac:dyDescent="0.3">
      <c r="A186" s="39">
        <v>185</v>
      </c>
      <c r="B186" s="40">
        <v>4</v>
      </c>
      <c r="C186" s="9">
        <f t="shared" si="18"/>
        <v>48</v>
      </c>
      <c r="D186" s="9" t="s">
        <v>68</v>
      </c>
      <c r="E186" s="9">
        <v>2</v>
      </c>
      <c r="F186" s="9">
        <f t="shared" si="20"/>
        <v>24</v>
      </c>
      <c r="G186" s="34">
        <v>0</v>
      </c>
      <c r="H186" s="35" t="s">
        <v>69</v>
      </c>
      <c r="I186" s="42">
        <v>600000</v>
      </c>
      <c r="J186" s="42">
        <v>1000000</v>
      </c>
      <c r="K186" s="43" t="s">
        <v>97</v>
      </c>
      <c r="L186" s="9" t="s">
        <v>107</v>
      </c>
      <c r="M186" s="9" t="s">
        <v>22</v>
      </c>
      <c r="N186" s="9" t="s">
        <v>22</v>
      </c>
      <c r="O186" s="9" t="s">
        <v>10</v>
      </c>
      <c r="P186" s="9">
        <v>21</v>
      </c>
      <c r="Q186" s="9" t="s">
        <v>73</v>
      </c>
      <c r="R186" s="47">
        <v>0</v>
      </c>
      <c r="S186" s="31"/>
      <c r="T186" s="31"/>
      <c r="U186" s="31"/>
      <c r="V186" s="31"/>
      <c r="W186" s="31"/>
      <c r="X186" s="31"/>
      <c r="Y186" s="31"/>
      <c r="Z186" s="31"/>
    </row>
    <row r="187" spans="1:26" ht="23.25" customHeight="1" x14ac:dyDescent="0.3">
      <c r="A187" s="39">
        <v>186</v>
      </c>
      <c r="B187" s="40">
        <v>5</v>
      </c>
      <c r="C187" s="9">
        <f t="shared" si="18"/>
        <v>60</v>
      </c>
      <c r="D187" s="9" t="s">
        <v>68</v>
      </c>
      <c r="E187" s="9">
        <v>4</v>
      </c>
      <c r="F187" s="9">
        <f t="shared" si="20"/>
        <v>48</v>
      </c>
      <c r="G187" s="9">
        <v>1</v>
      </c>
      <c r="H187" s="41" t="s">
        <v>89</v>
      </c>
      <c r="I187" s="42">
        <v>1600000</v>
      </c>
      <c r="J187" s="42">
        <v>1800000</v>
      </c>
      <c r="K187" s="43" t="s">
        <v>92</v>
      </c>
      <c r="L187" s="9" t="s">
        <v>157</v>
      </c>
      <c r="M187" s="9" t="s">
        <v>22</v>
      </c>
      <c r="N187" s="9" t="s">
        <v>22</v>
      </c>
      <c r="O187" s="9" t="s">
        <v>72</v>
      </c>
      <c r="P187" s="9">
        <v>25</v>
      </c>
      <c r="Q187" s="9" t="s">
        <v>73</v>
      </c>
      <c r="R187" s="47">
        <v>0</v>
      </c>
      <c r="S187" s="31"/>
      <c r="T187" s="31"/>
      <c r="U187" s="31"/>
      <c r="V187" s="31"/>
      <c r="W187" s="31"/>
      <c r="X187" s="31"/>
      <c r="Y187" s="31"/>
      <c r="Z187" s="31"/>
    </row>
    <row r="188" spans="1:26" ht="23.25" customHeight="1" x14ac:dyDescent="0.3">
      <c r="A188" s="39">
        <v>187</v>
      </c>
      <c r="B188" s="40">
        <v>20</v>
      </c>
      <c r="C188" s="9">
        <f t="shared" si="18"/>
        <v>240</v>
      </c>
      <c r="D188" s="9" t="s">
        <v>74</v>
      </c>
      <c r="E188" s="9">
        <v>1</v>
      </c>
      <c r="F188" s="9">
        <f t="shared" si="20"/>
        <v>12</v>
      </c>
      <c r="G188" s="34">
        <v>0</v>
      </c>
      <c r="H188" s="41" t="s">
        <v>89</v>
      </c>
      <c r="I188" s="42">
        <v>400000</v>
      </c>
      <c r="J188" s="42">
        <v>5000000</v>
      </c>
      <c r="K188" s="43" t="s">
        <v>70</v>
      </c>
      <c r="L188" s="9" t="s">
        <v>101</v>
      </c>
      <c r="M188" s="9" t="s">
        <v>132</v>
      </c>
      <c r="N188" s="9" t="s">
        <v>22</v>
      </c>
      <c r="O188" s="9" t="s">
        <v>10</v>
      </c>
      <c r="P188" s="9">
        <v>38</v>
      </c>
      <c r="Q188" s="9" t="s">
        <v>73</v>
      </c>
      <c r="R188" s="47">
        <v>0</v>
      </c>
      <c r="S188" s="31"/>
      <c r="T188" s="31"/>
      <c r="U188" s="31"/>
      <c r="V188" s="31"/>
      <c r="W188" s="31"/>
      <c r="X188" s="31"/>
      <c r="Y188" s="31"/>
      <c r="Z188" s="31"/>
    </row>
    <row r="189" spans="1:26" ht="23.25" customHeight="1" x14ac:dyDescent="0.3">
      <c r="A189" s="39">
        <v>188</v>
      </c>
      <c r="B189" s="40">
        <v>2</v>
      </c>
      <c r="C189" s="9">
        <f t="shared" si="18"/>
        <v>24</v>
      </c>
      <c r="D189" s="9" t="s">
        <v>68</v>
      </c>
      <c r="E189" s="9">
        <v>2</v>
      </c>
      <c r="F189" s="9">
        <f t="shared" si="20"/>
        <v>24</v>
      </c>
      <c r="G189" s="9">
        <v>1</v>
      </c>
      <c r="H189" s="35" t="s">
        <v>69</v>
      </c>
      <c r="I189" s="42">
        <v>1500000</v>
      </c>
      <c r="J189" s="42">
        <v>2500000</v>
      </c>
      <c r="K189" s="43" t="s">
        <v>97</v>
      </c>
      <c r="L189" s="9" t="s">
        <v>106</v>
      </c>
      <c r="M189" s="9" t="s">
        <v>22</v>
      </c>
      <c r="N189" s="9" t="s">
        <v>22</v>
      </c>
      <c r="O189" s="9" t="s">
        <v>72</v>
      </c>
      <c r="P189" s="9">
        <v>22</v>
      </c>
      <c r="Q189" s="9" t="s">
        <v>73</v>
      </c>
      <c r="R189" s="47">
        <v>0</v>
      </c>
      <c r="S189" s="31"/>
      <c r="T189" s="31"/>
      <c r="U189" s="31"/>
      <c r="V189" s="31"/>
      <c r="W189" s="31"/>
      <c r="X189" s="31"/>
      <c r="Y189" s="31"/>
      <c r="Z189" s="31"/>
    </row>
    <row r="190" spans="1:26" ht="23.25" customHeight="1" x14ac:dyDescent="0.3">
      <c r="A190" s="39">
        <v>189</v>
      </c>
      <c r="B190" s="40">
        <v>2</v>
      </c>
      <c r="C190" s="9">
        <f t="shared" si="18"/>
        <v>24</v>
      </c>
      <c r="D190" s="9" t="s">
        <v>68</v>
      </c>
      <c r="E190" s="9">
        <v>0.16666666669999999</v>
      </c>
      <c r="F190" s="9">
        <f t="shared" si="20"/>
        <v>2.0000000004</v>
      </c>
      <c r="G190" s="34">
        <v>0</v>
      </c>
      <c r="H190" s="41" t="s">
        <v>176</v>
      </c>
      <c r="I190" s="42">
        <v>400000</v>
      </c>
      <c r="J190" s="42">
        <v>2500000</v>
      </c>
      <c r="K190" s="43" t="s">
        <v>92</v>
      </c>
      <c r="L190" s="9" t="s">
        <v>76</v>
      </c>
      <c r="M190" s="9" t="s">
        <v>132</v>
      </c>
      <c r="N190" s="9" t="s">
        <v>22</v>
      </c>
      <c r="O190" s="9" t="s">
        <v>72</v>
      </c>
      <c r="P190" s="9">
        <v>25</v>
      </c>
      <c r="Q190" s="9" t="s">
        <v>73</v>
      </c>
      <c r="R190" s="47">
        <v>0</v>
      </c>
      <c r="S190" s="31"/>
      <c r="T190" s="31"/>
      <c r="U190" s="31"/>
      <c r="V190" s="31"/>
      <c r="W190" s="31"/>
      <c r="X190" s="31"/>
      <c r="Y190" s="31"/>
      <c r="Z190" s="31"/>
    </row>
    <row r="191" spans="1:26" ht="23.25" customHeight="1" x14ac:dyDescent="0.3">
      <c r="A191" s="39">
        <v>190</v>
      </c>
      <c r="B191" s="40">
        <v>1</v>
      </c>
      <c r="C191" s="9">
        <f t="shared" si="18"/>
        <v>12</v>
      </c>
      <c r="D191" s="9" t="s">
        <v>74</v>
      </c>
      <c r="E191" s="9">
        <v>1</v>
      </c>
      <c r="F191" s="9">
        <f t="shared" si="20"/>
        <v>12</v>
      </c>
      <c r="G191" s="34">
        <v>0</v>
      </c>
      <c r="H191" s="41" t="s">
        <v>83</v>
      </c>
      <c r="I191" s="42">
        <v>900000</v>
      </c>
      <c r="J191" s="42">
        <v>908000</v>
      </c>
      <c r="K191" s="43" t="s">
        <v>97</v>
      </c>
      <c r="L191" s="9" t="s">
        <v>107</v>
      </c>
      <c r="M191" s="9" t="s">
        <v>22</v>
      </c>
      <c r="N191" s="9" t="s">
        <v>22</v>
      </c>
      <c r="O191" s="9" t="s">
        <v>10</v>
      </c>
      <c r="P191" s="9">
        <v>20</v>
      </c>
      <c r="Q191" s="9" t="s">
        <v>73</v>
      </c>
      <c r="R191" s="47">
        <v>0</v>
      </c>
      <c r="S191" s="31"/>
      <c r="T191" s="31"/>
      <c r="U191" s="31"/>
      <c r="V191" s="31"/>
      <c r="W191" s="31"/>
      <c r="X191" s="31"/>
      <c r="Y191" s="31"/>
      <c r="Z191" s="31"/>
    </row>
    <row r="192" spans="1:26" ht="23.25" customHeight="1" x14ac:dyDescent="0.3">
      <c r="A192" s="39">
        <v>191</v>
      </c>
      <c r="B192" s="40">
        <v>25</v>
      </c>
      <c r="C192" s="9">
        <f t="shared" si="18"/>
        <v>300</v>
      </c>
      <c r="D192" s="9" t="s">
        <v>68</v>
      </c>
      <c r="E192" s="9">
        <v>20</v>
      </c>
      <c r="F192" s="9">
        <f t="shared" si="20"/>
        <v>240</v>
      </c>
      <c r="G192" s="34">
        <v>0</v>
      </c>
      <c r="H192" s="35" t="s">
        <v>151</v>
      </c>
      <c r="I192" s="42">
        <v>600000</v>
      </c>
      <c r="J192" s="42">
        <v>2000000</v>
      </c>
      <c r="K192" s="43" t="s">
        <v>97</v>
      </c>
      <c r="L192" s="9" t="s">
        <v>180</v>
      </c>
      <c r="M192" s="9" t="s">
        <v>132</v>
      </c>
      <c r="N192" s="9" t="s">
        <v>22</v>
      </c>
      <c r="O192" s="9" t="s">
        <v>72</v>
      </c>
      <c r="P192" s="9">
        <v>50</v>
      </c>
      <c r="Q192" s="9" t="s">
        <v>80</v>
      </c>
      <c r="R192" s="47">
        <v>2</v>
      </c>
      <c r="S192" s="31"/>
      <c r="T192" s="31"/>
      <c r="U192" s="31"/>
      <c r="V192" s="31"/>
      <c r="W192" s="31"/>
      <c r="X192" s="31"/>
      <c r="Y192" s="31"/>
      <c r="Z192" s="31"/>
    </row>
    <row r="193" spans="1:26" ht="23.25" customHeight="1" x14ac:dyDescent="0.3">
      <c r="A193" s="39">
        <v>192</v>
      </c>
      <c r="B193" s="40">
        <v>13</v>
      </c>
      <c r="C193" s="9">
        <f t="shared" si="18"/>
        <v>156</v>
      </c>
      <c r="D193" s="9" t="s">
        <v>115</v>
      </c>
      <c r="E193" s="9">
        <v>13</v>
      </c>
      <c r="F193" s="9">
        <f t="shared" si="20"/>
        <v>156</v>
      </c>
      <c r="G193" s="9">
        <v>1</v>
      </c>
      <c r="H193" s="35" t="s">
        <v>145</v>
      </c>
      <c r="I193" s="42">
        <v>500000</v>
      </c>
      <c r="J193" s="42">
        <v>1500000</v>
      </c>
      <c r="K193" s="43" t="s">
        <v>114</v>
      </c>
      <c r="L193" s="9" t="s">
        <v>98</v>
      </c>
      <c r="M193" s="9" t="s">
        <v>22</v>
      </c>
      <c r="N193" s="9" t="s">
        <v>22</v>
      </c>
      <c r="O193" s="9" t="s">
        <v>72</v>
      </c>
      <c r="P193" s="9">
        <v>60</v>
      </c>
      <c r="Q193" s="9" t="s">
        <v>73</v>
      </c>
      <c r="R193" s="47">
        <v>0</v>
      </c>
      <c r="S193" s="31"/>
      <c r="T193" s="31"/>
      <c r="U193" s="31"/>
      <c r="V193" s="31"/>
      <c r="W193" s="31"/>
      <c r="X193" s="31"/>
      <c r="Y193" s="31"/>
      <c r="Z193" s="31"/>
    </row>
    <row r="194" spans="1:26" ht="23.25" customHeight="1" x14ac:dyDescent="0.3">
      <c r="A194" s="39">
        <v>193</v>
      </c>
      <c r="B194" s="40">
        <v>20</v>
      </c>
      <c r="C194" s="9">
        <f t="shared" si="18"/>
        <v>240</v>
      </c>
      <c r="D194" s="9" t="s">
        <v>68</v>
      </c>
      <c r="E194" s="9">
        <v>1.5</v>
      </c>
      <c r="F194" s="9">
        <f t="shared" si="20"/>
        <v>18</v>
      </c>
      <c r="G194" s="9">
        <v>1</v>
      </c>
      <c r="H194" s="41" t="s">
        <v>89</v>
      </c>
      <c r="I194" s="42">
        <v>850000</v>
      </c>
      <c r="J194" s="42">
        <v>1000000</v>
      </c>
      <c r="K194" s="43" t="s">
        <v>84</v>
      </c>
      <c r="L194" s="9" t="s">
        <v>98</v>
      </c>
      <c r="M194" s="9" t="s">
        <v>22</v>
      </c>
      <c r="N194" s="9" t="s">
        <v>22</v>
      </c>
      <c r="O194" s="9" t="s">
        <v>10</v>
      </c>
      <c r="P194" s="9">
        <v>30</v>
      </c>
      <c r="Q194" s="9" t="s">
        <v>73</v>
      </c>
      <c r="R194" s="47">
        <v>0</v>
      </c>
      <c r="S194" s="31"/>
      <c r="T194" s="31"/>
      <c r="U194" s="31"/>
      <c r="V194" s="31"/>
      <c r="W194" s="31"/>
      <c r="X194" s="31"/>
      <c r="Y194" s="31"/>
      <c r="Z194" s="31"/>
    </row>
    <row r="195" spans="1:26" ht="23.25" customHeight="1" x14ac:dyDescent="0.3">
      <c r="A195" s="39">
        <v>194</v>
      </c>
      <c r="B195" s="40">
        <v>7</v>
      </c>
      <c r="C195" s="9">
        <f t="shared" si="18"/>
        <v>84</v>
      </c>
      <c r="D195" s="9" t="s">
        <v>68</v>
      </c>
      <c r="E195" s="9">
        <v>1</v>
      </c>
      <c r="F195" s="9">
        <f t="shared" si="20"/>
        <v>12</v>
      </c>
      <c r="G195" s="9">
        <v>1</v>
      </c>
      <c r="H195" s="35" t="s">
        <v>69</v>
      </c>
      <c r="I195" s="42">
        <v>480000</v>
      </c>
      <c r="J195" s="42">
        <v>1200000</v>
      </c>
      <c r="K195" s="43" t="s">
        <v>84</v>
      </c>
      <c r="L195" s="9" t="s">
        <v>98</v>
      </c>
      <c r="M195" s="9" t="s">
        <v>22</v>
      </c>
      <c r="N195" s="9" t="s">
        <v>22</v>
      </c>
      <c r="O195" s="9" t="s">
        <v>72</v>
      </c>
      <c r="P195" s="9">
        <v>24</v>
      </c>
      <c r="Q195" s="9" t="s">
        <v>73</v>
      </c>
      <c r="R195" s="47">
        <v>0</v>
      </c>
      <c r="S195" s="31"/>
      <c r="T195" s="31"/>
      <c r="U195" s="31"/>
      <c r="V195" s="31"/>
      <c r="W195" s="31"/>
      <c r="X195" s="31"/>
      <c r="Y195" s="31"/>
      <c r="Z195" s="31"/>
    </row>
    <row r="196" spans="1:26" ht="23.25" customHeight="1" x14ac:dyDescent="0.3">
      <c r="A196" s="39">
        <v>195</v>
      </c>
      <c r="B196" s="40">
        <v>40</v>
      </c>
      <c r="C196" s="9">
        <f t="shared" si="18"/>
        <v>480</v>
      </c>
      <c r="D196" s="9" t="s">
        <v>115</v>
      </c>
      <c r="E196" s="9">
        <v>10</v>
      </c>
      <c r="F196" s="9">
        <f t="shared" si="20"/>
        <v>120</v>
      </c>
      <c r="G196" s="9">
        <v>1</v>
      </c>
      <c r="H196" s="35" t="s">
        <v>151</v>
      </c>
      <c r="I196" s="42">
        <v>1000000</v>
      </c>
      <c r="J196" s="42">
        <v>1500000</v>
      </c>
      <c r="K196" s="43" t="s">
        <v>114</v>
      </c>
      <c r="L196" s="9" t="s">
        <v>98</v>
      </c>
      <c r="M196" s="9" t="s">
        <v>22</v>
      </c>
      <c r="N196" s="9" t="s">
        <v>22</v>
      </c>
      <c r="O196" s="9" t="s">
        <v>72</v>
      </c>
      <c r="P196" s="9">
        <v>60</v>
      </c>
      <c r="Q196" s="9" t="s">
        <v>80</v>
      </c>
      <c r="R196" s="47">
        <v>5</v>
      </c>
      <c r="S196" s="31"/>
      <c r="T196" s="31"/>
      <c r="U196" s="31"/>
      <c r="V196" s="31"/>
      <c r="W196" s="31"/>
      <c r="X196" s="31"/>
      <c r="Y196" s="31"/>
      <c r="Z196" s="31"/>
    </row>
    <row r="197" spans="1:26" ht="23.25" customHeight="1" x14ac:dyDescent="0.3">
      <c r="A197" s="39">
        <v>196</v>
      </c>
      <c r="B197" s="40">
        <v>40</v>
      </c>
      <c r="C197" s="9">
        <f t="shared" si="18"/>
        <v>480</v>
      </c>
      <c r="D197" s="9" t="s">
        <v>68</v>
      </c>
      <c r="E197" s="9">
        <v>5</v>
      </c>
      <c r="F197" s="9">
        <f t="shared" si="20"/>
        <v>60</v>
      </c>
      <c r="G197" s="9">
        <v>1</v>
      </c>
      <c r="H197" s="41" t="s">
        <v>89</v>
      </c>
      <c r="I197" s="42">
        <v>5000000</v>
      </c>
      <c r="J197" s="42">
        <v>7000000</v>
      </c>
      <c r="K197" s="43" t="s">
        <v>84</v>
      </c>
      <c r="L197" s="9" t="s">
        <v>98</v>
      </c>
      <c r="M197" s="9" t="s">
        <v>132</v>
      </c>
      <c r="N197" s="9" t="s">
        <v>22</v>
      </c>
      <c r="O197" s="9" t="s">
        <v>10</v>
      </c>
      <c r="P197" s="9">
        <v>67</v>
      </c>
      <c r="Q197" s="9" t="s">
        <v>73</v>
      </c>
      <c r="R197" s="47">
        <v>3</v>
      </c>
      <c r="S197" s="31"/>
      <c r="T197" s="31"/>
      <c r="U197" s="31"/>
      <c r="V197" s="31"/>
      <c r="W197" s="31"/>
      <c r="X197" s="31"/>
      <c r="Y197" s="31"/>
      <c r="Z197" s="31"/>
    </row>
    <row r="198" spans="1:26" ht="23.25" customHeight="1" x14ac:dyDescent="0.3">
      <c r="A198" s="39">
        <v>197</v>
      </c>
      <c r="B198" s="40">
        <v>10</v>
      </c>
      <c r="C198" s="9">
        <f t="shared" si="18"/>
        <v>120</v>
      </c>
      <c r="D198" s="9" t="s">
        <v>68</v>
      </c>
      <c r="E198" s="9">
        <v>3</v>
      </c>
      <c r="F198" s="9">
        <f t="shared" si="20"/>
        <v>36</v>
      </c>
      <c r="G198" s="9">
        <v>1</v>
      </c>
      <c r="H198" s="35" t="s">
        <v>69</v>
      </c>
      <c r="I198" s="42">
        <v>1000000</v>
      </c>
      <c r="J198" s="42">
        <v>1300000</v>
      </c>
      <c r="K198" s="43" t="s">
        <v>84</v>
      </c>
      <c r="L198" s="9" t="s">
        <v>98</v>
      </c>
      <c r="M198" s="9" t="s">
        <v>22</v>
      </c>
      <c r="N198" s="9" t="s">
        <v>22</v>
      </c>
      <c r="O198" s="9" t="s">
        <v>72</v>
      </c>
      <c r="P198" s="9">
        <v>32</v>
      </c>
      <c r="Q198" s="9" t="s">
        <v>77</v>
      </c>
      <c r="R198" s="47">
        <v>1</v>
      </c>
      <c r="S198" s="31"/>
      <c r="T198" s="31"/>
      <c r="U198" s="31"/>
      <c r="V198" s="31"/>
      <c r="W198" s="31"/>
      <c r="X198" s="31"/>
      <c r="Y198" s="31"/>
      <c r="Z198" s="31"/>
    </row>
    <row r="199" spans="1:26" ht="23.25" customHeight="1" x14ac:dyDescent="0.3">
      <c r="A199" s="39">
        <v>198</v>
      </c>
      <c r="B199" s="40">
        <v>36</v>
      </c>
      <c r="C199" s="9">
        <f t="shared" si="18"/>
        <v>432</v>
      </c>
      <c r="D199" s="9" t="s">
        <v>68</v>
      </c>
      <c r="E199" s="9">
        <v>1</v>
      </c>
      <c r="F199" s="9">
        <f t="shared" si="20"/>
        <v>12</v>
      </c>
      <c r="G199" s="9">
        <v>1</v>
      </c>
      <c r="H199" s="41" t="s">
        <v>181</v>
      </c>
      <c r="I199" s="42">
        <v>700000</v>
      </c>
      <c r="J199" s="42">
        <v>1100000</v>
      </c>
      <c r="K199" s="43" t="s">
        <v>70</v>
      </c>
      <c r="L199" s="9" t="s">
        <v>182</v>
      </c>
      <c r="M199" s="9" t="s">
        <v>132</v>
      </c>
      <c r="N199" s="9" t="s">
        <v>132</v>
      </c>
      <c r="O199" s="9" t="s">
        <v>72</v>
      </c>
      <c r="P199" s="9">
        <v>40</v>
      </c>
      <c r="Q199" s="9" t="s">
        <v>77</v>
      </c>
      <c r="R199" s="47">
        <v>1</v>
      </c>
      <c r="S199" s="31"/>
      <c r="T199" s="31"/>
      <c r="U199" s="31"/>
      <c r="V199" s="31"/>
      <c r="W199" s="31"/>
      <c r="X199" s="31"/>
      <c r="Y199" s="31"/>
      <c r="Z199" s="31"/>
    </row>
    <row r="200" spans="1:26" ht="23.25" customHeight="1" x14ac:dyDescent="0.3">
      <c r="A200" s="39">
        <v>199</v>
      </c>
      <c r="B200" s="40">
        <v>2</v>
      </c>
      <c r="C200" s="9">
        <f t="shared" si="18"/>
        <v>24</v>
      </c>
      <c r="D200" s="9" t="s">
        <v>68</v>
      </c>
      <c r="E200" s="9">
        <v>1</v>
      </c>
      <c r="F200" s="9">
        <f t="shared" si="20"/>
        <v>12</v>
      </c>
      <c r="G200" s="9">
        <v>1</v>
      </c>
      <c r="H200" s="41" t="s">
        <v>89</v>
      </c>
      <c r="I200" s="42">
        <v>800000</v>
      </c>
      <c r="J200" s="42">
        <v>1015000</v>
      </c>
      <c r="K200" s="43" t="s">
        <v>97</v>
      </c>
      <c r="L200" s="9" t="s">
        <v>148</v>
      </c>
      <c r="M200" s="9" t="s">
        <v>22</v>
      </c>
      <c r="N200" s="9" t="s">
        <v>22</v>
      </c>
      <c r="O200" s="9" t="s">
        <v>183</v>
      </c>
      <c r="P200" s="9">
        <v>20</v>
      </c>
      <c r="Q200" s="9" t="s">
        <v>73</v>
      </c>
      <c r="R200" s="47">
        <v>0</v>
      </c>
      <c r="S200" s="31"/>
      <c r="T200" s="31"/>
      <c r="U200" s="31"/>
      <c r="V200" s="31"/>
      <c r="W200" s="31"/>
      <c r="X200" s="31"/>
      <c r="Y200" s="31"/>
      <c r="Z200" s="31"/>
    </row>
    <row r="201" spans="1:26" ht="23.25" customHeight="1" x14ac:dyDescent="0.3">
      <c r="A201" s="39">
        <v>200</v>
      </c>
      <c r="B201" s="40">
        <v>50</v>
      </c>
      <c r="C201" s="9">
        <f t="shared" si="18"/>
        <v>600</v>
      </c>
      <c r="D201" s="9" t="s">
        <v>115</v>
      </c>
      <c r="E201" s="9">
        <v>30</v>
      </c>
      <c r="F201" s="9">
        <f t="shared" si="20"/>
        <v>360</v>
      </c>
      <c r="G201" s="34">
        <v>0</v>
      </c>
      <c r="H201" s="35" t="s">
        <v>151</v>
      </c>
      <c r="I201" s="42">
        <v>4000000</v>
      </c>
      <c r="J201" s="42">
        <v>4000000</v>
      </c>
      <c r="K201" s="43" t="s">
        <v>84</v>
      </c>
      <c r="L201" s="9" t="s">
        <v>98</v>
      </c>
      <c r="M201" s="9" t="s">
        <v>132</v>
      </c>
      <c r="N201" s="9" t="s">
        <v>22</v>
      </c>
      <c r="O201" s="9" t="s">
        <v>72</v>
      </c>
      <c r="P201" s="9">
        <v>56</v>
      </c>
      <c r="Q201" s="9" t="s">
        <v>77</v>
      </c>
      <c r="R201" s="47">
        <v>2</v>
      </c>
      <c r="S201" s="31"/>
      <c r="T201" s="31"/>
      <c r="U201" s="31"/>
      <c r="V201" s="31"/>
      <c r="W201" s="31"/>
      <c r="X201" s="31"/>
      <c r="Y201" s="31"/>
      <c r="Z201" s="31"/>
    </row>
    <row r="202" spans="1:26" ht="23.25" customHeight="1" x14ac:dyDescent="0.3">
      <c r="A202" s="39">
        <v>201</v>
      </c>
      <c r="B202" s="40">
        <v>10</v>
      </c>
      <c r="C202" s="9">
        <f t="shared" si="18"/>
        <v>120</v>
      </c>
      <c r="D202" s="9" t="s">
        <v>68</v>
      </c>
      <c r="E202" s="9">
        <v>2.5</v>
      </c>
      <c r="F202" s="9">
        <f t="shared" si="20"/>
        <v>30</v>
      </c>
      <c r="G202" s="9">
        <v>1</v>
      </c>
      <c r="H202" s="41" t="s">
        <v>83</v>
      </c>
      <c r="I202" s="42">
        <v>500000</v>
      </c>
      <c r="J202" s="42">
        <v>1000000</v>
      </c>
      <c r="K202" s="43" t="s">
        <v>97</v>
      </c>
      <c r="L202" s="9" t="s">
        <v>107</v>
      </c>
      <c r="M202" s="9" t="s">
        <v>22</v>
      </c>
      <c r="N202" s="9" t="s">
        <v>22</v>
      </c>
      <c r="O202" s="9" t="s">
        <v>10</v>
      </c>
      <c r="P202" s="9">
        <v>30</v>
      </c>
      <c r="Q202" s="9" t="s">
        <v>77</v>
      </c>
      <c r="R202" s="47">
        <v>2</v>
      </c>
      <c r="S202" s="31"/>
      <c r="T202" s="31"/>
      <c r="U202" s="31"/>
      <c r="V202" s="31"/>
      <c r="W202" s="31"/>
      <c r="X202" s="31"/>
      <c r="Y202" s="31"/>
      <c r="Z202" s="31"/>
    </row>
    <row r="203" spans="1:26" ht="23.25" customHeight="1" x14ac:dyDescent="0.3">
      <c r="A203" s="39">
        <v>202</v>
      </c>
      <c r="B203" s="40">
        <v>13</v>
      </c>
      <c r="C203" s="9">
        <f t="shared" si="18"/>
        <v>156</v>
      </c>
      <c r="D203" s="9" t="s">
        <v>115</v>
      </c>
      <c r="E203" s="9">
        <v>6</v>
      </c>
      <c r="F203" s="9">
        <f t="shared" si="20"/>
        <v>72</v>
      </c>
      <c r="G203" s="34">
        <v>0</v>
      </c>
      <c r="H203" s="41" t="s">
        <v>155</v>
      </c>
      <c r="I203" s="42">
        <v>500000</v>
      </c>
      <c r="J203" s="42">
        <v>908000</v>
      </c>
      <c r="K203" s="43" t="s">
        <v>84</v>
      </c>
      <c r="L203" s="9" t="s">
        <v>98</v>
      </c>
      <c r="M203" s="9" t="s">
        <v>22</v>
      </c>
      <c r="N203" s="9" t="s">
        <v>22</v>
      </c>
      <c r="O203" s="9" t="s">
        <v>72</v>
      </c>
      <c r="P203" s="9">
        <v>34</v>
      </c>
      <c r="Q203" s="9" t="s">
        <v>73</v>
      </c>
      <c r="R203" s="47">
        <v>0</v>
      </c>
      <c r="S203" s="31"/>
      <c r="T203" s="31"/>
      <c r="U203" s="31"/>
      <c r="V203" s="31"/>
      <c r="W203" s="31"/>
      <c r="X203" s="31"/>
      <c r="Y203" s="31"/>
      <c r="Z203" s="31"/>
    </row>
    <row r="204" spans="1:26" ht="23.25" customHeight="1" x14ac:dyDescent="0.3">
      <c r="A204" s="39">
        <v>203</v>
      </c>
      <c r="B204" s="40">
        <v>30</v>
      </c>
      <c r="C204" s="9">
        <f t="shared" si="18"/>
        <v>360</v>
      </c>
      <c r="D204" s="9" t="s">
        <v>115</v>
      </c>
      <c r="E204" s="9">
        <v>3</v>
      </c>
      <c r="F204" s="9">
        <f t="shared" si="20"/>
        <v>36</v>
      </c>
      <c r="G204" s="9">
        <v>1</v>
      </c>
      <c r="H204" s="41" t="s">
        <v>125</v>
      </c>
      <c r="I204" s="42">
        <v>650000</v>
      </c>
      <c r="J204" s="42">
        <v>908000</v>
      </c>
      <c r="K204" s="43" t="s">
        <v>84</v>
      </c>
      <c r="L204" s="9" t="s">
        <v>98</v>
      </c>
      <c r="M204" s="9" t="s">
        <v>22</v>
      </c>
      <c r="N204" s="9" t="s">
        <v>22</v>
      </c>
      <c r="O204" s="9" t="s">
        <v>72</v>
      </c>
      <c r="P204" s="9">
        <v>40</v>
      </c>
      <c r="Q204" s="9" t="s">
        <v>73</v>
      </c>
      <c r="R204" s="47">
        <v>2</v>
      </c>
      <c r="S204" s="31"/>
      <c r="T204" s="31"/>
      <c r="U204" s="31"/>
      <c r="V204" s="31"/>
      <c r="W204" s="31"/>
      <c r="X204" s="31"/>
      <c r="Y204" s="31"/>
      <c r="Z204" s="31"/>
    </row>
    <row r="205" spans="1:26" ht="23.25" customHeight="1" x14ac:dyDescent="0.3">
      <c r="A205" s="39">
        <v>204</v>
      </c>
      <c r="B205" s="40">
        <v>10</v>
      </c>
      <c r="C205" s="9">
        <f t="shared" si="18"/>
        <v>120</v>
      </c>
      <c r="D205" s="9" t="s">
        <v>68</v>
      </c>
      <c r="E205" s="9">
        <v>2</v>
      </c>
      <c r="F205" s="9">
        <f t="shared" si="20"/>
        <v>24</v>
      </c>
      <c r="G205" s="9">
        <v>1</v>
      </c>
      <c r="H205" s="41" t="s">
        <v>89</v>
      </c>
      <c r="I205" s="42">
        <v>480000</v>
      </c>
      <c r="J205" s="42">
        <v>800000</v>
      </c>
      <c r="K205" s="43" t="s">
        <v>100</v>
      </c>
      <c r="L205" s="9" t="s">
        <v>184</v>
      </c>
      <c r="M205" s="9" t="s">
        <v>22</v>
      </c>
      <c r="N205" s="9" t="s">
        <v>22</v>
      </c>
      <c r="O205" s="9" t="s">
        <v>72</v>
      </c>
      <c r="P205" s="9">
        <v>39</v>
      </c>
      <c r="Q205" s="9" t="s">
        <v>73</v>
      </c>
      <c r="R205" s="47">
        <v>2</v>
      </c>
      <c r="S205" s="31"/>
      <c r="T205" s="31"/>
      <c r="U205" s="31"/>
      <c r="V205" s="31"/>
      <c r="W205" s="31"/>
      <c r="X205" s="31"/>
      <c r="Y205" s="31"/>
      <c r="Z205" s="31"/>
    </row>
    <row r="206" spans="1:26" ht="23.25" customHeight="1" x14ac:dyDescent="0.3">
      <c r="A206" s="39">
        <v>205</v>
      </c>
      <c r="B206" s="40">
        <v>30</v>
      </c>
      <c r="C206" s="9">
        <f t="shared" si="18"/>
        <v>360</v>
      </c>
      <c r="D206" s="9" t="s">
        <v>68</v>
      </c>
      <c r="E206" s="9">
        <v>12</v>
      </c>
      <c r="F206" s="9">
        <f t="shared" si="20"/>
        <v>144</v>
      </c>
      <c r="G206" s="34">
        <v>0</v>
      </c>
      <c r="H206" s="35" t="s">
        <v>151</v>
      </c>
      <c r="I206" s="42">
        <v>3000000</v>
      </c>
      <c r="J206" s="42">
        <v>3000000</v>
      </c>
      <c r="K206" s="43" t="s">
        <v>97</v>
      </c>
      <c r="L206" s="9" t="s">
        <v>185</v>
      </c>
      <c r="M206" s="9" t="s">
        <v>22</v>
      </c>
      <c r="N206" s="9" t="s">
        <v>22</v>
      </c>
      <c r="O206" s="9" t="s">
        <v>72</v>
      </c>
      <c r="P206" s="9">
        <v>45</v>
      </c>
      <c r="Q206" s="9" t="s">
        <v>77</v>
      </c>
      <c r="R206" s="47">
        <v>4</v>
      </c>
      <c r="S206" s="31"/>
      <c r="T206" s="31"/>
      <c r="U206" s="31"/>
      <c r="V206" s="31"/>
      <c r="W206" s="31"/>
      <c r="X206" s="31"/>
      <c r="Y206" s="31"/>
      <c r="Z206" s="31"/>
    </row>
    <row r="207" spans="1:26" ht="23.25" customHeight="1" x14ac:dyDescent="0.3">
      <c r="A207" s="39">
        <v>206</v>
      </c>
      <c r="B207" s="40">
        <v>50</v>
      </c>
      <c r="C207" s="9">
        <f t="shared" si="18"/>
        <v>600</v>
      </c>
      <c r="D207" s="9" t="s">
        <v>68</v>
      </c>
      <c r="E207" s="9">
        <v>30</v>
      </c>
      <c r="F207" s="9">
        <f t="shared" si="20"/>
        <v>360</v>
      </c>
      <c r="G207" s="34">
        <v>0</v>
      </c>
      <c r="H207" s="41" t="s">
        <v>89</v>
      </c>
      <c r="I207" s="42">
        <v>600000</v>
      </c>
      <c r="J207" s="42">
        <v>3000000</v>
      </c>
      <c r="K207" s="43" t="s">
        <v>70</v>
      </c>
      <c r="L207" s="9" t="s">
        <v>71</v>
      </c>
      <c r="M207" s="9" t="s">
        <v>132</v>
      </c>
      <c r="N207" s="9" t="s">
        <v>22</v>
      </c>
      <c r="O207" s="9" t="s">
        <v>10</v>
      </c>
      <c r="P207" s="9">
        <v>57</v>
      </c>
      <c r="Q207" s="9" t="s">
        <v>121</v>
      </c>
      <c r="R207" s="47">
        <v>2</v>
      </c>
      <c r="S207" s="31"/>
      <c r="T207" s="31"/>
      <c r="U207" s="31"/>
      <c r="V207" s="31"/>
      <c r="W207" s="31"/>
      <c r="X207" s="31"/>
      <c r="Y207" s="31"/>
      <c r="Z207" s="31"/>
    </row>
    <row r="208" spans="1:26" ht="23.25" customHeight="1" x14ac:dyDescent="0.3">
      <c r="A208" s="39">
        <v>207</v>
      </c>
      <c r="B208" s="40">
        <v>40</v>
      </c>
      <c r="C208" s="9">
        <f t="shared" si="18"/>
        <v>480</v>
      </c>
      <c r="D208" s="9" t="s">
        <v>68</v>
      </c>
      <c r="E208" s="9">
        <v>40</v>
      </c>
      <c r="F208" s="9">
        <f t="shared" si="20"/>
        <v>480</v>
      </c>
      <c r="G208" s="9">
        <v>1</v>
      </c>
      <c r="H208" s="41" t="s">
        <v>89</v>
      </c>
      <c r="I208" s="42">
        <v>2000000</v>
      </c>
      <c r="J208" s="42">
        <v>2500000</v>
      </c>
      <c r="K208" s="43" t="s">
        <v>84</v>
      </c>
      <c r="L208" s="9" t="s">
        <v>98</v>
      </c>
      <c r="M208" s="9" t="s">
        <v>132</v>
      </c>
      <c r="N208" s="9" t="s">
        <v>22</v>
      </c>
      <c r="O208" s="9" t="s">
        <v>72</v>
      </c>
      <c r="P208" s="9">
        <v>78</v>
      </c>
      <c r="Q208" s="9" t="s">
        <v>121</v>
      </c>
      <c r="R208" s="47">
        <v>2</v>
      </c>
      <c r="S208" s="31"/>
      <c r="T208" s="31"/>
      <c r="U208" s="31"/>
      <c r="V208" s="31"/>
      <c r="W208" s="31"/>
      <c r="X208" s="31"/>
      <c r="Y208" s="31"/>
      <c r="Z208" s="31"/>
    </row>
    <row r="209" spans="1:26" ht="23.25" customHeight="1" x14ac:dyDescent="0.3">
      <c r="A209" s="39">
        <v>208</v>
      </c>
      <c r="B209" s="40">
        <v>30</v>
      </c>
      <c r="C209" s="9">
        <f t="shared" si="18"/>
        <v>360</v>
      </c>
      <c r="D209" s="9" t="s">
        <v>68</v>
      </c>
      <c r="E209" s="9">
        <v>35</v>
      </c>
      <c r="F209" s="9">
        <f t="shared" si="20"/>
        <v>420</v>
      </c>
      <c r="G209" s="9">
        <v>1</v>
      </c>
      <c r="H209" s="35" t="s">
        <v>69</v>
      </c>
      <c r="I209" s="42">
        <v>2000000</v>
      </c>
      <c r="J209" s="42">
        <v>2500000</v>
      </c>
      <c r="K209" s="43" t="s">
        <v>84</v>
      </c>
      <c r="L209" s="9" t="s">
        <v>98</v>
      </c>
      <c r="M209" s="9" t="s">
        <v>22</v>
      </c>
      <c r="N209" s="9" t="s">
        <v>22</v>
      </c>
      <c r="O209" s="9" t="s">
        <v>72</v>
      </c>
      <c r="P209" s="9">
        <v>43</v>
      </c>
      <c r="Q209" s="9" t="s">
        <v>80</v>
      </c>
      <c r="R209" s="47">
        <v>3</v>
      </c>
      <c r="S209" s="31"/>
      <c r="T209" s="31"/>
      <c r="U209" s="31"/>
      <c r="V209" s="31"/>
      <c r="W209" s="31"/>
      <c r="X209" s="31"/>
      <c r="Y209" s="31"/>
      <c r="Z209" s="31"/>
    </row>
    <row r="210" spans="1:26" ht="23.25" customHeight="1" x14ac:dyDescent="0.3">
      <c r="A210" s="39">
        <v>209</v>
      </c>
      <c r="B210" s="40">
        <v>6</v>
      </c>
      <c r="C210" s="9">
        <f t="shared" si="18"/>
        <v>72</v>
      </c>
      <c r="D210" s="9" t="s">
        <v>68</v>
      </c>
      <c r="E210" s="9">
        <v>5</v>
      </c>
      <c r="F210" s="9">
        <f t="shared" si="20"/>
        <v>60</v>
      </c>
      <c r="G210" s="9">
        <v>1</v>
      </c>
      <c r="H210" s="35" t="s">
        <v>69</v>
      </c>
      <c r="I210" s="42">
        <v>1000000</v>
      </c>
      <c r="J210" s="42">
        <v>1000000</v>
      </c>
      <c r="K210" s="43" t="s">
        <v>97</v>
      </c>
      <c r="L210" s="9" t="s">
        <v>186</v>
      </c>
      <c r="M210" s="9" t="s">
        <v>22</v>
      </c>
      <c r="N210" s="9" t="s">
        <v>22</v>
      </c>
      <c r="O210" s="9" t="s">
        <v>10</v>
      </c>
      <c r="P210" s="9">
        <v>20</v>
      </c>
      <c r="Q210" s="9" t="s">
        <v>73</v>
      </c>
      <c r="R210" s="47">
        <v>0</v>
      </c>
      <c r="S210" s="31"/>
      <c r="T210" s="31"/>
      <c r="U210" s="31"/>
      <c r="V210" s="31"/>
      <c r="W210" s="31"/>
      <c r="X210" s="31"/>
      <c r="Y210" s="31"/>
      <c r="Z210" s="31"/>
    </row>
    <row r="211" spans="1:26" ht="23.25" customHeight="1" x14ac:dyDescent="0.3">
      <c r="A211" s="39">
        <v>210</v>
      </c>
      <c r="B211" s="40">
        <v>10</v>
      </c>
      <c r="C211" s="9">
        <f t="shared" si="18"/>
        <v>120</v>
      </c>
      <c r="D211" s="9" t="s">
        <v>115</v>
      </c>
      <c r="E211" s="9">
        <v>10</v>
      </c>
      <c r="F211" s="9">
        <f t="shared" si="20"/>
        <v>120</v>
      </c>
      <c r="G211" s="9">
        <v>1</v>
      </c>
      <c r="H211" s="41" t="s">
        <v>187</v>
      </c>
      <c r="I211" s="42">
        <v>1200000</v>
      </c>
      <c r="J211" s="42">
        <v>2000000</v>
      </c>
      <c r="K211" s="43" t="s">
        <v>84</v>
      </c>
      <c r="L211" s="9" t="s">
        <v>98</v>
      </c>
      <c r="M211" s="9" t="s">
        <v>22</v>
      </c>
      <c r="N211" s="9" t="s">
        <v>22</v>
      </c>
      <c r="O211" s="9" t="s">
        <v>72</v>
      </c>
      <c r="P211" s="9">
        <v>25</v>
      </c>
      <c r="Q211" s="9" t="s">
        <v>73</v>
      </c>
      <c r="R211" s="47">
        <v>1</v>
      </c>
      <c r="S211" s="31"/>
      <c r="T211" s="31"/>
      <c r="U211" s="31"/>
      <c r="V211" s="31"/>
      <c r="W211" s="31"/>
      <c r="X211" s="31"/>
      <c r="Y211" s="31"/>
      <c r="Z211" s="31"/>
    </row>
    <row r="212" spans="1:26" ht="23.25" customHeight="1" x14ac:dyDescent="0.3">
      <c r="A212" s="39">
        <v>211</v>
      </c>
      <c r="B212" s="40">
        <v>25</v>
      </c>
      <c r="C212" s="9">
        <f t="shared" si="18"/>
        <v>300</v>
      </c>
      <c r="D212" s="9" t="s">
        <v>115</v>
      </c>
      <c r="E212" s="9">
        <v>25</v>
      </c>
      <c r="F212" s="9">
        <f t="shared" si="20"/>
        <v>300</v>
      </c>
      <c r="G212" s="34">
        <v>0</v>
      </c>
      <c r="H212" s="41" t="s">
        <v>181</v>
      </c>
      <c r="I212" s="42">
        <v>1500000</v>
      </c>
      <c r="J212" s="42">
        <v>2000000</v>
      </c>
      <c r="K212" s="43" t="s">
        <v>84</v>
      </c>
      <c r="L212" s="9" t="s">
        <v>98</v>
      </c>
      <c r="M212" s="9" t="s">
        <v>22</v>
      </c>
      <c r="N212" s="9" t="s">
        <v>22</v>
      </c>
      <c r="O212" s="9" t="s">
        <v>72</v>
      </c>
      <c r="P212" s="9">
        <v>41</v>
      </c>
      <c r="Q212" s="9" t="s">
        <v>73</v>
      </c>
      <c r="R212" s="47">
        <v>2</v>
      </c>
      <c r="S212" s="31"/>
      <c r="T212" s="31"/>
      <c r="U212" s="31"/>
      <c r="V212" s="31"/>
      <c r="W212" s="31"/>
      <c r="X212" s="31"/>
      <c r="Y212" s="31"/>
      <c r="Z212" s="31"/>
    </row>
    <row r="213" spans="1:26" ht="23.25" customHeight="1" x14ac:dyDescent="0.3">
      <c r="A213" s="39">
        <v>212</v>
      </c>
      <c r="B213" s="40">
        <v>20</v>
      </c>
      <c r="C213" s="9">
        <f t="shared" si="18"/>
        <v>240</v>
      </c>
      <c r="D213" s="9" t="s">
        <v>68</v>
      </c>
      <c r="E213" s="9">
        <v>20</v>
      </c>
      <c r="F213" s="9">
        <f t="shared" si="20"/>
        <v>240</v>
      </c>
      <c r="G213" s="34">
        <v>0</v>
      </c>
      <c r="H213" s="35" t="s">
        <v>151</v>
      </c>
      <c r="I213" s="42">
        <v>1500000</v>
      </c>
      <c r="J213" s="42">
        <v>3000000</v>
      </c>
      <c r="K213" s="43" t="s">
        <v>97</v>
      </c>
      <c r="L213" s="9" t="s">
        <v>188</v>
      </c>
      <c r="M213" s="9" t="s">
        <v>22</v>
      </c>
      <c r="N213" s="9" t="s">
        <v>22</v>
      </c>
      <c r="O213" s="9" t="s">
        <v>10</v>
      </c>
      <c r="P213" s="9">
        <v>45</v>
      </c>
      <c r="Q213" s="9" t="s">
        <v>80</v>
      </c>
      <c r="R213" s="47">
        <v>3</v>
      </c>
      <c r="S213" s="31"/>
      <c r="T213" s="31"/>
      <c r="U213" s="31"/>
      <c r="V213" s="31"/>
      <c r="W213" s="31"/>
      <c r="X213" s="31"/>
      <c r="Y213" s="31"/>
      <c r="Z213" s="31"/>
    </row>
    <row r="214" spans="1:26" ht="23.25" customHeight="1" x14ac:dyDescent="0.3">
      <c r="A214" s="39">
        <v>213</v>
      </c>
      <c r="B214" s="40">
        <v>30</v>
      </c>
      <c r="C214" s="9">
        <f t="shared" si="18"/>
        <v>360</v>
      </c>
      <c r="D214" s="9" t="s">
        <v>68</v>
      </c>
      <c r="E214" s="9">
        <v>7</v>
      </c>
      <c r="F214" s="9">
        <f t="shared" si="20"/>
        <v>84</v>
      </c>
      <c r="G214" s="9">
        <v>1</v>
      </c>
      <c r="H214" s="35" t="s">
        <v>69</v>
      </c>
      <c r="I214" s="42">
        <v>500000</v>
      </c>
      <c r="J214" s="42">
        <v>908000</v>
      </c>
      <c r="K214" s="43" t="s">
        <v>84</v>
      </c>
      <c r="L214" s="9" t="s">
        <v>98</v>
      </c>
      <c r="M214" s="9" t="s">
        <v>132</v>
      </c>
      <c r="N214" s="9" t="s">
        <v>22</v>
      </c>
      <c r="O214" s="9" t="s">
        <v>72</v>
      </c>
      <c r="P214" s="9">
        <v>55</v>
      </c>
      <c r="Q214" s="9" t="s">
        <v>80</v>
      </c>
      <c r="R214" s="47">
        <v>2</v>
      </c>
      <c r="S214" s="31"/>
      <c r="T214" s="31"/>
      <c r="U214" s="31"/>
      <c r="V214" s="31"/>
      <c r="W214" s="31"/>
      <c r="X214" s="31"/>
      <c r="Y214" s="31"/>
      <c r="Z214" s="31"/>
    </row>
    <row r="215" spans="1:26" ht="23.25" customHeight="1" x14ac:dyDescent="0.3">
      <c r="A215" s="39">
        <v>214</v>
      </c>
      <c r="B215" s="40">
        <v>40</v>
      </c>
      <c r="C215" s="9">
        <f t="shared" si="18"/>
        <v>480</v>
      </c>
      <c r="D215" s="9" t="s">
        <v>115</v>
      </c>
      <c r="E215" s="9">
        <v>40</v>
      </c>
      <c r="F215" s="9">
        <f t="shared" si="20"/>
        <v>480</v>
      </c>
      <c r="G215" s="34">
        <v>0</v>
      </c>
      <c r="H215" s="41" t="s">
        <v>86</v>
      </c>
      <c r="I215" s="42">
        <v>1200000</v>
      </c>
      <c r="J215" s="42">
        <v>1500000</v>
      </c>
      <c r="K215" s="43" t="s">
        <v>97</v>
      </c>
      <c r="L215" s="9" t="s">
        <v>103</v>
      </c>
      <c r="M215" s="9" t="s">
        <v>132</v>
      </c>
      <c r="N215" s="9" t="s">
        <v>22</v>
      </c>
      <c r="O215" s="9" t="s">
        <v>72</v>
      </c>
      <c r="P215" s="9">
        <v>62</v>
      </c>
      <c r="Q215" s="9" t="s">
        <v>80</v>
      </c>
      <c r="R215" s="47">
        <v>3</v>
      </c>
      <c r="S215" s="31"/>
      <c r="T215" s="31"/>
      <c r="U215" s="31"/>
      <c r="V215" s="31"/>
      <c r="W215" s="31"/>
      <c r="X215" s="31"/>
      <c r="Y215" s="31"/>
      <c r="Z215" s="31"/>
    </row>
    <row r="216" spans="1:26" ht="23.25" customHeight="1" x14ac:dyDescent="0.3">
      <c r="A216" s="39">
        <v>215</v>
      </c>
      <c r="B216" s="40">
        <v>30</v>
      </c>
      <c r="C216" s="9">
        <f t="shared" si="18"/>
        <v>360</v>
      </c>
      <c r="D216" s="9" t="s">
        <v>68</v>
      </c>
      <c r="E216" s="9">
        <v>10</v>
      </c>
      <c r="F216" s="9">
        <f t="shared" si="20"/>
        <v>120</v>
      </c>
      <c r="G216" s="34">
        <v>0</v>
      </c>
      <c r="H216" s="41" t="s">
        <v>89</v>
      </c>
      <c r="I216" s="42">
        <v>1500000</v>
      </c>
      <c r="J216" s="42">
        <v>2000000</v>
      </c>
      <c r="K216" s="43" t="s">
        <v>97</v>
      </c>
      <c r="L216" s="9" t="s">
        <v>71</v>
      </c>
      <c r="M216" s="9" t="s">
        <v>22</v>
      </c>
      <c r="N216" s="9" t="s">
        <v>22</v>
      </c>
      <c r="O216" s="9" t="s">
        <v>72</v>
      </c>
      <c r="P216" s="9">
        <v>48</v>
      </c>
      <c r="Q216" s="9" t="s">
        <v>73</v>
      </c>
      <c r="R216" s="47">
        <v>5</v>
      </c>
      <c r="S216" s="31"/>
      <c r="T216" s="31"/>
      <c r="U216" s="31"/>
      <c r="V216" s="31"/>
      <c r="W216" s="31"/>
      <c r="X216" s="31"/>
      <c r="Y216" s="31"/>
      <c r="Z216" s="31"/>
    </row>
    <row r="217" spans="1:26" ht="23.25" customHeight="1" x14ac:dyDescent="0.3">
      <c r="A217" s="39">
        <v>216</v>
      </c>
      <c r="B217" s="40">
        <v>30</v>
      </c>
      <c r="C217" s="9">
        <f t="shared" si="18"/>
        <v>360</v>
      </c>
      <c r="D217" s="9" t="s">
        <v>99</v>
      </c>
      <c r="E217" s="9">
        <v>20</v>
      </c>
      <c r="F217" s="9">
        <f t="shared" si="20"/>
        <v>240</v>
      </c>
      <c r="G217" s="9">
        <v>1</v>
      </c>
      <c r="H217" s="41" t="s">
        <v>189</v>
      </c>
      <c r="I217" s="42">
        <v>3000000</v>
      </c>
      <c r="J217" s="42">
        <v>4500000</v>
      </c>
      <c r="K217" s="43" t="s">
        <v>70</v>
      </c>
      <c r="L217" s="9" t="s">
        <v>82</v>
      </c>
      <c r="M217" s="9" t="s">
        <v>132</v>
      </c>
      <c r="N217" s="9" t="s">
        <v>22</v>
      </c>
      <c r="O217" s="9" t="s">
        <v>72</v>
      </c>
      <c r="P217" s="9">
        <v>38</v>
      </c>
      <c r="Q217" s="9" t="s">
        <v>73</v>
      </c>
      <c r="R217" s="47">
        <v>1</v>
      </c>
      <c r="S217" s="31"/>
      <c r="T217" s="31"/>
      <c r="U217" s="31"/>
      <c r="V217" s="31"/>
      <c r="W217" s="31"/>
      <c r="X217" s="31"/>
      <c r="Y217" s="31"/>
      <c r="Z217" s="31"/>
    </row>
    <row r="218" spans="1:26" ht="23.25" customHeight="1" x14ac:dyDescent="0.3">
      <c r="A218" s="39">
        <v>217</v>
      </c>
      <c r="B218" s="40">
        <v>42</v>
      </c>
      <c r="C218" s="9">
        <f t="shared" si="18"/>
        <v>504</v>
      </c>
      <c r="D218" s="9" t="s">
        <v>68</v>
      </c>
      <c r="E218" s="9">
        <v>42</v>
      </c>
      <c r="F218" s="9">
        <f t="shared" si="20"/>
        <v>504</v>
      </c>
      <c r="G218" s="34">
        <v>0</v>
      </c>
      <c r="H218" s="35" t="s">
        <v>151</v>
      </c>
      <c r="I218" s="42">
        <v>2500000</v>
      </c>
      <c r="J218" s="42">
        <v>6000000</v>
      </c>
      <c r="K218" s="43" t="s">
        <v>84</v>
      </c>
      <c r="L218" s="9" t="s">
        <v>98</v>
      </c>
      <c r="M218" s="9" t="s">
        <v>22</v>
      </c>
      <c r="N218" s="9" t="s">
        <v>22</v>
      </c>
      <c r="O218" s="9" t="s">
        <v>72</v>
      </c>
      <c r="P218" s="9">
        <v>62</v>
      </c>
      <c r="Q218" s="9" t="s">
        <v>80</v>
      </c>
      <c r="R218" s="47">
        <v>4</v>
      </c>
      <c r="S218" s="31"/>
      <c r="T218" s="31"/>
      <c r="U218" s="31"/>
      <c r="V218" s="31"/>
      <c r="W218" s="31"/>
      <c r="X218" s="31"/>
      <c r="Y218" s="31"/>
      <c r="Z218" s="31"/>
    </row>
    <row r="219" spans="1:26" ht="23.25" customHeight="1" x14ac:dyDescent="0.3">
      <c r="A219" s="39">
        <v>218</v>
      </c>
      <c r="B219" s="40">
        <v>2</v>
      </c>
      <c r="C219" s="9">
        <f t="shared" si="18"/>
        <v>24</v>
      </c>
      <c r="D219" s="9" t="s">
        <v>68</v>
      </c>
      <c r="E219" s="9">
        <v>1</v>
      </c>
      <c r="F219" s="9">
        <f t="shared" si="20"/>
        <v>12</v>
      </c>
      <c r="G219" s="9">
        <v>1</v>
      </c>
      <c r="H219" s="41" t="s">
        <v>83</v>
      </c>
      <c r="I219" s="42">
        <v>700000</v>
      </c>
      <c r="J219" s="42">
        <v>1000000</v>
      </c>
      <c r="K219" s="43" t="s">
        <v>84</v>
      </c>
      <c r="L219" s="9" t="s">
        <v>98</v>
      </c>
      <c r="M219" s="9" t="s">
        <v>22</v>
      </c>
      <c r="N219" s="9" t="s">
        <v>22</v>
      </c>
      <c r="O219" s="9" t="s">
        <v>72</v>
      </c>
      <c r="P219" s="9">
        <v>21</v>
      </c>
      <c r="Q219" s="9" t="s">
        <v>73</v>
      </c>
      <c r="R219" s="47">
        <v>0</v>
      </c>
      <c r="S219" s="31"/>
      <c r="T219" s="31"/>
      <c r="U219" s="31"/>
      <c r="V219" s="31"/>
      <c r="W219" s="31"/>
      <c r="X219" s="31"/>
      <c r="Y219" s="31"/>
      <c r="Z219" s="31"/>
    </row>
    <row r="220" spans="1:26" ht="23.25" customHeight="1" x14ac:dyDescent="0.3">
      <c r="A220" s="39">
        <v>219</v>
      </c>
      <c r="B220" s="40">
        <v>25</v>
      </c>
      <c r="C220" s="9">
        <f t="shared" si="18"/>
        <v>300</v>
      </c>
      <c r="D220" s="9" t="s">
        <v>68</v>
      </c>
      <c r="E220" s="9">
        <v>15</v>
      </c>
      <c r="F220" s="9">
        <f t="shared" si="20"/>
        <v>180</v>
      </c>
      <c r="G220" s="34">
        <v>0</v>
      </c>
      <c r="H220" s="41" t="s">
        <v>86</v>
      </c>
      <c r="I220" s="42">
        <v>1200000</v>
      </c>
      <c r="J220" s="42">
        <v>2500000</v>
      </c>
      <c r="K220" s="43" t="s">
        <v>70</v>
      </c>
      <c r="L220" s="9" t="s">
        <v>90</v>
      </c>
      <c r="M220" s="9" t="s">
        <v>22</v>
      </c>
      <c r="N220" s="9" t="s">
        <v>22</v>
      </c>
      <c r="O220" s="9" t="s">
        <v>10</v>
      </c>
      <c r="P220" s="9">
        <v>54</v>
      </c>
      <c r="Q220" s="9" t="s">
        <v>77</v>
      </c>
      <c r="R220" s="47">
        <v>1</v>
      </c>
      <c r="S220" s="31"/>
      <c r="T220" s="31"/>
      <c r="U220" s="31"/>
      <c r="V220" s="31"/>
      <c r="W220" s="31"/>
      <c r="X220" s="31"/>
      <c r="Y220" s="31"/>
      <c r="Z220" s="31"/>
    </row>
    <row r="221" spans="1:26" ht="23.25" customHeight="1" x14ac:dyDescent="0.3">
      <c r="A221" s="39">
        <v>220</v>
      </c>
      <c r="B221" s="40">
        <v>11</v>
      </c>
      <c r="C221" s="9">
        <f t="shared" si="18"/>
        <v>132</v>
      </c>
      <c r="D221" s="9" t="s">
        <v>68</v>
      </c>
      <c r="E221" s="9">
        <v>6</v>
      </c>
      <c r="F221" s="9">
        <f t="shared" si="20"/>
        <v>72</v>
      </c>
      <c r="G221" s="9">
        <v>1</v>
      </c>
      <c r="H221" s="41" t="s">
        <v>83</v>
      </c>
      <c r="I221" s="42">
        <v>800000</v>
      </c>
      <c r="J221" s="42">
        <v>2000000</v>
      </c>
      <c r="K221" s="43" t="s">
        <v>100</v>
      </c>
      <c r="L221" s="9" t="s">
        <v>190</v>
      </c>
      <c r="M221" s="9" t="s">
        <v>22</v>
      </c>
      <c r="N221" s="9" t="s">
        <v>22</v>
      </c>
      <c r="O221" s="9" t="s">
        <v>72</v>
      </c>
      <c r="P221" s="9">
        <v>34</v>
      </c>
      <c r="Q221" s="9" t="s">
        <v>73</v>
      </c>
      <c r="R221" s="47">
        <v>0</v>
      </c>
      <c r="S221" s="31"/>
      <c r="T221" s="31"/>
      <c r="U221" s="31"/>
      <c r="V221" s="31"/>
      <c r="W221" s="31"/>
      <c r="X221" s="31"/>
      <c r="Y221" s="31"/>
      <c r="Z221" s="31"/>
    </row>
    <row r="222" spans="1:26" ht="23.25" customHeight="1" x14ac:dyDescent="0.3">
      <c r="A222" s="39">
        <v>221</v>
      </c>
      <c r="B222" s="40">
        <v>7</v>
      </c>
      <c r="C222" s="9">
        <f t="shared" si="18"/>
        <v>84</v>
      </c>
      <c r="D222" s="9" t="s">
        <v>68</v>
      </c>
      <c r="E222" s="9">
        <v>1</v>
      </c>
      <c r="F222" s="9">
        <f t="shared" si="20"/>
        <v>12</v>
      </c>
      <c r="G222" s="9">
        <v>1</v>
      </c>
      <c r="H222" s="41" t="s">
        <v>83</v>
      </c>
      <c r="I222" s="42">
        <v>550000</v>
      </c>
      <c r="J222" s="42">
        <v>1300000</v>
      </c>
      <c r="K222" s="43" t="s">
        <v>100</v>
      </c>
      <c r="L222" s="9" t="s">
        <v>107</v>
      </c>
      <c r="M222" s="9" t="s">
        <v>132</v>
      </c>
      <c r="N222" s="9" t="s">
        <v>22</v>
      </c>
      <c r="O222" s="9" t="s">
        <v>10</v>
      </c>
      <c r="P222" s="9">
        <v>25</v>
      </c>
      <c r="Q222" s="9" t="s">
        <v>73</v>
      </c>
      <c r="R222" s="47">
        <v>0</v>
      </c>
      <c r="S222" s="31"/>
      <c r="T222" s="31"/>
      <c r="U222" s="31"/>
      <c r="V222" s="31"/>
      <c r="W222" s="31"/>
      <c r="X222" s="31"/>
      <c r="Y222" s="31"/>
      <c r="Z222" s="31"/>
    </row>
    <row r="223" spans="1:26" ht="23.25" customHeight="1" x14ac:dyDescent="0.3">
      <c r="A223" s="39">
        <v>222</v>
      </c>
      <c r="B223" s="40">
        <v>35</v>
      </c>
      <c r="C223" s="9">
        <f t="shared" si="18"/>
        <v>420</v>
      </c>
      <c r="D223" s="9" t="s">
        <v>99</v>
      </c>
      <c r="E223" s="9">
        <v>15</v>
      </c>
      <c r="F223" s="9">
        <f t="shared" si="20"/>
        <v>180</v>
      </c>
      <c r="G223" s="34">
        <v>0</v>
      </c>
      <c r="H223" s="35" t="s">
        <v>151</v>
      </c>
      <c r="I223" s="42">
        <v>2000000</v>
      </c>
      <c r="J223" s="42">
        <v>4000000</v>
      </c>
      <c r="K223" s="43" t="s">
        <v>160</v>
      </c>
      <c r="L223" s="9" t="s">
        <v>87</v>
      </c>
      <c r="M223" s="9" t="s">
        <v>132</v>
      </c>
      <c r="N223" s="9" t="s">
        <v>22</v>
      </c>
      <c r="O223" s="9" t="s">
        <v>72</v>
      </c>
      <c r="P223" s="9">
        <v>50</v>
      </c>
      <c r="Q223" s="9" t="s">
        <v>80</v>
      </c>
      <c r="R223" s="47">
        <v>1</v>
      </c>
      <c r="S223" s="31"/>
      <c r="T223" s="31"/>
      <c r="U223" s="31"/>
      <c r="V223" s="31"/>
      <c r="W223" s="31"/>
      <c r="X223" s="31"/>
      <c r="Y223" s="31"/>
      <c r="Z223" s="31"/>
    </row>
    <row r="224" spans="1:26" ht="23.25" customHeight="1" x14ac:dyDescent="0.3">
      <c r="A224" s="39">
        <v>223</v>
      </c>
      <c r="B224" s="40">
        <v>5</v>
      </c>
      <c r="C224" s="9">
        <f t="shared" si="18"/>
        <v>60</v>
      </c>
      <c r="D224" s="9" t="s">
        <v>74</v>
      </c>
      <c r="E224" s="9">
        <v>3</v>
      </c>
      <c r="F224" s="9">
        <f t="shared" si="20"/>
        <v>36</v>
      </c>
      <c r="G224" s="34">
        <v>0</v>
      </c>
      <c r="H224" s="35" t="s">
        <v>69</v>
      </c>
      <c r="I224" s="42">
        <v>1500000</v>
      </c>
      <c r="J224" s="42">
        <v>2000000</v>
      </c>
      <c r="K224" s="43" t="s">
        <v>70</v>
      </c>
      <c r="L224" s="9" t="s">
        <v>71</v>
      </c>
      <c r="M224" s="9" t="s">
        <v>22</v>
      </c>
      <c r="N224" s="9" t="s">
        <v>22</v>
      </c>
      <c r="O224" s="9" t="s">
        <v>10</v>
      </c>
      <c r="P224" s="9">
        <v>30</v>
      </c>
      <c r="Q224" s="9" t="s">
        <v>77</v>
      </c>
      <c r="R224" s="47">
        <v>2</v>
      </c>
      <c r="S224" s="31"/>
      <c r="T224" s="31"/>
      <c r="U224" s="31"/>
      <c r="V224" s="31"/>
      <c r="W224" s="31"/>
      <c r="X224" s="31"/>
      <c r="Y224" s="31"/>
      <c r="Z224" s="31"/>
    </row>
    <row r="225" spans="1:26" ht="23.25" customHeight="1" x14ac:dyDescent="0.3">
      <c r="A225" s="39">
        <v>224</v>
      </c>
      <c r="B225" s="40">
        <v>16</v>
      </c>
      <c r="C225" s="9">
        <f t="shared" si="18"/>
        <v>192</v>
      </c>
      <c r="D225" s="9" t="s">
        <v>74</v>
      </c>
      <c r="E225" s="9">
        <v>16</v>
      </c>
      <c r="F225" s="9">
        <f t="shared" si="20"/>
        <v>192</v>
      </c>
      <c r="G225" s="34">
        <v>0</v>
      </c>
      <c r="H225" s="41" t="s">
        <v>83</v>
      </c>
      <c r="I225" s="42">
        <v>1000000</v>
      </c>
      <c r="J225" s="42">
        <v>1200000</v>
      </c>
      <c r="K225" s="43" t="s">
        <v>70</v>
      </c>
      <c r="L225" s="9" t="s">
        <v>71</v>
      </c>
      <c r="M225" s="9" t="s">
        <v>22</v>
      </c>
      <c r="N225" s="9" t="s">
        <v>22</v>
      </c>
      <c r="O225" s="9" t="s">
        <v>10</v>
      </c>
      <c r="P225" s="9">
        <v>36</v>
      </c>
      <c r="Q225" s="9" t="s">
        <v>80</v>
      </c>
      <c r="R225" s="47">
        <v>2</v>
      </c>
      <c r="S225" s="31"/>
      <c r="T225" s="31"/>
      <c r="U225" s="31"/>
      <c r="V225" s="31"/>
      <c r="W225" s="31"/>
      <c r="X225" s="31"/>
      <c r="Y225" s="31"/>
      <c r="Z225" s="31"/>
    </row>
    <row r="226" spans="1:26" ht="23.25" customHeight="1" x14ac:dyDescent="0.3">
      <c r="A226" s="39">
        <v>225</v>
      </c>
      <c r="B226" s="40">
        <v>6</v>
      </c>
      <c r="C226" s="9">
        <f t="shared" si="18"/>
        <v>72</v>
      </c>
      <c r="D226" s="9" t="s">
        <v>68</v>
      </c>
      <c r="E226" s="9">
        <v>2.5</v>
      </c>
      <c r="F226" s="9">
        <f t="shared" si="20"/>
        <v>30</v>
      </c>
      <c r="G226" s="9">
        <v>1</v>
      </c>
      <c r="H226" s="35" t="s">
        <v>69</v>
      </c>
      <c r="I226" s="42">
        <v>1200000</v>
      </c>
      <c r="J226" s="42">
        <v>1500000</v>
      </c>
      <c r="K226" s="43" t="s">
        <v>97</v>
      </c>
      <c r="L226" s="9" t="s">
        <v>191</v>
      </c>
      <c r="M226" s="9" t="s">
        <v>132</v>
      </c>
      <c r="N226" s="9" t="s">
        <v>22</v>
      </c>
      <c r="O226" s="9" t="s">
        <v>10</v>
      </c>
      <c r="P226" s="9">
        <v>27</v>
      </c>
      <c r="Q226" s="9" t="s">
        <v>77</v>
      </c>
      <c r="R226" s="47">
        <v>0</v>
      </c>
      <c r="S226" s="31"/>
      <c r="T226" s="31"/>
      <c r="U226" s="31"/>
      <c r="V226" s="31"/>
      <c r="W226" s="31"/>
      <c r="X226" s="31"/>
      <c r="Y226" s="31"/>
      <c r="Z226" s="31"/>
    </row>
    <row r="227" spans="1:26" ht="23.25" customHeight="1" x14ac:dyDescent="0.3">
      <c r="A227" s="39">
        <v>226</v>
      </c>
      <c r="B227" s="40">
        <v>0.5</v>
      </c>
      <c r="C227" s="9">
        <f t="shared" si="18"/>
        <v>6</v>
      </c>
      <c r="D227" s="9" t="s">
        <v>102</v>
      </c>
      <c r="E227" s="9">
        <v>0.5</v>
      </c>
      <c r="F227" s="9">
        <f t="shared" si="20"/>
        <v>6</v>
      </c>
      <c r="G227" s="9">
        <v>1</v>
      </c>
      <c r="H227" s="35" t="s">
        <v>69</v>
      </c>
      <c r="I227" s="42">
        <v>200000</v>
      </c>
      <c r="J227" s="42">
        <v>400000</v>
      </c>
      <c r="K227" s="43" t="s">
        <v>84</v>
      </c>
      <c r="L227" s="9" t="s">
        <v>98</v>
      </c>
      <c r="M227" s="9" t="s">
        <v>22</v>
      </c>
      <c r="N227" s="9" t="s">
        <v>22</v>
      </c>
      <c r="O227" s="9" t="s">
        <v>10</v>
      </c>
      <c r="P227" s="9">
        <v>19</v>
      </c>
      <c r="Q227" s="9" t="s">
        <v>73</v>
      </c>
      <c r="R227" s="47">
        <v>0</v>
      </c>
      <c r="S227" s="31"/>
      <c r="T227" s="31"/>
      <c r="U227" s="31"/>
      <c r="V227" s="31"/>
      <c r="W227" s="31"/>
      <c r="X227" s="31"/>
      <c r="Y227" s="31"/>
      <c r="Z227" s="31"/>
    </row>
    <row r="228" spans="1:26" ht="23.25" customHeight="1" x14ac:dyDescent="0.3">
      <c r="A228" s="39">
        <v>227</v>
      </c>
      <c r="B228" s="40">
        <v>7</v>
      </c>
      <c r="C228" s="9">
        <f t="shared" si="18"/>
        <v>84</v>
      </c>
      <c r="D228" s="9" t="s">
        <v>102</v>
      </c>
      <c r="E228" s="9">
        <v>4</v>
      </c>
      <c r="F228" s="9">
        <f t="shared" si="20"/>
        <v>48</v>
      </c>
      <c r="G228" s="9">
        <v>1</v>
      </c>
      <c r="H228" s="41" t="s">
        <v>89</v>
      </c>
      <c r="I228" s="42">
        <v>800000</v>
      </c>
      <c r="J228" s="42">
        <v>908000</v>
      </c>
      <c r="K228" s="43" t="s">
        <v>84</v>
      </c>
      <c r="L228" s="9" t="s">
        <v>98</v>
      </c>
      <c r="M228" s="9" t="s">
        <v>132</v>
      </c>
      <c r="N228" s="9" t="s">
        <v>22</v>
      </c>
      <c r="O228" s="9" t="s">
        <v>10</v>
      </c>
      <c r="P228" s="9">
        <v>26</v>
      </c>
      <c r="Q228" s="9" t="s">
        <v>73</v>
      </c>
      <c r="R228" s="47">
        <v>0</v>
      </c>
      <c r="S228" s="31"/>
      <c r="T228" s="31"/>
      <c r="U228" s="31"/>
      <c r="V228" s="31"/>
      <c r="W228" s="31"/>
      <c r="X228" s="31"/>
      <c r="Y228" s="31"/>
      <c r="Z228" s="31"/>
    </row>
    <row r="229" spans="1:26" ht="23.25" customHeight="1" x14ac:dyDescent="0.3">
      <c r="A229" s="39">
        <v>228</v>
      </c>
      <c r="B229" s="40">
        <v>1</v>
      </c>
      <c r="C229" s="9">
        <f t="shared" si="18"/>
        <v>12</v>
      </c>
      <c r="D229" s="9" t="s">
        <v>102</v>
      </c>
      <c r="E229" s="9">
        <v>1</v>
      </c>
      <c r="F229" s="9">
        <f t="shared" si="20"/>
        <v>12</v>
      </c>
      <c r="G229" s="9">
        <v>1</v>
      </c>
      <c r="H229" s="41" t="s">
        <v>127</v>
      </c>
      <c r="I229" s="42">
        <v>850000</v>
      </c>
      <c r="J229" s="42">
        <v>908000</v>
      </c>
      <c r="K229" s="43" t="s">
        <v>97</v>
      </c>
      <c r="L229" s="9" t="s">
        <v>192</v>
      </c>
      <c r="M229" s="9" t="s">
        <v>22</v>
      </c>
      <c r="N229" s="9" t="s">
        <v>22</v>
      </c>
      <c r="O229" s="9" t="s">
        <v>10</v>
      </c>
      <c r="P229" s="9">
        <v>20</v>
      </c>
      <c r="Q229" s="9" t="s">
        <v>73</v>
      </c>
      <c r="R229" s="47">
        <v>0</v>
      </c>
      <c r="S229" s="31"/>
      <c r="T229" s="31"/>
      <c r="U229" s="31"/>
      <c r="V229" s="31"/>
      <c r="W229" s="31"/>
      <c r="X229" s="31"/>
      <c r="Y229" s="31"/>
      <c r="Z229" s="31"/>
    </row>
    <row r="230" spans="1:26" ht="23.25" customHeight="1" x14ac:dyDescent="0.3">
      <c r="A230" s="39">
        <v>229</v>
      </c>
      <c r="B230" s="40">
        <v>7</v>
      </c>
      <c r="C230" s="9">
        <f t="shared" si="18"/>
        <v>84</v>
      </c>
      <c r="D230" s="9" t="s">
        <v>68</v>
      </c>
      <c r="E230" s="9">
        <v>4</v>
      </c>
      <c r="F230" s="9">
        <f t="shared" si="20"/>
        <v>48</v>
      </c>
      <c r="G230" s="9">
        <v>1</v>
      </c>
      <c r="H230" s="41" t="s">
        <v>83</v>
      </c>
      <c r="I230" s="42">
        <v>900000</v>
      </c>
      <c r="J230" s="42">
        <v>908000</v>
      </c>
      <c r="K230" s="43" t="s">
        <v>70</v>
      </c>
      <c r="L230" s="9" t="s">
        <v>90</v>
      </c>
      <c r="M230" s="9" t="s">
        <v>22</v>
      </c>
      <c r="N230" s="9" t="s">
        <v>22</v>
      </c>
      <c r="O230" s="9" t="s">
        <v>10</v>
      </c>
      <c r="P230" s="9">
        <v>25</v>
      </c>
      <c r="Q230" s="9" t="s">
        <v>73</v>
      </c>
      <c r="R230" s="47">
        <v>0</v>
      </c>
      <c r="S230" s="31"/>
      <c r="T230" s="31"/>
      <c r="U230" s="31"/>
      <c r="V230" s="31"/>
      <c r="W230" s="31"/>
      <c r="X230" s="31"/>
      <c r="Y230" s="31"/>
      <c r="Z230" s="31"/>
    </row>
    <row r="231" spans="1:26" ht="23.25" customHeight="1" x14ac:dyDescent="0.3">
      <c r="A231" s="39">
        <v>230</v>
      </c>
      <c r="B231" s="40">
        <v>20</v>
      </c>
      <c r="C231" s="9">
        <f t="shared" si="18"/>
        <v>240</v>
      </c>
      <c r="D231" s="9" t="s">
        <v>74</v>
      </c>
      <c r="E231" s="9">
        <v>3.5</v>
      </c>
      <c r="F231" s="9">
        <f t="shared" si="20"/>
        <v>42</v>
      </c>
      <c r="G231" s="9">
        <v>1</v>
      </c>
      <c r="H231" s="41" t="s">
        <v>91</v>
      </c>
      <c r="I231" s="42">
        <v>2000000</v>
      </c>
      <c r="J231" s="42">
        <v>2000000</v>
      </c>
      <c r="K231" s="43" t="s">
        <v>84</v>
      </c>
      <c r="L231" s="9" t="s">
        <v>98</v>
      </c>
      <c r="M231" s="9" t="s">
        <v>132</v>
      </c>
      <c r="N231" s="9" t="s">
        <v>22</v>
      </c>
      <c r="O231" s="9" t="s">
        <v>10</v>
      </c>
      <c r="P231" s="9">
        <v>35</v>
      </c>
      <c r="Q231" s="9" t="s">
        <v>73</v>
      </c>
      <c r="R231" s="47">
        <v>1</v>
      </c>
      <c r="S231" s="31"/>
      <c r="T231" s="31"/>
      <c r="U231" s="31"/>
      <c r="V231" s="31"/>
      <c r="W231" s="31"/>
      <c r="X231" s="31"/>
      <c r="Y231" s="31"/>
      <c r="Z231" s="31"/>
    </row>
    <row r="232" spans="1:26" ht="23.25" customHeight="1" x14ac:dyDescent="0.3">
      <c r="A232" s="39">
        <v>231</v>
      </c>
      <c r="B232" s="40">
        <v>13</v>
      </c>
      <c r="C232" s="9">
        <f t="shared" si="18"/>
        <v>156</v>
      </c>
      <c r="D232" s="9" t="s">
        <v>74</v>
      </c>
      <c r="E232" s="9">
        <v>0.5</v>
      </c>
      <c r="F232" s="9">
        <f t="shared" si="20"/>
        <v>6</v>
      </c>
      <c r="G232" s="34">
        <v>0</v>
      </c>
      <c r="H232" s="41" t="s">
        <v>83</v>
      </c>
      <c r="I232" s="42">
        <v>750000</v>
      </c>
      <c r="J232" s="42">
        <v>908000</v>
      </c>
      <c r="K232" s="43" t="s">
        <v>97</v>
      </c>
      <c r="L232" s="9" t="s">
        <v>193</v>
      </c>
      <c r="M232" s="9" t="s">
        <v>22</v>
      </c>
      <c r="N232" s="9" t="s">
        <v>22</v>
      </c>
      <c r="O232" s="9" t="s">
        <v>10</v>
      </c>
      <c r="P232" s="9">
        <v>31</v>
      </c>
      <c r="Q232" s="9" t="s">
        <v>73</v>
      </c>
      <c r="R232" s="47">
        <v>0</v>
      </c>
      <c r="S232" s="31"/>
      <c r="T232" s="31"/>
      <c r="U232" s="31"/>
      <c r="V232" s="31"/>
      <c r="W232" s="31"/>
      <c r="X232" s="31"/>
      <c r="Y232" s="31"/>
      <c r="Z232" s="31"/>
    </row>
    <row r="233" spans="1:26" ht="23.25" customHeight="1" x14ac:dyDescent="0.3">
      <c r="A233" s="39">
        <v>232</v>
      </c>
      <c r="B233" s="40">
        <v>3</v>
      </c>
      <c r="C233" s="9">
        <f t="shared" si="18"/>
        <v>36</v>
      </c>
      <c r="D233" s="9" t="s">
        <v>74</v>
      </c>
      <c r="E233" s="9">
        <v>0.5</v>
      </c>
      <c r="F233" s="9">
        <f t="shared" si="20"/>
        <v>6</v>
      </c>
      <c r="G233" s="9">
        <v>1</v>
      </c>
      <c r="H233" s="41" t="s">
        <v>91</v>
      </c>
      <c r="I233" s="42">
        <v>900000</v>
      </c>
      <c r="J233" s="42">
        <v>1500000</v>
      </c>
      <c r="K233" s="43" t="s">
        <v>92</v>
      </c>
      <c r="L233" s="9" t="s">
        <v>71</v>
      </c>
      <c r="M233" s="9" t="s">
        <v>22</v>
      </c>
      <c r="N233" s="9" t="s">
        <v>22</v>
      </c>
      <c r="O233" s="9" t="s">
        <v>10</v>
      </c>
      <c r="P233" s="9">
        <v>26</v>
      </c>
      <c r="Q233" s="9" t="s">
        <v>73</v>
      </c>
      <c r="R233" s="47">
        <v>0</v>
      </c>
      <c r="S233" s="31"/>
      <c r="T233" s="31"/>
      <c r="U233" s="31"/>
      <c r="V233" s="31"/>
      <c r="W233" s="31"/>
      <c r="X233" s="31"/>
      <c r="Y233" s="31"/>
      <c r="Z233" s="31"/>
    </row>
    <row r="234" spans="1:26" ht="23.25" customHeight="1" x14ac:dyDescent="0.3">
      <c r="A234" s="39">
        <v>233</v>
      </c>
      <c r="B234" s="40">
        <v>10</v>
      </c>
      <c r="C234" s="9">
        <f t="shared" si="18"/>
        <v>120</v>
      </c>
      <c r="D234" s="9" t="s">
        <v>68</v>
      </c>
      <c r="E234" s="9">
        <v>9</v>
      </c>
      <c r="F234" s="9">
        <f t="shared" si="20"/>
        <v>108</v>
      </c>
      <c r="G234" s="9">
        <v>1</v>
      </c>
      <c r="H234" s="41" t="s">
        <v>89</v>
      </c>
      <c r="I234" s="42">
        <v>3500000</v>
      </c>
      <c r="J234" s="42">
        <v>3000000</v>
      </c>
      <c r="K234" s="43" t="s">
        <v>92</v>
      </c>
      <c r="L234" s="9" t="s">
        <v>90</v>
      </c>
      <c r="M234" s="9" t="s">
        <v>132</v>
      </c>
      <c r="N234" s="9" t="s">
        <v>22</v>
      </c>
      <c r="O234" s="9" t="s">
        <v>10</v>
      </c>
      <c r="P234" s="9">
        <v>36</v>
      </c>
      <c r="Q234" s="9" t="s">
        <v>73</v>
      </c>
      <c r="R234" s="47">
        <v>1</v>
      </c>
      <c r="S234" s="31"/>
      <c r="T234" s="31"/>
      <c r="U234" s="31"/>
      <c r="V234" s="31"/>
      <c r="W234" s="31"/>
      <c r="X234" s="31"/>
      <c r="Y234" s="31"/>
      <c r="Z234" s="31"/>
    </row>
    <row r="235" spans="1:26" ht="23.25" customHeight="1" x14ac:dyDescent="0.3">
      <c r="A235" s="39">
        <v>234</v>
      </c>
      <c r="B235" s="40">
        <v>8</v>
      </c>
      <c r="C235" s="9">
        <f t="shared" si="18"/>
        <v>96</v>
      </c>
      <c r="D235" s="9" t="s">
        <v>74</v>
      </c>
      <c r="E235" s="9">
        <v>8</v>
      </c>
      <c r="F235" s="9">
        <f t="shared" si="20"/>
        <v>96</v>
      </c>
      <c r="G235" s="9">
        <v>1</v>
      </c>
      <c r="H235" s="41" t="s">
        <v>133</v>
      </c>
      <c r="I235" s="42">
        <v>1200000</v>
      </c>
      <c r="J235" s="42">
        <v>1500000</v>
      </c>
      <c r="K235" s="43" t="s">
        <v>92</v>
      </c>
      <c r="L235" s="9" t="s">
        <v>101</v>
      </c>
      <c r="M235" s="9" t="s">
        <v>132</v>
      </c>
      <c r="N235" s="9" t="s">
        <v>22</v>
      </c>
      <c r="O235" s="9" t="s">
        <v>10</v>
      </c>
      <c r="P235" s="9">
        <v>38</v>
      </c>
      <c r="Q235" s="9" t="s">
        <v>73</v>
      </c>
      <c r="R235" s="47">
        <v>0</v>
      </c>
      <c r="S235" s="31"/>
      <c r="T235" s="31"/>
      <c r="U235" s="31"/>
      <c r="V235" s="31"/>
      <c r="W235" s="31"/>
      <c r="X235" s="31"/>
      <c r="Y235" s="31"/>
      <c r="Z235" s="31"/>
    </row>
    <row r="236" spans="1:26" ht="23.25" customHeight="1" x14ac:dyDescent="0.3">
      <c r="A236" s="39">
        <v>235</v>
      </c>
      <c r="B236" s="40">
        <v>6</v>
      </c>
      <c r="C236" s="9">
        <f t="shared" si="18"/>
        <v>72</v>
      </c>
      <c r="D236" s="9" t="s">
        <v>68</v>
      </c>
      <c r="E236" s="9">
        <v>1.5</v>
      </c>
      <c r="F236" s="9">
        <f t="shared" si="20"/>
        <v>18</v>
      </c>
      <c r="G236" s="9">
        <v>1</v>
      </c>
      <c r="H236" s="41" t="s">
        <v>89</v>
      </c>
      <c r="I236" s="42">
        <v>700000</v>
      </c>
      <c r="J236" s="42">
        <v>908000</v>
      </c>
      <c r="K236" s="43" t="s">
        <v>84</v>
      </c>
      <c r="L236" s="9" t="s">
        <v>98</v>
      </c>
      <c r="M236" s="9" t="s">
        <v>132</v>
      </c>
      <c r="N236" s="9" t="s">
        <v>22</v>
      </c>
      <c r="O236" s="9" t="s">
        <v>72</v>
      </c>
      <c r="P236" s="9">
        <v>22</v>
      </c>
      <c r="Q236" s="9" t="s">
        <v>73</v>
      </c>
      <c r="R236" s="47">
        <v>0</v>
      </c>
      <c r="S236" s="31"/>
      <c r="T236" s="31"/>
      <c r="U236" s="31"/>
      <c r="V236" s="31"/>
      <c r="W236" s="31"/>
      <c r="X236" s="31"/>
      <c r="Y236" s="31"/>
      <c r="Z236" s="31"/>
    </row>
    <row r="237" spans="1:26" ht="23.25" customHeight="1" x14ac:dyDescent="0.3">
      <c r="A237" s="39">
        <v>236</v>
      </c>
      <c r="B237" s="40">
        <v>4</v>
      </c>
      <c r="C237" s="9">
        <f t="shared" si="18"/>
        <v>48</v>
      </c>
      <c r="D237" s="9" t="s">
        <v>68</v>
      </c>
      <c r="E237" s="9">
        <v>0.5</v>
      </c>
      <c r="F237" s="9">
        <f t="shared" si="20"/>
        <v>6</v>
      </c>
      <c r="G237" s="9">
        <v>1</v>
      </c>
      <c r="H237" s="35" t="s">
        <v>69</v>
      </c>
      <c r="I237" s="42">
        <v>600000</v>
      </c>
      <c r="J237" s="42">
        <v>908000</v>
      </c>
      <c r="K237" s="43" t="s">
        <v>84</v>
      </c>
      <c r="L237" s="9" t="s">
        <v>98</v>
      </c>
      <c r="M237" s="9" t="s">
        <v>22</v>
      </c>
      <c r="N237" s="9" t="s">
        <v>22</v>
      </c>
      <c r="O237" s="9" t="s">
        <v>10</v>
      </c>
      <c r="P237" s="9">
        <v>21</v>
      </c>
      <c r="Q237" s="9" t="s">
        <v>73</v>
      </c>
      <c r="R237" s="47">
        <v>0</v>
      </c>
      <c r="S237" s="31"/>
      <c r="T237" s="31"/>
      <c r="U237" s="31"/>
      <c r="V237" s="31"/>
      <c r="W237" s="31"/>
      <c r="X237" s="31"/>
      <c r="Y237" s="31"/>
      <c r="Z237" s="31"/>
    </row>
    <row r="238" spans="1:26" ht="23.25" customHeight="1" x14ac:dyDescent="0.3">
      <c r="A238" s="39">
        <v>237</v>
      </c>
      <c r="B238" s="40">
        <v>0.5</v>
      </c>
      <c r="C238" s="9">
        <f t="shared" si="18"/>
        <v>6</v>
      </c>
      <c r="D238" s="9" t="s">
        <v>115</v>
      </c>
      <c r="E238" s="9">
        <v>0.5</v>
      </c>
      <c r="F238" s="9">
        <f t="shared" si="20"/>
        <v>6</v>
      </c>
      <c r="G238" s="9">
        <v>1</v>
      </c>
      <c r="H238" s="35" t="s">
        <v>145</v>
      </c>
      <c r="I238" s="42">
        <v>500000</v>
      </c>
      <c r="J238" s="42">
        <v>650000</v>
      </c>
      <c r="K238" s="43" t="s">
        <v>84</v>
      </c>
      <c r="L238" s="9" t="s">
        <v>98</v>
      </c>
      <c r="M238" s="9" t="s">
        <v>22</v>
      </c>
      <c r="N238" s="9" t="s">
        <v>22</v>
      </c>
      <c r="O238" s="9" t="s">
        <v>10</v>
      </c>
      <c r="P238" s="9">
        <v>20</v>
      </c>
      <c r="Q238" s="9" t="s">
        <v>73</v>
      </c>
      <c r="R238" s="47">
        <v>0</v>
      </c>
      <c r="S238" s="31"/>
      <c r="T238" s="31"/>
      <c r="U238" s="31"/>
      <c r="V238" s="31"/>
      <c r="W238" s="31"/>
      <c r="X238" s="31"/>
      <c r="Y238" s="31"/>
      <c r="Z238" s="31"/>
    </row>
    <row r="239" spans="1:26" ht="23.25" customHeight="1" x14ac:dyDescent="0.3">
      <c r="A239" s="39">
        <v>238</v>
      </c>
      <c r="B239" s="40">
        <v>5</v>
      </c>
      <c r="C239" s="9">
        <f t="shared" si="18"/>
        <v>60</v>
      </c>
      <c r="D239" s="9" t="s">
        <v>68</v>
      </c>
      <c r="E239" s="9">
        <v>0.5</v>
      </c>
      <c r="F239" s="9">
        <f t="shared" si="20"/>
        <v>6</v>
      </c>
      <c r="G239" s="9">
        <v>1</v>
      </c>
      <c r="H239" s="35" t="s">
        <v>69</v>
      </c>
      <c r="I239" s="42">
        <v>200000</v>
      </c>
      <c r="J239" s="42">
        <v>908000</v>
      </c>
      <c r="K239" s="43" t="s">
        <v>97</v>
      </c>
      <c r="L239" s="9" t="s">
        <v>194</v>
      </c>
      <c r="M239" s="9" t="s">
        <v>22</v>
      </c>
      <c r="N239" s="9" t="s">
        <v>22</v>
      </c>
      <c r="O239" s="9" t="s">
        <v>10</v>
      </c>
      <c r="P239" s="9">
        <v>21</v>
      </c>
      <c r="Q239" s="9" t="s">
        <v>73</v>
      </c>
      <c r="R239" s="47">
        <v>0</v>
      </c>
      <c r="S239" s="31"/>
      <c r="T239" s="31"/>
      <c r="U239" s="31"/>
      <c r="V239" s="31"/>
      <c r="W239" s="31"/>
      <c r="X239" s="31"/>
      <c r="Y239" s="31"/>
      <c r="Z239" s="31"/>
    </row>
    <row r="240" spans="1:26" ht="23.25" customHeight="1" x14ac:dyDescent="0.3">
      <c r="A240" s="39">
        <v>239</v>
      </c>
      <c r="B240" s="40">
        <v>4</v>
      </c>
      <c r="C240" s="9">
        <f t="shared" si="18"/>
        <v>48</v>
      </c>
      <c r="D240" s="9" t="s">
        <v>115</v>
      </c>
      <c r="E240" s="9">
        <v>0.75</v>
      </c>
      <c r="F240" s="9">
        <f t="shared" si="20"/>
        <v>9</v>
      </c>
      <c r="G240" s="9">
        <v>1</v>
      </c>
      <c r="H240" s="41" t="s">
        <v>89</v>
      </c>
      <c r="I240" s="42">
        <v>200000</v>
      </c>
      <c r="J240" s="42">
        <v>450000</v>
      </c>
      <c r="K240" s="43" t="s">
        <v>84</v>
      </c>
      <c r="L240" s="9" t="s">
        <v>98</v>
      </c>
      <c r="M240" s="9" t="s">
        <v>22</v>
      </c>
      <c r="N240" s="9" t="s">
        <v>22</v>
      </c>
      <c r="O240" s="9" t="s">
        <v>10</v>
      </c>
      <c r="P240" s="9">
        <v>21</v>
      </c>
      <c r="Q240" s="9" t="s">
        <v>73</v>
      </c>
      <c r="R240" s="47">
        <v>0</v>
      </c>
      <c r="S240" s="31"/>
      <c r="T240" s="31"/>
      <c r="U240" s="31"/>
      <c r="V240" s="31"/>
      <c r="W240" s="31"/>
      <c r="X240" s="31"/>
      <c r="Y240" s="31"/>
      <c r="Z240" s="31"/>
    </row>
    <row r="241" spans="1:26" ht="23.25" customHeight="1" x14ac:dyDescent="0.3">
      <c r="A241" s="39">
        <v>240</v>
      </c>
      <c r="B241" s="40">
        <v>20</v>
      </c>
      <c r="C241" s="9">
        <f t="shared" si="18"/>
        <v>240</v>
      </c>
      <c r="D241" s="9" t="s">
        <v>74</v>
      </c>
      <c r="E241" s="9">
        <v>7</v>
      </c>
      <c r="F241" s="9">
        <f t="shared" si="20"/>
        <v>84</v>
      </c>
      <c r="G241" s="34">
        <v>0</v>
      </c>
      <c r="H241" s="35" t="s">
        <v>151</v>
      </c>
      <c r="I241" s="42">
        <v>3000000</v>
      </c>
      <c r="J241" s="42">
        <v>4000000</v>
      </c>
      <c r="K241" s="43" t="s">
        <v>92</v>
      </c>
      <c r="L241" s="9" t="s">
        <v>93</v>
      </c>
      <c r="M241" s="9" t="s">
        <v>132</v>
      </c>
      <c r="N241" s="9" t="s">
        <v>22</v>
      </c>
      <c r="O241" s="9" t="s">
        <v>72</v>
      </c>
      <c r="P241" s="9">
        <v>33</v>
      </c>
      <c r="Q241" s="9" t="s">
        <v>73</v>
      </c>
      <c r="R241" s="47">
        <v>2</v>
      </c>
      <c r="S241" s="31"/>
      <c r="T241" s="31"/>
      <c r="U241" s="31"/>
      <c r="V241" s="31"/>
      <c r="W241" s="31"/>
      <c r="X241" s="31"/>
      <c r="Y241" s="31"/>
      <c r="Z241" s="31"/>
    </row>
    <row r="242" spans="1:26" ht="23.25" customHeight="1" x14ac:dyDescent="0.3">
      <c r="A242" s="39">
        <v>241</v>
      </c>
      <c r="B242" s="40">
        <v>15</v>
      </c>
      <c r="C242" s="9">
        <f t="shared" si="18"/>
        <v>180</v>
      </c>
      <c r="D242" s="9" t="s">
        <v>104</v>
      </c>
      <c r="E242" s="9">
        <v>1</v>
      </c>
      <c r="F242" s="9">
        <f t="shared" si="20"/>
        <v>12</v>
      </c>
      <c r="G242" s="9">
        <v>1</v>
      </c>
      <c r="H242" s="41" t="s">
        <v>83</v>
      </c>
      <c r="I242" s="42">
        <v>700000</v>
      </c>
      <c r="J242" s="42">
        <v>1100000</v>
      </c>
      <c r="K242" s="43" t="s">
        <v>97</v>
      </c>
      <c r="L242" s="9" t="s">
        <v>195</v>
      </c>
      <c r="M242" s="9" t="s">
        <v>22</v>
      </c>
      <c r="N242" s="9" t="s">
        <v>22</v>
      </c>
      <c r="O242" s="9" t="s">
        <v>10</v>
      </c>
      <c r="P242" s="9">
        <v>37</v>
      </c>
      <c r="Q242" s="9" t="s">
        <v>73</v>
      </c>
      <c r="R242" s="47">
        <v>1</v>
      </c>
      <c r="S242" s="31"/>
      <c r="T242" s="31"/>
      <c r="U242" s="31"/>
      <c r="V242" s="31"/>
      <c r="W242" s="31"/>
      <c r="X242" s="31"/>
      <c r="Y242" s="31"/>
      <c r="Z242" s="31"/>
    </row>
    <row r="243" spans="1:26" ht="23.25" customHeight="1" x14ac:dyDescent="0.3">
      <c r="A243" s="39">
        <v>242</v>
      </c>
      <c r="B243" s="40">
        <v>4</v>
      </c>
      <c r="C243" s="9">
        <f t="shared" si="18"/>
        <v>48</v>
      </c>
      <c r="D243" s="9" t="s">
        <v>68</v>
      </c>
      <c r="E243" s="9">
        <v>0.5</v>
      </c>
      <c r="F243" s="9">
        <f t="shared" si="20"/>
        <v>6</v>
      </c>
      <c r="G243" s="9">
        <v>1</v>
      </c>
      <c r="H243" s="35" t="s">
        <v>69</v>
      </c>
      <c r="I243" s="42">
        <v>700000</v>
      </c>
      <c r="J243" s="42">
        <v>720000</v>
      </c>
      <c r="K243" s="43" t="s">
        <v>84</v>
      </c>
      <c r="L243" s="9" t="s">
        <v>98</v>
      </c>
      <c r="M243" s="9" t="s">
        <v>22</v>
      </c>
      <c r="N243" s="9" t="s">
        <v>22</v>
      </c>
      <c r="O243" s="9" t="s">
        <v>10</v>
      </c>
      <c r="P243" s="9">
        <v>20</v>
      </c>
      <c r="Q243" s="9" t="s">
        <v>73</v>
      </c>
      <c r="R243" s="47">
        <v>1</v>
      </c>
      <c r="S243" s="31"/>
      <c r="T243" s="31"/>
      <c r="U243" s="31"/>
      <c r="V243" s="31"/>
      <c r="W243" s="31"/>
      <c r="X243" s="31"/>
      <c r="Y243" s="31"/>
      <c r="Z243" s="31"/>
    </row>
    <row r="244" spans="1:26" ht="23.25" customHeight="1" x14ac:dyDescent="0.3">
      <c r="A244" s="39">
        <v>243</v>
      </c>
      <c r="B244" s="40">
        <v>2</v>
      </c>
      <c r="C244" s="9">
        <f t="shared" si="18"/>
        <v>24</v>
      </c>
      <c r="D244" s="9" t="s">
        <v>115</v>
      </c>
      <c r="E244" s="9">
        <v>2.2999999999999998</v>
      </c>
      <c r="F244" s="9">
        <f t="shared" si="20"/>
        <v>27.599999999999998</v>
      </c>
      <c r="G244" s="34">
        <v>0</v>
      </c>
      <c r="H244" s="35" t="s">
        <v>145</v>
      </c>
      <c r="I244" s="42">
        <v>700000</v>
      </c>
      <c r="J244" s="42">
        <v>1900000</v>
      </c>
      <c r="K244" s="43" t="s">
        <v>97</v>
      </c>
      <c r="L244" s="9" t="s">
        <v>196</v>
      </c>
      <c r="M244" s="9" t="s">
        <v>132</v>
      </c>
      <c r="N244" s="9" t="s">
        <v>22</v>
      </c>
      <c r="O244" s="9" t="s">
        <v>72</v>
      </c>
      <c r="P244" s="9">
        <v>21</v>
      </c>
      <c r="Q244" s="9" t="s">
        <v>73</v>
      </c>
      <c r="R244" s="47">
        <v>0</v>
      </c>
      <c r="S244" s="31"/>
      <c r="T244" s="31"/>
      <c r="U244" s="31"/>
      <c r="V244" s="31"/>
      <c r="W244" s="31"/>
      <c r="X244" s="31"/>
      <c r="Y244" s="31"/>
      <c r="Z244" s="31"/>
    </row>
    <row r="245" spans="1:26" ht="23.25" customHeight="1" x14ac:dyDescent="0.3">
      <c r="A245" s="39">
        <v>244</v>
      </c>
      <c r="B245" s="40">
        <v>10</v>
      </c>
      <c r="C245" s="9">
        <f t="shared" si="18"/>
        <v>120</v>
      </c>
      <c r="D245" s="9" t="s">
        <v>115</v>
      </c>
      <c r="E245" s="9">
        <v>0.5</v>
      </c>
      <c r="F245" s="9">
        <f t="shared" si="20"/>
        <v>6</v>
      </c>
      <c r="G245" s="9">
        <v>1</v>
      </c>
      <c r="H245" s="41" t="s">
        <v>83</v>
      </c>
      <c r="I245" s="42">
        <v>800000</v>
      </c>
      <c r="J245" s="42">
        <v>2800000</v>
      </c>
      <c r="K245" s="43" t="s">
        <v>70</v>
      </c>
      <c r="L245" s="9" t="s">
        <v>87</v>
      </c>
      <c r="M245" s="9" t="s">
        <v>132</v>
      </c>
      <c r="N245" s="9" t="s">
        <v>22</v>
      </c>
      <c r="O245" s="9" t="s">
        <v>10</v>
      </c>
      <c r="P245" s="9">
        <v>51</v>
      </c>
      <c r="Q245" s="9" t="s">
        <v>73</v>
      </c>
      <c r="R245" s="47">
        <v>0</v>
      </c>
      <c r="S245" s="31"/>
      <c r="T245" s="31"/>
      <c r="U245" s="31"/>
      <c r="V245" s="31"/>
      <c r="W245" s="31"/>
      <c r="X245" s="31"/>
      <c r="Y245" s="31"/>
      <c r="Z245" s="31"/>
    </row>
    <row r="246" spans="1:26" ht="23.25" customHeight="1" x14ac:dyDescent="0.3">
      <c r="A246" s="39">
        <v>245</v>
      </c>
      <c r="B246" s="40">
        <v>25</v>
      </c>
      <c r="C246" s="9">
        <f t="shared" si="18"/>
        <v>300</v>
      </c>
      <c r="D246" s="9" t="s">
        <v>68</v>
      </c>
      <c r="E246" s="9">
        <v>12</v>
      </c>
      <c r="F246" s="9">
        <f t="shared" si="20"/>
        <v>144</v>
      </c>
      <c r="G246" s="34">
        <v>0</v>
      </c>
      <c r="H246" s="41" t="s">
        <v>89</v>
      </c>
      <c r="I246" s="42">
        <v>2000000</v>
      </c>
      <c r="J246" s="42">
        <v>5000000</v>
      </c>
      <c r="K246" s="43" t="s">
        <v>84</v>
      </c>
      <c r="L246" s="9" t="s">
        <v>98</v>
      </c>
      <c r="M246" s="9" t="s">
        <v>132</v>
      </c>
      <c r="N246" s="9" t="s">
        <v>22</v>
      </c>
      <c r="O246" s="9" t="s">
        <v>72</v>
      </c>
      <c r="P246" s="9">
        <v>45</v>
      </c>
      <c r="Q246" s="9" t="s">
        <v>77</v>
      </c>
      <c r="R246" s="47">
        <v>2</v>
      </c>
      <c r="S246" s="31"/>
      <c r="T246" s="31"/>
      <c r="U246" s="31"/>
      <c r="V246" s="31"/>
      <c r="W246" s="31"/>
      <c r="X246" s="31"/>
      <c r="Y246" s="31"/>
      <c r="Z246" s="31"/>
    </row>
    <row r="247" spans="1:26" ht="23.25" customHeight="1" x14ac:dyDescent="0.3">
      <c r="A247" s="39">
        <v>246</v>
      </c>
      <c r="B247" s="40">
        <v>7</v>
      </c>
      <c r="C247" s="9">
        <f t="shared" si="18"/>
        <v>84</v>
      </c>
      <c r="D247" s="9" t="s">
        <v>115</v>
      </c>
      <c r="E247" s="9">
        <v>0.5</v>
      </c>
      <c r="F247" s="9">
        <f t="shared" si="20"/>
        <v>6</v>
      </c>
      <c r="G247" s="34">
        <v>0</v>
      </c>
      <c r="H247" s="41" t="s">
        <v>83</v>
      </c>
      <c r="I247" s="42">
        <v>1100000</v>
      </c>
      <c r="J247" s="42">
        <v>1100000</v>
      </c>
      <c r="K247" s="43" t="s">
        <v>70</v>
      </c>
      <c r="L247" s="9" t="s">
        <v>71</v>
      </c>
      <c r="M247" s="9" t="s">
        <v>132</v>
      </c>
      <c r="N247" s="9" t="s">
        <v>22</v>
      </c>
      <c r="O247" s="9" t="s">
        <v>10</v>
      </c>
      <c r="P247" s="9">
        <v>25</v>
      </c>
      <c r="Q247" s="9" t="s">
        <v>80</v>
      </c>
      <c r="R247" s="47">
        <v>0</v>
      </c>
      <c r="S247" s="31"/>
      <c r="T247" s="31"/>
      <c r="U247" s="31"/>
      <c r="V247" s="31"/>
      <c r="W247" s="31"/>
      <c r="X247" s="31"/>
      <c r="Y247" s="31"/>
      <c r="Z247" s="31"/>
    </row>
    <row r="248" spans="1:26" ht="23.25" customHeight="1" x14ac:dyDescent="0.3">
      <c r="A248" s="39">
        <v>247</v>
      </c>
      <c r="B248" s="40">
        <v>21</v>
      </c>
      <c r="C248" s="9">
        <f t="shared" si="18"/>
        <v>252</v>
      </c>
      <c r="D248" s="9" t="s">
        <v>115</v>
      </c>
      <c r="E248" s="9">
        <v>21</v>
      </c>
      <c r="F248" s="9">
        <f t="shared" si="20"/>
        <v>252</v>
      </c>
      <c r="G248" s="9">
        <v>1</v>
      </c>
      <c r="H248" s="41" t="s">
        <v>89</v>
      </c>
      <c r="I248" s="42">
        <v>700000</v>
      </c>
      <c r="J248" s="42">
        <v>1600000</v>
      </c>
      <c r="K248" s="43" t="s">
        <v>97</v>
      </c>
      <c r="L248" s="9" t="s">
        <v>197</v>
      </c>
      <c r="M248" s="9" t="s">
        <v>132</v>
      </c>
      <c r="N248" s="9" t="s">
        <v>22</v>
      </c>
      <c r="O248" s="9" t="s">
        <v>72</v>
      </c>
      <c r="P248" s="9">
        <v>45</v>
      </c>
      <c r="Q248" s="9" t="s">
        <v>73</v>
      </c>
      <c r="R248" s="47">
        <v>1</v>
      </c>
      <c r="S248" s="31"/>
      <c r="T248" s="31"/>
      <c r="U248" s="31"/>
      <c r="V248" s="31"/>
      <c r="W248" s="31"/>
      <c r="X248" s="31"/>
      <c r="Y248" s="31"/>
      <c r="Z248" s="31"/>
    </row>
    <row r="249" spans="1:26" ht="23.25" customHeight="1" x14ac:dyDescent="0.3">
      <c r="A249" s="39">
        <v>248</v>
      </c>
      <c r="B249" s="40">
        <v>25</v>
      </c>
      <c r="C249" s="9">
        <f t="shared" si="18"/>
        <v>300</v>
      </c>
      <c r="D249" s="9" t="s">
        <v>123</v>
      </c>
      <c r="E249" s="9">
        <v>6</v>
      </c>
      <c r="F249" s="9">
        <f t="shared" si="20"/>
        <v>72</v>
      </c>
      <c r="G249" s="9">
        <v>1</v>
      </c>
      <c r="H249" s="41" t="s">
        <v>198</v>
      </c>
      <c r="I249" s="42">
        <v>2000000</v>
      </c>
      <c r="J249" s="42">
        <v>4000000</v>
      </c>
      <c r="K249" s="43" t="s">
        <v>70</v>
      </c>
      <c r="L249" s="9" t="s">
        <v>199</v>
      </c>
      <c r="M249" s="9" t="s">
        <v>132</v>
      </c>
      <c r="N249" s="9" t="s">
        <v>22</v>
      </c>
      <c r="O249" s="9" t="s">
        <v>72</v>
      </c>
      <c r="P249" s="9">
        <v>40</v>
      </c>
      <c r="Q249" s="9" t="s">
        <v>77</v>
      </c>
      <c r="R249" s="47">
        <v>2</v>
      </c>
      <c r="S249" s="31"/>
      <c r="T249" s="31"/>
      <c r="U249" s="31"/>
      <c r="V249" s="31"/>
      <c r="W249" s="31"/>
      <c r="X249" s="31"/>
      <c r="Y249" s="31"/>
      <c r="Z249" s="31"/>
    </row>
    <row r="250" spans="1:26" ht="23.25" customHeight="1" x14ac:dyDescent="0.3">
      <c r="A250" s="39">
        <v>249</v>
      </c>
      <c r="B250" s="40">
        <v>21</v>
      </c>
      <c r="C250" s="9">
        <f t="shared" si="18"/>
        <v>252</v>
      </c>
      <c r="D250" s="9" t="s">
        <v>68</v>
      </c>
      <c r="E250" s="9">
        <v>21</v>
      </c>
      <c r="F250" s="9">
        <f t="shared" si="20"/>
        <v>252</v>
      </c>
      <c r="G250" s="9">
        <v>1</v>
      </c>
      <c r="H250" s="41" t="s">
        <v>200</v>
      </c>
      <c r="I250" s="42">
        <v>2000000</v>
      </c>
      <c r="J250" s="42">
        <v>1200000</v>
      </c>
      <c r="K250" s="43" t="s">
        <v>84</v>
      </c>
      <c r="L250" s="9" t="s">
        <v>98</v>
      </c>
      <c r="M250" s="9" t="s">
        <v>22</v>
      </c>
      <c r="N250" s="9" t="s">
        <v>22</v>
      </c>
      <c r="O250" s="9" t="s">
        <v>10</v>
      </c>
      <c r="P250" s="9">
        <v>46</v>
      </c>
      <c r="Q250" s="9" t="s">
        <v>77</v>
      </c>
      <c r="R250" s="47">
        <v>3</v>
      </c>
      <c r="S250" s="31"/>
      <c r="T250" s="31"/>
      <c r="U250" s="31"/>
      <c r="V250" s="31"/>
      <c r="W250" s="31"/>
      <c r="X250" s="31"/>
      <c r="Y250" s="31"/>
      <c r="Z250" s="31"/>
    </row>
    <row r="251" spans="1:26" ht="23.25" customHeight="1" x14ac:dyDescent="0.3">
      <c r="A251" s="39">
        <v>250</v>
      </c>
      <c r="B251" s="40">
        <v>12</v>
      </c>
      <c r="C251" s="9">
        <f t="shared" si="18"/>
        <v>144</v>
      </c>
      <c r="D251" s="9" t="s">
        <v>74</v>
      </c>
      <c r="E251" s="9">
        <v>6</v>
      </c>
      <c r="F251" s="9">
        <f t="shared" si="20"/>
        <v>72</v>
      </c>
      <c r="G251" s="9">
        <v>1</v>
      </c>
      <c r="H251" s="41" t="s">
        <v>201</v>
      </c>
      <c r="I251" s="42">
        <v>2500000</v>
      </c>
      <c r="J251" s="42">
        <v>4000000</v>
      </c>
      <c r="K251" s="43" t="s">
        <v>92</v>
      </c>
      <c r="L251" s="9" t="s">
        <v>202</v>
      </c>
      <c r="M251" s="9" t="s">
        <v>132</v>
      </c>
      <c r="N251" s="9" t="s">
        <v>22</v>
      </c>
      <c r="O251" s="9" t="s">
        <v>10</v>
      </c>
      <c r="P251" s="9">
        <v>31</v>
      </c>
      <c r="Q251" s="9" t="s">
        <v>77</v>
      </c>
      <c r="R251" s="47">
        <v>0</v>
      </c>
      <c r="S251" s="31"/>
      <c r="T251" s="31"/>
      <c r="U251" s="31"/>
      <c r="V251" s="31"/>
      <c r="W251" s="31"/>
      <c r="X251" s="31"/>
      <c r="Y251" s="31"/>
      <c r="Z251" s="31"/>
    </row>
    <row r="252" spans="1:26" ht="23.25" customHeight="1" x14ac:dyDescent="0.3">
      <c r="A252" s="39">
        <v>251</v>
      </c>
      <c r="B252" s="40">
        <v>24</v>
      </c>
      <c r="C252" s="9">
        <f t="shared" si="18"/>
        <v>288</v>
      </c>
      <c r="D252" s="9" t="s">
        <v>68</v>
      </c>
      <c r="E252" s="9">
        <v>1</v>
      </c>
      <c r="F252" s="9">
        <f t="shared" si="20"/>
        <v>12</v>
      </c>
      <c r="G252" s="34">
        <v>0</v>
      </c>
      <c r="H252" s="41" t="s">
        <v>127</v>
      </c>
      <c r="I252" s="42">
        <v>600000</v>
      </c>
      <c r="J252" s="42">
        <v>908000</v>
      </c>
      <c r="K252" s="43" t="s">
        <v>97</v>
      </c>
      <c r="L252" s="9" t="s">
        <v>71</v>
      </c>
      <c r="M252" s="9" t="s">
        <v>22</v>
      </c>
      <c r="N252" s="9" t="s">
        <v>22</v>
      </c>
      <c r="O252" s="9" t="s">
        <v>10</v>
      </c>
      <c r="P252" s="9">
        <v>43</v>
      </c>
      <c r="Q252" s="9" t="s">
        <v>80</v>
      </c>
      <c r="R252" s="47">
        <v>1</v>
      </c>
      <c r="S252" s="31"/>
      <c r="T252" s="31"/>
      <c r="U252" s="31"/>
      <c r="V252" s="31"/>
      <c r="W252" s="31"/>
      <c r="X252" s="31"/>
      <c r="Y252" s="31"/>
      <c r="Z252" s="31"/>
    </row>
    <row r="253" spans="1:26" ht="23.25" customHeight="1" x14ac:dyDescent="0.3">
      <c r="A253" s="39">
        <v>252</v>
      </c>
      <c r="B253" s="40">
        <v>12</v>
      </c>
      <c r="C253" s="9">
        <f t="shared" si="18"/>
        <v>144</v>
      </c>
      <c r="D253" s="9" t="s">
        <v>68</v>
      </c>
      <c r="E253" s="9">
        <v>12</v>
      </c>
      <c r="F253" s="9">
        <f t="shared" si="20"/>
        <v>144</v>
      </c>
      <c r="G253" s="34">
        <v>0</v>
      </c>
      <c r="H253" s="35" t="s">
        <v>69</v>
      </c>
      <c r="I253" s="42">
        <v>1400000</v>
      </c>
      <c r="J253" s="42">
        <v>2000000</v>
      </c>
      <c r="K253" s="43" t="s">
        <v>92</v>
      </c>
      <c r="L253" s="9" t="s">
        <v>71</v>
      </c>
      <c r="M253" s="9" t="s">
        <v>132</v>
      </c>
      <c r="N253" s="9" t="s">
        <v>22</v>
      </c>
      <c r="O253" s="9" t="s">
        <v>72</v>
      </c>
      <c r="P253" s="9">
        <v>29</v>
      </c>
      <c r="Q253" s="9" t="s">
        <v>73</v>
      </c>
      <c r="R253" s="47">
        <v>1</v>
      </c>
      <c r="S253" s="31"/>
      <c r="T253" s="31"/>
      <c r="U253" s="31"/>
      <c r="V253" s="31"/>
      <c r="W253" s="31"/>
      <c r="X253" s="31"/>
      <c r="Y253" s="31"/>
      <c r="Z253" s="31"/>
    </row>
    <row r="254" spans="1:26" ht="23.25" customHeight="1" x14ac:dyDescent="0.3">
      <c r="A254" s="39">
        <v>253</v>
      </c>
      <c r="B254" s="40">
        <v>24</v>
      </c>
      <c r="C254" s="9">
        <f t="shared" si="18"/>
        <v>288</v>
      </c>
      <c r="D254" s="9" t="s">
        <v>68</v>
      </c>
      <c r="E254" s="9">
        <v>24</v>
      </c>
      <c r="F254" s="9">
        <f t="shared" si="20"/>
        <v>288</v>
      </c>
      <c r="G254" s="34">
        <v>0</v>
      </c>
      <c r="H254" s="35" t="s">
        <v>136</v>
      </c>
      <c r="I254" s="42">
        <v>2000000</v>
      </c>
      <c r="J254" s="42">
        <v>2500000</v>
      </c>
      <c r="K254" s="43" t="s">
        <v>100</v>
      </c>
      <c r="L254" s="9" t="s">
        <v>138</v>
      </c>
      <c r="M254" s="9" t="s">
        <v>132</v>
      </c>
      <c r="N254" s="9" t="s">
        <v>22</v>
      </c>
      <c r="O254" s="9" t="s">
        <v>72</v>
      </c>
      <c r="P254" s="9">
        <v>41</v>
      </c>
      <c r="Q254" s="9" t="s">
        <v>73</v>
      </c>
      <c r="R254" s="47">
        <v>5</v>
      </c>
      <c r="S254" s="31"/>
      <c r="T254" s="31"/>
      <c r="U254" s="31"/>
      <c r="V254" s="31"/>
      <c r="W254" s="31"/>
      <c r="X254" s="31"/>
      <c r="Y254" s="31"/>
      <c r="Z254" s="31"/>
    </row>
    <row r="255" spans="1:26" ht="23.25" customHeight="1" x14ac:dyDescent="0.3">
      <c r="A255" s="39">
        <v>254</v>
      </c>
      <c r="B255" s="40">
        <v>6</v>
      </c>
      <c r="C255" s="9">
        <f t="shared" si="18"/>
        <v>72</v>
      </c>
      <c r="D255" s="9" t="s">
        <v>68</v>
      </c>
      <c r="E255" s="9">
        <v>2</v>
      </c>
      <c r="F255" s="9">
        <f t="shared" si="20"/>
        <v>24</v>
      </c>
      <c r="G255" s="9">
        <v>1</v>
      </c>
      <c r="H255" s="41" t="s">
        <v>83</v>
      </c>
      <c r="I255" s="42">
        <v>300000</v>
      </c>
      <c r="J255" s="42">
        <v>908000</v>
      </c>
      <c r="K255" s="43" t="s">
        <v>92</v>
      </c>
      <c r="L255" s="9" t="s">
        <v>71</v>
      </c>
      <c r="M255" s="9" t="s">
        <v>22</v>
      </c>
      <c r="N255" s="9" t="s">
        <v>22</v>
      </c>
      <c r="O255" s="9" t="s">
        <v>10</v>
      </c>
      <c r="P255" s="9">
        <v>26</v>
      </c>
      <c r="Q255" s="9" t="s">
        <v>73</v>
      </c>
      <c r="R255" s="47">
        <v>0</v>
      </c>
      <c r="S255" s="31"/>
      <c r="T255" s="31"/>
      <c r="U255" s="31"/>
      <c r="V255" s="31"/>
      <c r="W255" s="31"/>
      <c r="X255" s="31"/>
      <c r="Y255" s="31"/>
      <c r="Z255" s="31"/>
    </row>
    <row r="256" spans="1:26" ht="23.25" customHeight="1" x14ac:dyDescent="0.3">
      <c r="A256" s="39">
        <v>255</v>
      </c>
      <c r="B256" s="40">
        <v>18</v>
      </c>
      <c r="C256" s="9">
        <f t="shared" si="18"/>
        <v>216</v>
      </c>
      <c r="D256" s="9" t="s">
        <v>68</v>
      </c>
      <c r="E256" s="9">
        <v>2</v>
      </c>
      <c r="F256" s="9">
        <f t="shared" si="20"/>
        <v>24</v>
      </c>
      <c r="G256" s="9">
        <v>1</v>
      </c>
      <c r="H256" s="35" t="s">
        <v>69</v>
      </c>
      <c r="I256" s="42">
        <v>800000</v>
      </c>
      <c r="J256" s="42">
        <v>908000</v>
      </c>
      <c r="K256" s="43" t="s">
        <v>97</v>
      </c>
      <c r="L256" s="9" t="s">
        <v>143</v>
      </c>
      <c r="M256" s="9" t="s">
        <v>132</v>
      </c>
      <c r="N256" s="9" t="s">
        <v>22</v>
      </c>
      <c r="O256" s="9" t="s">
        <v>10</v>
      </c>
      <c r="P256" s="9">
        <v>34</v>
      </c>
      <c r="Q256" s="9" t="s">
        <v>73</v>
      </c>
      <c r="R256" s="47">
        <v>1</v>
      </c>
      <c r="S256" s="31"/>
      <c r="T256" s="31"/>
      <c r="U256" s="31"/>
      <c r="V256" s="31"/>
      <c r="W256" s="31"/>
      <c r="X256" s="31"/>
      <c r="Y256" s="31"/>
      <c r="Z256" s="31"/>
    </row>
    <row r="257" spans="1:26" ht="23.25" customHeight="1" x14ac:dyDescent="0.3">
      <c r="A257" s="39">
        <v>256</v>
      </c>
      <c r="B257" s="40">
        <v>8</v>
      </c>
      <c r="C257" s="9">
        <f t="shared" si="18"/>
        <v>96</v>
      </c>
      <c r="D257" s="9" t="s">
        <v>68</v>
      </c>
      <c r="E257" s="9">
        <v>2</v>
      </c>
      <c r="F257" s="9">
        <f t="shared" si="20"/>
        <v>24</v>
      </c>
      <c r="G257" s="9">
        <v>1</v>
      </c>
      <c r="H257" s="41" t="s">
        <v>83</v>
      </c>
      <c r="I257" s="42">
        <v>908000</v>
      </c>
      <c r="J257" s="42">
        <v>908000</v>
      </c>
      <c r="K257" s="43" t="s">
        <v>97</v>
      </c>
      <c r="L257" s="9" t="s">
        <v>203</v>
      </c>
      <c r="M257" s="9" t="s">
        <v>132</v>
      </c>
      <c r="N257" s="9" t="s">
        <v>132</v>
      </c>
      <c r="O257" s="9" t="s">
        <v>10</v>
      </c>
      <c r="P257" s="9">
        <v>30</v>
      </c>
      <c r="Q257" s="9" t="s">
        <v>77</v>
      </c>
      <c r="R257" s="47">
        <v>1</v>
      </c>
      <c r="S257" s="31"/>
      <c r="T257" s="31"/>
      <c r="U257" s="31"/>
      <c r="V257" s="31"/>
      <c r="W257" s="31"/>
      <c r="X257" s="31"/>
      <c r="Y257" s="31"/>
      <c r="Z257" s="31"/>
    </row>
    <row r="258" spans="1:26" ht="23.25" customHeight="1" x14ac:dyDescent="0.3">
      <c r="A258" s="39">
        <v>257</v>
      </c>
      <c r="B258" s="40">
        <v>8</v>
      </c>
      <c r="C258" s="9">
        <f t="shared" si="18"/>
        <v>96</v>
      </c>
      <c r="D258" s="9" t="s">
        <v>68</v>
      </c>
      <c r="E258" s="9">
        <v>8</v>
      </c>
      <c r="F258" s="9">
        <f t="shared" si="20"/>
        <v>96</v>
      </c>
      <c r="G258" s="34">
        <v>0</v>
      </c>
      <c r="H258" s="35" t="s">
        <v>69</v>
      </c>
      <c r="I258" s="42">
        <v>700000</v>
      </c>
      <c r="J258" s="42">
        <v>908000</v>
      </c>
      <c r="K258" s="43" t="s">
        <v>97</v>
      </c>
      <c r="L258" s="9" t="s">
        <v>107</v>
      </c>
      <c r="M258" s="9" t="s">
        <v>22</v>
      </c>
      <c r="N258" s="9" t="s">
        <v>22</v>
      </c>
      <c r="O258" s="9" t="s">
        <v>10</v>
      </c>
      <c r="P258" s="9">
        <v>28</v>
      </c>
      <c r="Q258" s="9" t="s">
        <v>73</v>
      </c>
      <c r="R258" s="47">
        <v>1</v>
      </c>
      <c r="S258" s="31"/>
      <c r="T258" s="31"/>
      <c r="U258" s="31"/>
      <c r="V258" s="31"/>
      <c r="W258" s="31"/>
      <c r="X258" s="31"/>
      <c r="Y258" s="31"/>
      <c r="Z258" s="31"/>
    </row>
    <row r="259" spans="1:26" ht="23.25" customHeight="1" x14ac:dyDescent="0.3">
      <c r="A259" s="39">
        <v>258</v>
      </c>
      <c r="B259" s="40">
        <v>10</v>
      </c>
      <c r="C259" s="9">
        <f t="shared" si="18"/>
        <v>120</v>
      </c>
      <c r="D259" s="9" t="s">
        <v>68</v>
      </c>
      <c r="E259" s="9">
        <v>4</v>
      </c>
      <c r="F259" s="9">
        <f t="shared" si="20"/>
        <v>48</v>
      </c>
      <c r="G259" s="9">
        <v>1</v>
      </c>
      <c r="H259" s="35" t="s">
        <v>69</v>
      </c>
      <c r="I259" s="42">
        <v>1500000</v>
      </c>
      <c r="J259" s="42">
        <v>2000000</v>
      </c>
      <c r="K259" s="43" t="s">
        <v>70</v>
      </c>
      <c r="L259" s="9" t="s">
        <v>120</v>
      </c>
      <c r="M259" s="9" t="s">
        <v>132</v>
      </c>
      <c r="N259" s="9" t="s">
        <v>22</v>
      </c>
      <c r="O259" s="9" t="s">
        <v>10</v>
      </c>
      <c r="P259" s="9">
        <v>25</v>
      </c>
      <c r="Q259" s="9" t="s">
        <v>73</v>
      </c>
      <c r="R259" s="47">
        <v>1</v>
      </c>
      <c r="S259" s="31"/>
      <c r="T259" s="31"/>
      <c r="U259" s="31"/>
      <c r="V259" s="31"/>
      <c r="W259" s="31"/>
      <c r="X259" s="31"/>
      <c r="Y259" s="31"/>
      <c r="Z259" s="31"/>
    </row>
    <row r="260" spans="1:26" ht="23.25" customHeight="1" x14ac:dyDescent="0.3">
      <c r="A260" s="39">
        <v>259</v>
      </c>
      <c r="B260" s="40">
        <v>40</v>
      </c>
      <c r="C260" s="9">
        <f t="shared" si="18"/>
        <v>480</v>
      </c>
      <c r="D260" s="9" t="s">
        <v>68</v>
      </c>
      <c r="E260" s="9">
        <v>20</v>
      </c>
      <c r="F260" s="9">
        <f t="shared" si="20"/>
        <v>240</v>
      </c>
      <c r="G260" s="34">
        <v>0</v>
      </c>
      <c r="H260" s="35" t="s">
        <v>151</v>
      </c>
      <c r="I260" s="42">
        <v>5000000</v>
      </c>
      <c r="J260" s="42">
        <v>10000000</v>
      </c>
      <c r="K260" s="43" t="s">
        <v>84</v>
      </c>
      <c r="L260" s="9" t="s">
        <v>98</v>
      </c>
      <c r="M260" s="9" t="s">
        <v>132</v>
      </c>
      <c r="N260" s="9" t="s">
        <v>22</v>
      </c>
      <c r="O260" s="9" t="s">
        <v>72</v>
      </c>
      <c r="P260" s="9">
        <v>59</v>
      </c>
      <c r="Q260" s="9" t="s">
        <v>77</v>
      </c>
      <c r="R260" s="47">
        <v>5</v>
      </c>
      <c r="S260" s="31"/>
      <c r="T260" s="31"/>
      <c r="U260" s="31"/>
      <c r="V260" s="31"/>
      <c r="W260" s="31"/>
      <c r="X260" s="31"/>
      <c r="Y260" s="31"/>
      <c r="Z260" s="31"/>
    </row>
    <row r="261" spans="1:26" ht="23.25" customHeight="1" x14ac:dyDescent="0.3">
      <c r="A261" s="39">
        <v>260</v>
      </c>
      <c r="B261" s="40">
        <v>10</v>
      </c>
      <c r="C261" s="9">
        <f t="shared" si="18"/>
        <v>120</v>
      </c>
      <c r="D261" s="9" t="s">
        <v>68</v>
      </c>
      <c r="E261" s="9">
        <v>3</v>
      </c>
      <c r="F261" s="9">
        <f t="shared" si="20"/>
        <v>36</v>
      </c>
      <c r="G261" s="9">
        <v>1</v>
      </c>
      <c r="H261" s="35" t="s">
        <v>69</v>
      </c>
      <c r="I261" s="42">
        <v>1000000</v>
      </c>
      <c r="J261" s="42">
        <v>1000000</v>
      </c>
      <c r="K261" s="43" t="s">
        <v>97</v>
      </c>
      <c r="L261" s="9" t="s">
        <v>106</v>
      </c>
      <c r="M261" s="9" t="s">
        <v>22</v>
      </c>
      <c r="N261" s="9" t="s">
        <v>22</v>
      </c>
      <c r="O261" s="9" t="s">
        <v>72</v>
      </c>
      <c r="P261" s="9">
        <v>26</v>
      </c>
      <c r="Q261" s="9" t="s">
        <v>73</v>
      </c>
      <c r="R261" s="47">
        <v>1</v>
      </c>
      <c r="S261" s="31"/>
      <c r="T261" s="31"/>
      <c r="U261" s="31"/>
      <c r="V261" s="31"/>
      <c r="W261" s="31"/>
      <c r="X261" s="31"/>
      <c r="Y261" s="31"/>
      <c r="Z261" s="31"/>
    </row>
    <row r="262" spans="1:26" ht="23.25" customHeight="1" x14ac:dyDescent="0.3">
      <c r="A262" s="39">
        <v>261</v>
      </c>
      <c r="B262" s="40">
        <v>5</v>
      </c>
      <c r="C262" s="9">
        <f t="shared" si="18"/>
        <v>60</v>
      </c>
      <c r="D262" s="9" t="s">
        <v>68</v>
      </c>
      <c r="E262" s="9">
        <v>5</v>
      </c>
      <c r="F262" s="9">
        <f t="shared" si="20"/>
        <v>60</v>
      </c>
      <c r="G262" s="9">
        <v>1</v>
      </c>
      <c r="H262" s="35" t="s">
        <v>69</v>
      </c>
      <c r="I262" s="42">
        <v>700000</v>
      </c>
      <c r="J262" s="42">
        <v>1000000</v>
      </c>
      <c r="K262" s="43" t="s">
        <v>84</v>
      </c>
      <c r="L262" s="9" t="s">
        <v>98</v>
      </c>
      <c r="M262" s="9" t="s">
        <v>22</v>
      </c>
      <c r="N262" s="9" t="s">
        <v>22</v>
      </c>
      <c r="O262" s="9" t="s">
        <v>10</v>
      </c>
      <c r="P262" s="9">
        <v>24</v>
      </c>
      <c r="Q262" s="9" t="s">
        <v>73</v>
      </c>
      <c r="R262" s="47">
        <v>0</v>
      </c>
      <c r="S262" s="31"/>
      <c r="T262" s="31"/>
      <c r="U262" s="31"/>
      <c r="V262" s="31"/>
      <c r="W262" s="31"/>
      <c r="X262" s="31"/>
      <c r="Y262" s="31"/>
      <c r="Z262" s="31"/>
    </row>
    <row r="263" spans="1:26" ht="23.25" customHeight="1" x14ac:dyDescent="0.3">
      <c r="A263" s="39">
        <v>262</v>
      </c>
      <c r="B263" s="40">
        <v>5</v>
      </c>
      <c r="C263" s="9">
        <f t="shared" si="18"/>
        <v>60</v>
      </c>
      <c r="D263" s="9" t="s">
        <v>68</v>
      </c>
      <c r="E263" s="9">
        <v>5</v>
      </c>
      <c r="F263" s="9">
        <f t="shared" si="20"/>
        <v>60</v>
      </c>
      <c r="G263" s="9">
        <v>1</v>
      </c>
      <c r="H263" s="35" t="s">
        <v>69</v>
      </c>
      <c r="I263" s="42">
        <v>908000</v>
      </c>
      <c r="J263" s="42">
        <v>908000</v>
      </c>
      <c r="K263" s="43" t="s">
        <v>84</v>
      </c>
      <c r="L263" s="9" t="s">
        <v>98</v>
      </c>
      <c r="M263" s="9" t="s">
        <v>22</v>
      </c>
      <c r="N263" s="9" t="s">
        <v>22</v>
      </c>
      <c r="O263" s="9" t="s">
        <v>72</v>
      </c>
      <c r="P263" s="9">
        <v>17</v>
      </c>
      <c r="Q263" s="9" t="s">
        <v>73</v>
      </c>
      <c r="R263" s="47">
        <v>0</v>
      </c>
      <c r="S263" s="31"/>
      <c r="T263" s="31"/>
      <c r="U263" s="31"/>
      <c r="V263" s="31"/>
      <c r="W263" s="31"/>
      <c r="X263" s="31"/>
      <c r="Y263" s="31"/>
      <c r="Z263" s="31"/>
    </row>
    <row r="264" spans="1:26" ht="23.25" customHeight="1" x14ac:dyDescent="0.3">
      <c r="A264" s="39">
        <v>263</v>
      </c>
      <c r="B264" s="40">
        <v>2</v>
      </c>
      <c r="C264" s="9">
        <f t="shared" si="18"/>
        <v>24</v>
      </c>
      <c r="D264" s="9" t="s">
        <v>68</v>
      </c>
      <c r="E264" s="9">
        <v>2</v>
      </c>
      <c r="F264" s="9">
        <f t="shared" si="20"/>
        <v>24</v>
      </c>
      <c r="G264" s="9">
        <v>1</v>
      </c>
      <c r="H264" s="35" t="s">
        <v>69</v>
      </c>
      <c r="I264" s="42">
        <v>900000</v>
      </c>
      <c r="J264" s="42">
        <v>908000</v>
      </c>
      <c r="K264" s="43" t="s">
        <v>97</v>
      </c>
      <c r="L264" s="9" t="s">
        <v>90</v>
      </c>
      <c r="M264" s="9" t="s">
        <v>132</v>
      </c>
      <c r="N264" s="9" t="s">
        <v>22</v>
      </c>
      <c r="O264" s="9" t="s">
        <v>10</v>
      </c>
      <c r="P264" s="9">
        <v>18</v>
      </c>
      <c r="Q264" s="9" t="s">
        <v>73</v>
      </c>
      <c r="R264" s="47">
        <v>0</v>
      </c>
      <c r="S264" s="31"/>
      <c r="T264" s="31"/>
      <c r="U264" s="31"/>
      <c r="V264" s="31"/>
      <c r="W264" s="31"/>
      <c r="X264" s="31"/>
      <c r="Y264" s="31"/>
      <c r="Z264" s="31"/>
    </row>
    <row r="265" spans="1:26" ht="23.25" customHeight="1" x14ac:dyDescent="0.3">
      <c r="A265" s="39">
        <v>264</v>
      </c>
      <c r="B265" s="40">
        <v>50</v>
      </c>
      <c r="C265" s="9">
        <f t="shared" si="18"/>
        <v>600</v>
      </c>
      <c r="D265" s="9" t="s">
        <v>68</v>
      </c>
      <c r="E265" s="9">
        <v>25</v>
      </c>
      <c r="F265" s="9">
        <f t="shared" si="20"/>
        <v>300</v>
      </c>
      <c r="G265" s="34">
        <v>0</v>
      </c>
      <c r="H265" s="41" t="s">
        <v>89</v>
      </c>
      <c r="I265" s="42">
        <v>2000000</v>
      </c>
      <c r="J265" s="42">
        <v>2000000</v>
      </c>
      <c r="K265" s="43" t="s">
        <v>114</v>
      </c>
      <c r="L265" s="9" t="s">
        <v>98</v>
      </c>
      <c r="M265" s="9" t="s">
        <v>22</v>
      </c>
      <c r="N265" s="9" t="s">
        <v>22</v>
      </c>
      <c r="O265" s="9" t="s">
        <v>72</v>
      </c>
      <c r="P265" s="9">
        <v>57</v>
      </c>
      <c r="Q265" s="9" t="s">
        <v>80</v>
      </c>
      <c r="R265" s="47">
        <v>3</v>
      </c>
      <c r="S265" s="31"/>
      <c r="T265" s="31"/>
      <c r="U265" s="31"/>
      <c r="V265" s="31"/>
      <c r="W265" s="31"/>
      <c r="X265" s="31"/>
      <c r="Y265" s="31"/>
      <c r="Z265" s="31"/>
    </row>
    <row r="266" spans="1:26" ht="23.25" customHeight="1" x14ac:dyDescent="0.3">
      <c r="A266" s="39">
        <v>265</v>
      </c>
      <c r="B266" s="40">
        <v>19</v>
      </c>
      <c r="C266" s="9">
        <f t="shared" si="18"/>
        <v>228</v>
      </c>
      <c r="D266" s="9" t="s">
        <v>68</v>
      </c>
      <c r="E266" s="9">
        <v>19</v>
      </c>
      <c r="F266" s="9">
        <f t="shared" si="20"/>
        <v>228</v>
      </c>
      <c r="G266" s="9">
        <v>1</v>
      </c>
      <c r="H266" s="35" t="s">
        <v>69</v>
      </c>
      <c r="I266" s="42">
        <v>1600000</v>
      </c>
      <c r="J266" s="42">
        <v>1600000</v>
      </c>
      <c r="K266" s="43" t="s">
        <v>97</v>
      </c>
      <c r="L266" s="9" t="s">
        <v>143</v>
      </c>
      <c r="M266" s="9" t="s">
        <v>22</v>
      </c>
      <c r="N266" s="9" t="s">
        <v>22</v>
      </c>
      <c r="O266" s="9" t="s">
        <v>72</v>
      </c>
      <c r="P266" s="9">
        <v>32</v>
      </c>
      <c r="Q266" s="9" t="s">
        <v>73</v>
      </c>
      <c r="R266" s="47">
        <v>0</v>
      </c>
      <c r="S266" s="31"/>
      <c r="T266" s="31"/>
      <c r="U266" s="31"/>
      <c r="V266" s="31"/>
      <c r="W266" s="31"/>
      <c r="X266" s="31"/>
      <c r="Y266" s="31"/>
      <c r="Z266" s="31"/>
    </row>
    <row r="267" spans="1:26" ht="23.25" customHeight="1" x14ac:dyDescent="0.3">
      <c r="A267" s="39">
        <v>266</v>
      </c>
      <c r="B267" s="40">
        <v>15</v>
      </c>
      <c r="C267" s="9">
        <f t="shared" si="18"/>
        <v>180</v>
      </c>
      <c r="D267" s="9" t="s">
        <v>68</v>
      </c>
      <c r="E267" s="9">
        <v>10</v>
      </c>
      <c r="F267" s="9">
        <f t="shared" si="20"/>
        <v>120</v>
      </c>
      <c r="G267" s="9">
        <v>1</v>
      </c>
      <c r="H267" s="41" t="s">
        <v>89</v>
      </c>
      <c r="I267" s="42">
        <v>1000000</v>
      </c>
      <c r="J267" s="42">
        <v>1800000</v>
      </c>
      <c r="K267" s="43" t="s">
        <v>70</v>
      </c>
      <c r="L267" s="9" t="s">
        <v>93</v>
      </c>
      <c r="M267" s="9" t="s">
        <v>22</v>
      </c>
      <c r="N267" s="9" t="s">
        <v>22</v>
      </c>
      <c r="O267" s="9" t="s">
        <v>72</v>
      </c>
      <c r="P267" s="9">
        <v>32</v>
      </c>
      <c r="Q267" s="9" t="s">
        <v>73</v>
      </c>
      <c r="R267" s="47">
        <v>0</v>
      </c>
      <c r="S267" s="31"/>
      <c r="T267" s="31"/>
      <c r="U267" s="31"/>
      <c r="V267" s="31"/>
      <c r="W267" s="31"/>
      <c r="X267" s="31"/>
      <c r="Y267" s="31"/>
      <c r="Z267" s="31"/>
    </row>
    <row r="268" spans="1:26" ht="23.25" customHeight="1" x14ac:dyDescent="0.3">
      <c r="A268" s="39">
        <v>267</v>
      </c>
      <c r="B268" s="40">
        <v>8</v>
      </c>
      <c r="C268" s="9">
        <f t="shared" si="18"/>
        <v>96</v>
      </c>
      <c r="D268" s="9" t="s">
        <v>68</v>
      </c>
      <c r="E268" s="9">
        <v>8</v>
      </c>
      <c r="F268" s="9">
        <f t="shared" si="20"/>
        <v>96</v>
      </c>
      <c r="G268" s="9">
        <v>1</v>
      </c>
      <c r="H268" s="35" t="s">
        <v>69</v>
      </c>
      <c r="I268" s="42">
        <v>1000000</v>
      </c>
      <c r="J268" s="42">
        <v>1000000</v>
      </c>
      <c r="K268" s="43" t="s">
        <v>84</v>
      </c>
      <c r="L268" s="9" t="s">
        <v>98</v>
      </c>
      <c r="M268" s="9" t="s">
        <v>22</v>
      </c>
      <c r="N268" s="9" t="s">
        <v>22</v>
      </c>
      <c r="O268" s="9" t="s">
        <v>10</v>
      </c>
      <c r="P268" s="9">
        <v>27</v>
      </c>
      <c r="Q268" s="9" t="s">
        <v>73</v>
      </c>
      <c r="R268" s="47">
        <v>0</v>
      </c>
      <c r="S268" s="31"/>
      <c r="T268" s="31"/>
      <c r="U268" s="31"/>
      <c r="V268" s="31"/>
      <c r="W268" s="31"/>
      <c r="X268" s="31"/>
      <c r="Y268" s="31"/>
      <c r="Z268" s="31"/>
    </row>
    <row r="269" spans="1:26" ht="23.25" customHeight="1" x14ac:dyDescent="0.3">
      <c r="A269" s="39">
        <v>268</v>
      </c>
      <c r="B269" s="40">
        <v>15</v>
      </c>
      <c r="C269" s="9">
        <f t="shared" si="18"/>
        <v>180</v>
      </c>
      <c r="D269" s="9" t="s">
        <v>68</v>
      </c>
      <c r="E269" s="9">
        <v>15</v>
      </c>
      <c r="F269" s="9">
        <f t="shared" si="20"/>
        <v>180</v>
      </c>
      <c r="G269" s="9">
        <v>1</v>
      </c>
      <c r="H269" s="41" t="s">
        <v>89</v>
      </c>
      <c r="I269" s="42">
        <v>2000000</v>
      </c>
      <c r="J269" s="42">
        <v>3000000</v>
      </c>
      <c r="K269" s="43" t="s">
        <v>70</v>
      </c>
      <c r="L269" s="9" t="s">
        <v>79</v>
      </c>
      <c r="M269" s="9" t="s">
        <v>132</v>
      </c>
      <c r="N269" s="9" t="s">
        <v>22</v>
      </c>
      <c r="O269" s="9" t="s">
        <v>10</v>
      </c>
      <c r="P269" s="9">
        <v>32</v>
      </c>
      <c r="Q269" s="9" t="s">
        <v>73</v>
      </c>
      <c r="R269" s="47">
        <v>1</v>
      </c>
      <c r="S269" s="31"/>
      <c r="T269" s="31"/>
      <c r="U269" s="31"/>
      <c r="V269" s="31"/>
      <c r="W269" s="31"/>
      <c r="X269" s="31"/>
      <c r="Y269" s="31"/>
      <c r="Z269" s="31"/>
    </row>
    <row r="270" spans="1:26" ht="23.25" customHeight="1" x14ac:dyDescent="0.3">
      <c r="A270" s="39">
        <v>269</v>
      </c>
      <c r="B270" s="40">
        <v>7</v>
      </c>
      <c r="C270" s="9">
        <f t="shared" si="18"/>
        <v>84</v>
      </c>
      <c r="D270" s="9" t="s">
        <v>115</v>
      </c>
      <c r="E270" s="9">
        <v>6</v>
      </c>
      <c r="F270" s="9">
        <f t="shared" si="20"/>
        <v>72</v>
      </c>
      <c r="G270" s="34">
        <v>0</v>
      </c>
      <c r="H270" s="35" t="s">
        <v>151</v>
      </c>
      <c r="I270" s="42">
        <v>1000000</v>
      </c>
      <c r="J270" s="42">
        <v>1500000</v>
      </c>
      <c r="K270" s="43" t="s">
        <v>97</v>
      </c>
      <c r="L270" s="9" t="s">
        <v>193</v>
      </c>
      <c r="M270" s="9" t="s">
        <v>22</v>
      </c>
      <c r="N270" s="9" t="s">
        <v>22</v>
      </c>
      <c r="O270" s="9" t="s">
        <v>72</v>
      </c>
      <c r="P270" s="9">
        <v>27</v>
      </c>
      <c r="Q270" s="9" t="s">
        <v>77</v>
      </c>
      <c r="R270" s="47">
        <v>2</v>
      </c>
      <c r="S270" s="31"/>
      <c r="T270" s="31"/>
      <c r="U270" s="31"/>
      <c r="V270" s="31"/>
      <c r="W270" s="31"/>
      <c r="X270" s="31"/>
      <c r="Y270" s="31"/>
      <c r="Z270" s="31"/>
    </row>
    <row r="271" spans="1:26" ht="23.25" customHeight="1" x14ac:dyDescent="0.3">
      <c r="A271" s="39">
        <v>270</v>
      </c>
      <c r="B271" s="40">
        <v>50</v>
      </c>
      <c r="C271" s="9">
        <f t="shared" si="18"/>
        <v>600</v>
      </c>
      <c r="D271" s="9" t="s">
        <v>99</v>
      </c>
      <c r="E271" s="9">
        <v>50</v>
      </c>
      <c r="F271" s="9">
        <f t="shared" si="20"/>
        <v>600</v>
      </c>
      <c r="G271" s="34">
        <v>0</v>
      </c>
      <c r="H271" s="41" t="s">
        <v>89</v>
      </c>
      <c r="I271" s="42">
        <v>800000</v>
      </c>
      <c r="J271" s="42">
        <v>1400000</v>
      </c>
      <c r="K271" s="43" t="s">
        <v>114</v>
      </c>
      <c r="L271" s="9" t="s">
        <v>98</v>
      </c>
      <c r="M271" s="9" t="s">
        <v>22</v>
      </c>
      <c r="N271" s="9" t="s">
        <v>22</v>
      </c>
      <c r="O271" s="9" t="s">
        <v>72</v>
      </c>
      <c r="P271" s="9">
        <v>63</v>
      </c>
      <c r="Q271" s="9" t="s">
        <v>77</v>
      </c>
      <c r="R271" s="47">
        <v>8</v>
      </c>
      <c r="S271" s="31"/>
      <c r="T271" s="31"/>
      <c r="U271" s="31"/>
      <c r="V271" s="31"/>
      <c r="W271" s="31"/>
      <c r="X271" s="31"/>
      <c r="Y271" s="31"/>
      <c r="Z271" s="31"/>
    </row>
    <row r="272" spans="1:26" ht="23.25" customHeight="1" x14ac:dyDescent="0.3">
      <c r="A272" s="39">
        <v>271</v>
      </c>
      <c r="B272" s="40">
        <v>12</v>
      </c>
      <c r="C272" s="9">
        <f t="shared" si="18"/>
        <v>144</v>
      </c>
      <c r="D272" s="9" t="s">
        <v>68</v>
      </c>
      <c r="E272" s="9">
        <v>8</v>
      </c>
      <c r="F272" s="9">
        <f t="shared" si="20"/>
        <v>96</v>
      </c>
      <c r="G272" s="34">
        <v>0</v>
      </c>
      <c r="H272" s="41" t="s">
        <v>89</v>
      </c>
      <c r="I272" s="42">
        <v>1000000</v>
      </c>
      <c r="J272" s="42">
        <v>2500000</v>
      </c>
      <c r="K272" s="43" t="s">
        <v>97</v>
      </c>
      <c r="L272" s="9" t="s">
        <v>194</v>
      </c>
      <c r="M272" s="9" t="s">
        <v>132</v>
      </c>
      <c r="N272" s="9" t="s">
        <v>22</v>
      </c>
      <c r="O272" s="9" t="s">
        <v>72</v>
      </c>
      <c r="P272" s="9">
        <v>30</v>
      </c>
      <c r="Q272" s="9" t="s">
        <v>73</v>
      </c>
      <c r="R272" s="47">
        <v>2</v>
      </c>
      <c r="S272" s="31"/>
      <c r="T272" s="31"/>
      <c r="U272" s="31"/>
      <c r="V272" s="31"/>
      <c r="W272" s="31"/>
      <c r="X272" s="31"/>
      <c r="Y272" s="31"/>
      <c r="Z272" s="31"/>
    </row>
    <row r="273" spans="1:26" ht="23.25" customHeight="1" x14ac:dyDescent="0.3">
      <c r="A273" s="39">
        <v>272</v>
      </c>
      <c r="B273" s="40">
        <v>12</v>
      </c>
      <c r="C273" s="9">
        <f t="shared" si="18"/>
        <v>144</v>
      </c>
      <c r="D273" s="9" t="s">
        <v>68</v>
      </c>
      <c r="E273" s="9">
        <v>5</v>
      </c>
      <c r="F273" s="9">
        <f t="shared" si="20"/>
        <v>60</v>
      </c>
      <c r="G273" s="34">
        <v>0</v>
      </c>
      <c r="H273" s="35" t="s">
        <v>69</v>
      </c>
      <c r="I273" s="42">
        <v>1700000</v>
      </c>
      <c r="J273" s="42">
        <v>1900000</v>
      </c>
      <c r="K273" s="43" t="s">
        <v>97</v>
      </c>
      <c r="L273" s="9" t="s">
        <v>109</v>
      </c>
      <c r="M273" s="9" t="s">
        <v>132</v>
      </c>
      <c r="N273" s="9" t="s">
        <v>22</v>
      </c>
      <c r="O273" s="9" t="s">
        <v>72</v>
      </c>
      <c r="P273" s="9">
        <v>29</v>
      </c>
      <c r="Q273" s="9" t="s">
        <v>77</v>
      </c>
      <c r="R273" s="47">
        <v>5</v>
      </c>
      <c r="S273" s="31"/>
      <c r="T273" s="31"/>
      <c r="U273" s="31"/>
      <c r="V273" s="31"/>
      <c r="W273" s="31"/>
      <c r="X273" s="31"/>
      <c r="Y273" s="31"/>
      <c r="Z273" s="31"/>
    </row>
    <row r="274" spans="1:26" ht="23.25" customHeight="1" x14ac:dyDescent="0.3">
      <c r="A274" s="39">
        <v>273</v>
      </c>
      <c r="B274" s="40">
        <v>12</v>
      </c>
      <c r="C274" s="9">
        <f t="shared" si="18"/>
        <v>144</v>
      </c>
      <c r="D274" s="9" t="s">
        <v>74</v>
      </c>
      <c r="E274" s="9">
        <v>10</v>
      </c>
      <c r="F274" s="9">
        <f t="shared" si="20"/>
        <v>120</v>
      </c>
      <c r="G274" s="9">
        <v>1</v>
      </c>
      <c r="H274" s="35" t="s">
        <v>69</v>
      </c>
      <c r="I274" s="42">
        <v>1500000</v>
      </c>
      <c r="J274" s="42">
        <v>3500000</v>
      </c>
      <c r="K274" s="43" t="s">
        <v>70</v>
      </c>
      <c r="L274" s="9" t="s">
        <v>71</v>
      </c>
      <c r="M274" s="9" t="s">
        <v>22</v>
      </c>
      <c r="N274" s="9" t="s">
        <v>22</v>
      </c>
      <c r="O274" s="9" t="s">
        <v>10</v>
      </c>
      <c r="P274" s="9">
        <v>28</v>
      </c>
      <c r="Q274" s="9" t="s">
        <v>77</v>
      </c>
      <c r="R274" s="47">
        <v>1</v>
      </c>
      <c r="S274" s="31"/>
      <c r="T274" s="31"/>
      <c r="U274" s="31"/>
      <c r="V274" s="31"/>
      <c r="W274" s="31"/>
      <c r="X274" s="31"/>
      <c r="Y274" s="31"/>
      <c r="Z274" s="31"/>
    </row>
    <row r="275" spans="1:26" ht="23.25" customHeight="1" x14ac:dyDescent="0.3">
      <c r="A275" s="39">
        <v>274</v>
      </c>
      <c r="B275" s="40">
        <v>5</v>
      </c>
      <c r="C275" s="9">
        <f t="shared" si="18"/>
        <v>60</v>
      </c>
      <c r="D275" s="9" t="s">
        <v>102</v>
      </c>
      <c r="E275" s="9">
        <v>2</v>
      </c>
      <c r="F275" s="9">
        <f t="shared" si="20"/>
        <v>24</v>
      </c>
      <c r="G275" s="9">
        <v>1</v>
      </c>
      <c r="H275" s="35" t="s">
        <v>69</v>
      </c>
      <c r="I275" s="42">
        <v>500000</v>
      </c>
      <c r="J275" s="42">
        <v>1200000</v>
      </c>
      <c r="K275" s="43" t="s">
        <v>70</v>
      </c>
      <c r="L275" s="9" t="s">
        <v>87</v>
      </c>
      <c r="M275" s="9" t="s">
        <v>22</v>
      </c>
      <c r="N275" s="9" t="s">
        <v>22</v>
      </c>
      <c r="O275" s="9" t="s">
        <v>72</v>
      </c>
      <c r="P275" s="9">
        <v>24</v>
      </c>
      <c r="Q275" s="9" t="s">
        <v>73</v>
      </c>
      <c r="R275" s="47">
        <v>1</v>
      </c>
      <c r="S275" s="31"/>
      <c r="T275" s="31"/>
      <c r="U275" s="31"/>
      <c r="V275" s="31"/>
      <c r="W275" s="31"/>
      <c r="X275" s="31"/>
      <c r="Y275" s="31"/>
      <c r="Z275" s="31"/>
    </row>
    <row r="276" spans="1:26" ht="23.25" customHeight="1" x14ac:dyDescent="0.3">
      <c r="A276" s="39">
        <v>275</v>
      </c>
      <c r="B276" s="40">
        <v>5</v>
      </c>
      <c r="C276" s="9">
        <f t="shared" si="18"/>
        <v>60</v>
      </c>
      <c r="D276" s="9" t="s">
        <v>102</v>
      </c>
      <c r="E276" s="9">
        <v>1</v>
      </c>
      <c r="F276" s="9">
        <f t="shared" si="20"/>
        <v>12</v>
      </c>
      <c r="G276" s="9">
        <v>1</v>
      </c>
      <c r="H276" s="35" t="s">
        <v>69</v>
      </c>
      <c r="I276" s="42">
        <v>800000</v>
      </c>
      <c r="J276" s="42">
        <v>1000000</v>
      </c>
      <c r="K276" s="43" t="s">
        <v>97</v>
      </c>
      <c r="L276" s="9" t="s">
        <v>204</v>
      </c>
      <c r="M276" s="9" t="s">
        <v>22</v>
      </c>
      <c r="N276" s="9" t="s">
        <v>22</v>
      </c>
      <c r="O276" s="9" t="s">
        <v>72</v>
      </c>
      <c r="P276" s="9">
        <v>27</v>
      </c>
      <c r="Q276" s="9" t="s">
        <v>73</v>
      </c>
      <c r="R276" s="47">
        <v>0</v>
      </c>
      <c r="S276" s="31"/>
      <c r="T276" s="31"/>
      <c r="U276" s="31"/>
      <c r="V276" s="31"/>
      <c r="W276" s="31"/>
      <c r="X276" s="31"/>
      <c r="Y276" s="31"/>
      <c r="Z276" s="31"/>
    </row>
    <row r="277" spans="1:26" ht="23.25" customHeight="1" x14ac:dyDescent="0.3">
      <c r="A277" s="39">
        <v>276</v>
      </c>
      <c r="B277" s="40">
        <v>30</v>
      </c>
      <c r="C277" s="9">
        <f t="shared" si="18"/>
        <v>360</v>
      </c>
      <c r="D277" s="9" t="s">
        <v>74</v>
      </c>
      <c r="E277" s="9">
        <v>30</v>
      </c>
      <c r="F277" s="9">
        <f t="shared" si="20"/>
        <v>360</v>
      </c>
      <c r="G277" s="34">
        <v>0</v>
      </c>
      <c r="H277" s="41" t="s">
        <v>205</v>
      </c>
      <c r="I277" s="42">
        <v>12000000</v>
      </c>
      <c r="J277" s="42">
        <v>12000000</v>
      </c>
      <c r="K277" s="43" t="s">
        <v>92</v>
      </c>
      <c r="L277" s="9" t="s">
        <v>167</v>
      </c>
      <c r="M277" s="9" t="s">
        <v>132</v>
      </c>
      <c r="N277" s="9" t="s">
        <v>22</v>
      </c>
      <c r="O277" s="9" t="s">
        <v>10</v>
      </c>
      <c r="P277" s="9">
        <v>55</v>
      </c>
      <c r="Q277" s="9" t="s">
        <v>80</v>
      </c>
      <c r="R277" s="47">
        <v>3</v>
      </c>
      <c r="S277" s="31"/>
      <c r="T277" s="31"/>
      <c r="U277" s="31"/>
      <c r="V277" s="31"/>
      <c r="W277" s="31"/>
      <c r="X277" s="31"/>
      <c r="Y277" s="31"/>
      <c r="Z277" s="31"/>
    </row>
    <row r="278" spans="1:26" ht="23.25" customHeight="1" x14ac:dyDescent="0.3">
      <c r="A278" s="39">
        <v>277</v>
      </c>
      <c r="B278" s="40">
        <v>8</v>
      </c>
      <c r="C278" s="9">
        <f t="shared" si="18"/>
        <v>96</v>
      </c>
      <c r="D278" s="9" t="s">
        <v>68</v>
      </c>
      <c r="E278" s="9">
        <v>0.5</v>
      </c>
      <c r="F278" s="9">
        <f t="shared" si="20"/>
        <v>6</v>
      </c>
      <c r="G278" s="34">
        <v>0</v>
      </c>
      <c r="H278" s="35" t="s">
        <v>69</v>
      </c>
      <c r="I278" s="42">
        <v>800000</v>
      </c>
      <c r="J278" s="42">
        <v>1000000</v>
      </c>
      <c r="K278" s="43" t="s">
        <v>84</v>
      </c>
      <c r="L278" s="9" t="s">
        <v>98</v>
      </c>
      <c r="M278" s="9" t="s">
        <v>22</v>
      </c>
      <c r="N278" s="9" t="s">
        <v>22</v>
      </c>
      <c r="O278" s="9" t="s">
        <v>10</v>
      </c>
      <c r="P278" s="9">
        <v>26</v>
      </c>
      <c r="Q278" s="9" t="s">
        <v>73</v>
      </c>
      <c r="R278" s="47">
        <v>0</v>
      </c>
      <c r="S278" s="31"/>
      <c r="T278" s="31"/>
      <c r="U278" s="31"/>
      <c r="V278" s="31"/>
      <c r="W278" s="31"/>
      <c r="X278" s="31"/>
      <c r="Y278" s="31"/>
      <c r="Z278" s="31"/>
    </row>
    <row r="279" spans="1:26" ht="23.25" customHeight="1" x14ac:dyDescent="0.3">
      <c r="A279" s="39">
        <v>278</v>
      </c>
      <c r="B279" s="40">
        <v>25</v>
      </c>
      <c r="C279" s="9">
        <f t="shared" si="18"/>
        <v>300</v>
      </c>
      <c r="D279" s="9" t="s">
        <v>102</v>
      </c>
      <c r="E279" s="9">
        <v>6</v>
      </c>
      <c r="F279" s="9">
        <f t="shared" si="20"/>
        <v>72</v>
      </c>
      <c r="G279" s="34">
        <v>0</v>
      </c>
      <c r="H279" s="41" t="s">
        <v>176</v>
      </c>
      <c r="I279" s="42">
        <v>1200000</v>
      </c>
      <c r="J279" s="42">
        <v>2800000</v>
      </c>
      <c r="K279" s="43" t="s">
        <v>70</v>
      </c>
      <c r="L279" s="9" t="s">
        <v>71</v>
      </c>
      <c r="M279" s="9" t="s">
        <v>132</v>
      </c>
      <c r="N279" s="9" t="s">
        <v>22</v>
      </c>
      <c r="O279" s="9" t="s">
        <v>72</v>
      </c>
      <c r="P279" s="9">
        <v>52</v>
      </c>
      <c r="Q279" s="9" t="s">
        <v>80</v>
      </c>
      <c r="R279" s="47">
        <v>1</v>
      </c>
      <c r="S279" s="31"/>
      <c r="T279" s="31"/>
      <c r="U279" s="31"/>
      <c r="V279" s="31"/>
      <c r="W279" s="31"/>
      <c r="X279" s="31"/>
      <c r="Y279" s="31"/>
      <c r="Z279" s="31"/>
    </row>
    <row r="280" spans="1:26" ht="23.25" customHeight="1" x14ac:dyDescent="0.3">
      <c r="A280" s="39">
        <v>279</v>
      </c>
      <c r="B280" s="40">
        <v>8</v>
      </c>
      <c r="C280" s="9">
        <f t="shared" si="18"/>
        <v>96</v>
      </c>
      <c r="D280" s="9" t="s">
        <v>68</v>
      </c>
      <c r="E280" s="9">
        <v>0.5</v>
      </c>
      <c r="F280" s="9">
        <f t="shared" si="20"/>
        <v>6</v>
      </c>
      <c r="G280" s="9">
        <v>1</v>
      </c>
      <c r="H280" s="35" t="s">
        <v>69</v>
      </c>
      <c r="I280" s="42">
        <v>1500000</v>
      </c>
      <c r="J280" s="42">
        <v>1650000</v>
      </c>
      <c r="K280" s="43" t="s">
        <v>97</v>
      </c>
      <c r="L280" s="9" t="s">
        <v>90</v>
      </c>
      <c r="M280" s="9" t="s">
        <v>132</v>
      </c>
      <c r="N280" s="9" t="s">
        <v>22</v>
      </c>
      <c r="O280" s="9" t="s">
        <v>10</v>
      </c>
      <c r="P280" s="9">
        <v>26</v>
      </c>
      <c r="Q280" s="9" t="s">
        <v>80</v>
      </c>
      <c r="R280" s="47">
        <v>1</v>
      </c>
      <c r="S280" s="31"/>
      <c r="T280" s="31"/>
      <c r="U280" s="31"/>
      <c r="V280" s="31"/>
      <c r="W280" s="31"/>
      <c r="X280" s="31"/>
      <c r="Y280" s="31"/>
      <c r="Z280" s="31"/>
    </row>
    <row r="281" spans="1:26" ht="23.25" customHeight="1" x14ac:dyDescent="0.3">
      <c r="A281" s="39">
        <v>280</v>
      </c>
      <c r="B281" s="40">
        <v>16</v>
      </c>
      <c r="C281" s="9">
        <f t="shared" si="18"/>
        <v>192</v>
      </c>
      <c r="D281" s="9" t="s">
        <v>68</v>
      </c>
      <c r="E281" s="9">
        <v>7</v>
      </c>
      <c r="F281" s="9">
        <f t="shared" si="20"/>
        <v>84</v>
      </c>
      <c r="G281" s="9">
        <v>1</v>
      </c>
      <c r="H281" s="41" t="s">
        <v>206</v>
      </c>
      <c r="I281" s="42">
        <v>2500000</v>
      </c>
      <c r="J281" s="42">
        <v>3500000</v>
      </c>
      <c r="K281" s="43" t="s">
        <v>92</v>
      </c>
      <c r="L281" s="9" t="s">
        <v>109</v>
      </c>
      <c r="M281" s="9" t="s">
        <v>132</v>
      </c>
      <c r="N281" s="9" t="s">
        <v>22</v>
      </c>
      <c r="O281" s="9" t="s">
        <v>10</v>
      </c>
      <c r="P281" s="9">
        <v>40</v>
      </c>
      <c r="Q281" s="9" t="s">
        <v>80</v>
      </c>
      <c r="R281" s="47">
        <v>2</v>
      </c>
      <c r="S281" s="31"/>
      <c r="T281" s="31"/>
      <c r="U281" s="31"/>
      <c r="V281" s="31"/>
      <c r="W281" s="31"/>
      <c r="X281" s="31"/>
      <c r="Y281" s="31"/>
      <c r="Z281" s="31"/>
    </row>
    <row r="282" spans="1:26" ht="23.25" customHeight="1" x14ac:dyDescent="0.3">
      <c r="A282" s="39">
        <v>281</v>
      </c>
      <c r="B282" s="40">
        <v>25</v>
      </c>
      <c r="C282" s="9">
        <f t="shared" si="18"/>
        <v>300</v>
      </c>
      <c r="D282" s="9" t="s">
        <v>104</v>
      </c>
      <c r="E282" s="9">
        <v>10</v>
      </c>
      <c r="F282" s="9">
        <f t="shared" si="20"/>
        <v>120</v>
      </c>
      <c r="G282" s="34">
        <v>0</v>
      </c>
      <c r="H282" s="35" t="s">
        <v>136</v>
      </c>
      <c r="I282" s="42">
        <v>2000000</v>
      </c>
      <c r="J282" s="42">
        <v>12000000</v>
      </c>
      <c r="K282" s="43" t="s">
        <v>94</v>
      </c>
      <c r="L282" s="9" t="s">
        <v>93</v>
      </c>
      <c r="M282" s="9" t="s">
        <v>132</v>
      </c>
      <c r="N282" s="9" t="s">
        <v>22</v>
      </c>
      <c r="O282" s="9" t="s">
        <v>72</v>
      </c>
      <c r="P282" s="9">
        <v>50</v>
      </c>
      <c r="Q282" s="9" t="s">
        <v>77</v>
      </c>
      <c r="R282" s="47">
        <v>3</v>
      </c>
      <c r="S282" s="31"/>
      <c r="T282" s="31"/>
      <c r="U282" s="31"/>
      <c r="V282" s="31"/>
      <c r="W282" s="31"/>
      <c r="X282" s="31"/>
      <c r="Y282" s="31"/>
      <c r="Z282" s="31"/>
    </row>
    <row r="283" spans="1:26" ht="23.25" customHeight="1" x14ac:dyDescent="0.3">
      <c r="A283" s="39">
        <v>282</v>
      </c>
      <c r="B283" s="40">
        <v>3</v>
      </c>
      <c r="C283" s="9">
        <f t="shared" si="18"/>
        <v>36</v>
      </c>
      <c r="D283" s="9" t="s">
        <v>74</v>
      </c>
      <c r="E283" s="9">
        <v>3</v>
      </c>
      <c r="F283" s="9">
        <f t="shared" si="20"/>
        <v>36</v>
      </c>
      <c r="G283" s="9">
        <v>1</v>
      </c>
      <c r="H283" s="41" t="s">
        <v>83</v>
      </c>
      <c r="I283" s="42">
        <v>400000</v>
      </c>
      <c r="J283" s="42">
        <v>1000000</v>
      </c>
      <c r="K283" s="43" t="s">
        <v>97</v>
      </c>
      <c r="L283" s="9" t="s">
        <v>107</v>
      </c>
      <c r="M283" s="9" t="s">
        <v>22</v>
      </c>
      <c r="N283" s="9" t="s">
        <v>22</v>
      </c>
      <c r="O283" s="9" t="s">
        <v>10</v>
      </c>
      <c r="P283" s="9">
        <v>23</v>
      </c>
      <c r="Q283" s="9" t="s">
        <v>73</v>
      </c>
      <c r="R283" s="47">
        <v>1</v>
      </c>
      <c r="S283" s="31"/>
      <c r="T283" s="31"/>
      <c r="U283" s="31"/>
      <c r="V283" s="31"/>
      <c r="W283" s="31"/>
      <c r="X283" s="31"/>
      <c r="Y283" s="31"/>
      <c r="Z283" s="31"/>
    </row>
    <row r="284" spans="1:26" ht="23.25" customHeight="1" x14ac:dyDescent="0.3">
      <c r="A284" s="39">
        <v>283</v>
      </c>
      <c r="B284" s="40">
        <v>5</v>
      </c>
      <c r="C284" s="9">
        <f t="shared" si="18"/>
        <v>60</v>
      </c>
      <c r="D284" s="9" t="s">
        <v>74</v>
      </c>
      <c r="E284" s="9">
        <v>3</v>
      </c>
      <c r="F284" s="9">
        <f t="shared" si="20"/>
        <v>36</v>
      </c>
      <c r="G284" s="34">
        <v>0</v>
      </c>
      <c r="H284" s="41" t="s">
        <v>86</v>
      </c>
      <c r="I284" s="42">
        <v>2000000</v>
      </c>
      <c r="J284" s="42">
        <v>3000000</v>
      </c>
      <c r="K284" s="43" t="s">
        <v>92</v>
      </c>
      <c r="L284" s="9" t="s">
        <v>93</v>
      </c>
      <c r="M284" s="9" t="s">
        <v>132</v>
      </c>
      <c r="N284" s="9" t="s">
        <v>22</v>
      </c>
      <c r="O284" s="9" t="s">
        <v>10</v>
      </c>
      <c r="P284" s="9">
        <v>27</v>
      </c>
      <c r="Q284" s="9" t="s">
        <v>73</v>
      </c>
      <c r="R284" s="47">
        <v>0</v>
      </c>
      <c r="S284" s="31"/>
      <c r="T284" s="31"/>
      <c r="U284" s="31"/>
      <c r="V284" s="31"/>
      <c r="W284" s="31"/>
      <c r="X284" s="31"/>
      <c r="Y284" s="31"/>
      <c r="Z284" s="31"/>
    </row>
    <row r="285" spans="1:26" ht="23.25" customHeight="1" x14ac:dyDescent="0.3">
      <c r="A285" s="39">
        <v>284</v>
      </c>
      <c r="B285" s="40">
        <v>5</v>
      </c>
      <c r="C285" s="9">
        <f t="shared" si="18"/>
        <v>60</v>
      </c>
      <c r="D285" s="9" t="s">
        <v>74</v>
      </c>
      <c r="E285" s="9">
        <v>2</v>
      </c>
      <c r="F285" s="9">
        <f t="shared" si="20"/>
        <v>24</v>
      </c>
      <c r="G285" s="9">
        <v>1</v>
      </c>
      <c r="H285" s="41" t="s">
        <v>83</v>
      </c>
      <c r="I285" s="42">
        <v>650000</v>
      </c>
      <c r="J285" s="42">
        <v>1000000</v>
      </c>
      <c r="K285" s="43" t="s">
        <v>70</v>
      </c>
      <c r="L285" s="9" t="s">
        <v>90</v>
      </c>
      <c r="M285" s="9" t="s">
        <v>22</v>
      </c>
      <c r="N285" s="9" t="s">
        <v>22</v>
      </c>
      <c r="O285" s="9" t="s">
        <v>72</v>
      </c>
      <c r="P285" s="9">
        <v>25</v>
      </c>
      <c r="Q285" s="9" t="s">
        <v>73</v>
      </c>
      <c r="R285" s="47">
        <v>0</v>
      </c>
      <c r="S285" s="31"/>
      <c r="T285" s="31"/>
      <c r="U285" s="31"/>
      <c r="V285" s="31"/>
      <c r="W285" s="31"/>
      <c r="X285" s="31"/>
      <c r="Y285" s="31"/>
      <c r="Z285" s="31"/>
    </row>
    <row r="286" spans="1:26" ht="23.25" customHeight="1" x14ac:dyDescent="0.3">
      <c r="A286" s="39">
        <v>285</v>
      </c>
      <c r="B286" s="40">
        <v>6</v>
      </c>
      <c r="C286" s="9">
        <f t="shared" si="18"/>
        <v>72</v>
      </c>
      <c r="D286" s="9" t="s">
        <v>74</v>
      </c>
      <c r="E286" s="9">
        <v>6</v>
      </c>
      <c r="F286" s="9">
        <f t="shared" si="20"/>
        <v>72</v>
      </c>
      <c r="G286" s="9">
        <v>1</v>
      </c>
      <c r="H286" s="35" t="s">
        <v>145</v>
      </c>
      <c r="I286" s="42">
        <v>600000</v>
      </c>
      <c r="J286" s="42">
        <v>1000000</v>
      </c>
      <c r="K286" s="43" t="s">
        <v>84</v>
      </c>
      <c r="L286" s="9" t="s">
        <v>98</v>
      </c>
      <c r="M286" s="9" t="s">
        <v>22</v>
      </c>
      <c r="N286" s="9" t="s">
        <v>22</v>
      </c>
      <c r="O286" s="9" t="s">
        <v>72</v>
      </c>
      <c r="P286" s="9">
        <v>28</v>
      </c>
      <c r="Q286" s="9" t="s">
        <v>80</v>
      </c>
      <c r="R286" s="47">
        <v>0</v>
      </c>
      <c r="S286" s="31"/>
      <c r="T286" s="31"/>
      <c r="U286" s="31"/>
      <c r="V286" s="31"/>
      <c r="W286" s="31"/>
      <c r="X286" s="31"/>
      <c r="Y286" s="31"/>
      <c r="Z286" s="31"/>
    </row>
    <row r="287" spans="1:26" ht="23.25" customHeight="1" x14ac:dyDescent="0.3">
      <c r="A287" s="39">
        <v>286</v>
      </c>
      <c r="B287" s="40">
        <v>7</v>
      </c>
      <c r="C287" s="9">
        <f t="shared" si="18"/>
        <v>84</v>
      </c>
      <c r="D287" s="9" t="s">
        <v>74</v>
      </c>
      <c r="E287" s="9">
        <v>3</v>
      </c>
      <c r="F287" s="9">
        <f t="shared" si="20"/>
        <v>36</v>
      </c>
      <c r="G287" s="9">
        <v>1</v>
      </c>
      <c r="H287" s="41" t="s">
        <v>83</v>
      </c>
      <c r="I287" s="42">
        <v>500000</v>
      </c>
      <c r="J287" s="42">
        <v>1000000</v>
      </c>
      <c r="K287" s="43" t="s">
        <v>70</v>
      </c>
      <c r="L287" s="9" t="s">
        <v>90</v>
      </c>
      <c r="M287" s="9" t="s">
        <v>22</v>
      </c>
      <c r="N287" s="9" t="s">
        <v>22</v>
      </c>
      <c r="O287" s="9" t="s">
        <v>72</v>
      </c>
      <c r="P287" s="9">
        <v>30</v>
      </c>
      <c r="Q287" s="9" t="s">
        <v>73</v>
      </c>
      <c r="R287" s="47">
        <v>0</v>
      </c>
      <c r="S287" s="31"/>
      <c r="T287" s="31"/>
      <c r="U287" s="31"/>
      <c r="V287" s="31"/>
      <c r="W287" s="31"/>
      <c r="X287" s="31"/>
      <c r="Y287" s="31"/>
      <c r="Z287" s="31"/>
    </row>
    <row r="288" spans="1:26" ht="23.25" customHeight="1" x14ac:dyDescent="0.3">
      <c r="A288" s="39">
        <v>287</v>
      </c>
      <c r="B288" s="40">
        <v>20</v>
      </c>
      <c r="C288" s="9">
        <f t="shared" si="18"/>
        <v>240</v>
      </c>
      <c r="D288" s="9" t="s">
        <v>74</v>
      </c>
      <c r="E288" s="9">
        <v>15</v>
      </c>
      <c r="F288" s="9">
        <f t="shared" si="20"/>
        <v>180</v>
      </c>
      <c r="G288" s="9">
        <v>1</v>
      </c>
      <c r="H288" s="41" t="s">
        <v>83</v>
      </c>
      <c r="I288" s="42">
        <v>800000</v>
      </c>
      <c r="J288" s="42">
        <v>1000000</v>
      </c>
      <c r="K288" s="43" t="s">
        <v>84</v>
      </c>
      <c r="L288" s="9" t="s">
        <v>98</v>
      </c>
      <c r="M288" s="9" t="s">
        <v>22</v>
      </c>
      <c r="N288" s="9" t="s">
        <v>22</v>
      </c>
      <c r="O288" s="9" t="s">
        <v>10</v>
      </c>
      <c r="P288" s="9">
        <v>50</v>
      </c>
      <c r="Q288" s="9" t="s">
        <v>77</v>
      </c>
      <c r="R288" s="47">
        <v>3</v>
      </c>
      <c r="S288" s="31"/>
      <c r="T288" s="31"/>
      <c r="U288" s="31"/>
      <c r="V288" s="31"/>
      <c r="W288" s="31"/>
      <c r="X288" s="31"/>
      <c r="Y288" s="31"/>
      <c r="Z288" s="31"/>
    </row>
    <row r="289" spans="1:26" ht="23.25" customHeight="1" x14ac:dyDescent="0.3">
      <c r="A289" s="39">
        <v>288</v>
      </c>
      <c r="B289" s="40">
        <v>10</v>
      </c>
      <c r="C289" s="9">
        <f t="shared" si="18"/>
        <v>120</v>
      </c>
      <c r="D289" s="9" t="s">
        <v>74</v>
      </c>
      <c r="E289" s="9">
        <v>1.5</v>
      </c>
      <c r="F289" s="9">
        <f t="shared" si="20"/>
        <v>18</v>
      </c>
      <c r="G289" s="34">
        <v>0</v>
      </c>
      <c r="H289" s="41" t="s">
        <v>86</v>
      </c>
      <c r="I289" s="42">
        <v>2500000</v>
      </c>
      <c r="J289" s="42">
        <v>12000000</v>
      </c>
      <c r="K289" s="43" t="s">
        <v>94</v>
      </c>
      <c r="L289" s="9" t="s">
        <v>93</v>
      </c>
      <c r="M289" s="9" t="s">
        <v>132</v>
      </c>
      <c r="N289" s="9" t="s">
        <v>22</v>
      </c>
      <c r="O289" s="9" t="s">
        <v>72</v>
      </c>
      <c r="P289" s="9">
        <v>29</v>
      </c>
      <c r="Q289" s="9" t="s">
        <v>73</v>
      </c>
      <c r="R289" s="47">
        <v>0</v>
      </c>
      <c r="S289" s="31"/>
      <c r="T289" s="31"/>
      <c r="U289" s="31"/>
      <c r="V289" s="31"/>
      <c r="W289" s="31"/>
      <c r="X289" s="31"/>
      <c r="Y289" s="31"/>
      <c r="Z289" s="31"/>
    </row>
    <row r="290" spans="1:26" ht="23.25" customHeight="1" x14ac:dyDescent="0.3">
      <c r="A290" s="39">
        <v>289</v>
      </c>
      <c r="B290" s="40">
        <v>20</v>
      </c>
      <c r="C290" s="9">
        <f t="shared" si="18"/>
        <v>240</v>
      </c>
      <c r="D290" s="9" t="s">
        <v>115</v>
      </c>
      <c r="E290" s="9">
        <v>4</v>
      </c>
      <c r="F290" s="9">
        <f t="shared" si="20"/>
        <v>48</v>
      </c>
      <c r="G290" s="9">
        <v>1</v>
      </c>
      <c r="H290" s="41" t="s">
        <v>116</v>
      </c>
      <c r="I290" s="42">
        <v>700000</v>
      </c>
      <c r="J290" s="42">
        <v>1000000</v>
      </c>
      <c r="K290" s="43" t="s">
        <v>84</v>
      </c>
      <c r="L290" s="9" t="s">
        <v>98</v>
      </c>
      <c r="M290" s="9" t="s">
        <v>22</v>
      </c>
      <c r="N290" s="9" t="s">
        <v>22</v>
      </c>
      <c r="O290" s="9" t="s">
        <v>10</v>
      </c>
      <c r="P290" s="9">
        <v>43</v>
      </c>
      <c r="Q290" s="9" t="s">
        <v>80</v>
      </c>
      <c r="R290" s="47">
        <v>4</v>
      </c>
      <c r="S290" s="31"/>
      <c r="T290" s="31"/>
      <c r="U290" s="31"/>
      <c r="V290" s="31"/>
      <c r="W290" s="31"/>
      <c r="X290" s="31"/>
      <c r="Y290" s="31"/>
      <c r="Z290" s="31"/>
    </row>
    <row r="291" spans="1:26" ht="23.25" customHeight="1" x14ac:dyDescent="0.3">
      <c r="A291" s="39">
        <v>290</v>
      </c>
      <c r="B291" s="40">
        <v>9</v>
      </c>
      <c r="C291" s="9">
        <f t="shared" si="18"/>
        <v>108</v>
      </c>
      <c r="D291" s="9" t="s">
        <v>99</v>
      </c>
      <c r="E291" s="9">
        <v>4</v>
      </c>
      <c r="F291" s="9">
        <f t="shared" si="20"/>
        <v>48</v>
      </c>
      <c r="G291" s="34">
        <v>0</v>
      </c>
      <c r="H291" s="41" t="s">
        <v>83</v>
      </c>
      <c r="I291" s="42">
        <v>1200000</v>
      </c>
      <c r="J291" s="42">
        <v>1200000</v>
      </c>
      <c r="K291" s="43" t="s">
        <v>100</v>
      </c>
      <c r="L291" s="9" t="s">
        <v>109</v>
      </c>
      <c r="M291" s="9" t="s">
        <v>22</v>
      </c>
      <c r="N291" s="9" t="s">
        <v>22</v>
      </c>
      <c r="O291" s="9" t="s">
        <v>72</v>
      </c>
      <c r="P291" s="9">
        <v>28</v>
      </c>
      <c r="Q291" s="9" t="s">
        <v>77</v>
      </c>
      <c r="R291" s="47">
        <v>1</v>
      </c>
      <c r="S291" s="31"/>
      <c r="T291" s="31"/>
      <c r="U291" s="31"/>
      <c r="V291" s="31"/>
      <c r="W291" s="31"/>
      <c r="X291" s="31"/>
      <c r="Y291" s="31"/>
      <c r="Z291" s="31"/>
    </row>
    <row r="292" spans="1:26" ht="23.25" customHeight="1" x14ac:dyDescent="0.3">
      <c r="A292" s="39">
        <v>291</v>
      </c>
      <c r="B292" s="40">
        <v>4</v>
      </c>
      <c r="C292" s="9">
        <f t="shared" si="18"/>
        <v>48</v>
      </c>
      <c r="D292" s="9" t="s">
        <v>74</v>
      </c>
      <c r="E292" s="9">
        <v>2</v>
      </c>
      <c r="F292" s="9">
        <f t="shared" si="20"/>
        <v>24</v>
      </c>
      <c r="G292" s="9">
        <v>1</v>
      </c>
      <c r="H292" s="41" t="s">
        <v>83</v>
      </c>
      <c r="I292" s="42">
        <v>800000</v>
      </c>
      <c r="J292" s="42">
        <v>1200000</v>
      </c>
      <c r="K292" s="43" t="s">
        <v>84</v>
      </c>
      <c r="L292" s="9" t="s">
        <v>98</v>
      </c>
      <c r="M292" s="9" t="s">
        <v>22</v>
      </c>
      <c r="N292" s="9" t="s">
        <v>22</v>
      </c>
      <c r="O292" s="9" t="s">
        <v>10</v>
      </c>
      <c r="P292" s="9">
        <v>23</v>
      </c>
      <c r="Q292" s="9" t="s">
        <v>73</v>
      </c>
      <c r="R292" s="47">
        <v>0</v>
      </c>
      <c r="S292" s="31"/>
      <c r="T292" s="31"/>
      <c r="U292" s="31"/>
      <c r="V292" s="31"/>
      <c r="W292" s="31"/>
      <c r="X292" s="31"/>
      <c r="Y292" s="31"/>
      <c r="Z292" s="31"/>
    </row>
    <row r="293" spans="1:26" ht="23.25" customHeight="1" x14ac:dyDescent="0.3">
      <c r="A293" s="39">
        <v>292</v>
      </c>
      <c r="B293" s="40">
        <v>13</v>
      </c>
      <c r="C293" s="9">
        <f t="shared" si="18"/>
        <v>156</v>
      </c>
      <c r="D293" s="9" t="s">
        <v>68</v>
      </c>
      <c r="E293" s="9">
        <v>7</v>
      </c>
      <c r="F293" s="9">
        <f t="shared" si="20"/>
        <v>84</v>
      </c>
      <c r="G293" s="34">
        <v>0</v>
      </c>
      <c r="H293" s="41" t="s">
        <v>83</v>
      </c>
      <c r="I293" s="42">
        <v>900000</v>
      </c>
      <c r="J293" s="42">
        <v>1300000</v>
      </c>
      <c r="K293" s="43" t="s">
        <v>97</v>
      </c>
      <c r="L293" s="9" t="s">
        <v>107</v>
      </c>
      <c r="M293" s="9" t="s">
        <v>132</v>
      </c>
      <c r="N293" s="9" t="s">
        <v>22</v>
      </c>
      <c r="O293" s="9" t="s">
        <v>10</v>
      </c>
      <c r="P293" s="9">
        <v>31</v>
      </c>
      <c r="Q293" s="9" t="s">
        <v>73</v>
      </c>
      <c r="R293" s="47">
        <v>0</v>
      </c>
      <c r="S293" s="31"/>
      <c r="T293" s="31"/>
      <c r="U293" s="31"/>
      <c r="V293" s="31"/>
      <c r="W293" s="31"/>
      <c r="X293" s="31"/>
      <c r="Y293" s="31"/>
      <c r="Z293" s="31"/>
    </row>
    <row r="294" spans="1:26" ht="23.25" customHeight="1" x14ac:dyDescent="0.3">
      <c r="A294" s="39">
        <v>293</v>
      </c>
      <c r="B294" s="40">
        <v>1</v>
      </c>
      <c r="C294" s="9">
        <f t="shared" si="18"/>
        <v>12</v>
      </c>
      <c r="D294" s="9" t="s">
        <v>74</v>
      </c>
      <c r="E294" s="9">
        <v>1</v>
      </c>
      <c r="F294" s="9">
        <f t="shared" si="20"/>
        <v>12</v>
      </c>
      <c r="G294" s="9">
        <v>1</v>
      </c>
      <c r="H294" s="41" t="s">
        <v>83</v>
      </c>
      <c r="I294" s="42">
        <v>1000000</v>
      </c>
      <c r="J294" s="42">
        <v>1000000</v>
      </c>
      <c r="K294" s="43" t="s">
        <v>84</v>
      </c>
      <c r="L294" s="9" t="s">
        <v>98</v>
      </c>
      <c r="M294" s="9" t="s">
        <v>22</v>
      </c>
      <c r="N294" s="9" t="s">
        <v>22</v>
      </c>
      <c r="O294" s="9" t="s">
        <v>72</v>
      </c>
      <c r="P294" s="9">
        <v>18</v>
      </c>
      <c r="Q294" s="9" t="s">
        <v>73</v>
      </c>
      <c r="R294" s="47">
        <v>0</v>
      </c>
      <c r="S294" s="31"/>
      <c r="T294" s="31"/>
      <c r="U294" s="31"/>
      <c r="V294" s="31"/>
      <c r="W294" s="31"/>
      <c r="X294" s="31"/>
      <c r="Y294" s="31"/>
      <c r="Z294" s="31"/>
    </row>
    <row r="295" spans="1:26" ht="23.25" customHeight="1" x14ac:dyDescent="0.3">
      <c r="A295" s="39">
        <v>294</v>
      </c>
      <c r="B295" s="40">
        <v>36</v>
      </c>
      <c r="C295" s="9">
        <f t="shared" si="18"/>
        <v>432</v>
      </c>
      <c r="D295" s="9" t="s">
        <v>104</v>
      </c>
      <c r="E295" s="9">
        <v>30</v>
      </c>
      <c r="F295" s="9">
        <f t="shared" si="20"/>
        <v>360</v>
      </c>
      <c r="G295" s="34">
        <v>0</v>
      </c>
      <c r="H295" s="41" t="s">
        <v>86</v>
      </c>
      <c r="I295" s="42">
        <v>5000000</v>
      </c>
      <c r="J295" s="42">
        <v>6500000</v>
      </c>
      <c r="K295" s="43" t="s">
        <v>92</v>
      </c>
      <c r="L295" s="9" t="s">
        <v>90</v>
      </c>
      <c r="M295" s="9" t="s">
        <v>132</v>
      </c>
      <c r="N295" s="9" t="s">
        <v>22</v>
      </c>
      <c r="O295" s="9" t="s">
        <v>72</v>
      </c>
      <c r="P295" s="9">
        <v>54</v>
      </c>
      <c r="Q295" s="9" t="s">
        <v>121</v>
      </c>
      <c r="R295" s="47">
        <v>5</v>
      </c>
      <c r="S295" s="31"/>
      <c r="T295" s="31"/>
      <c r="U295" s="31"/>
      <c r="V295" s="31"/>
      <c r="W295" s="31"/>
      <c r="X295" s="31"/>
      <c r="Y295" s="31"/>
      <c r="Z295" s="31"/>
    </row>
    <row r="296" spans="1:26" ht="23.25" customHeight="1" x14ac:dyDescent="0.3">
      <c r="A296" s="39">
        <v>295</v>
      </c>
      <c r="B296" s="40">
        <v>15</v>
      </c>
      <c r="C296" s="9">
        <f t="shared" si="18"/>
        <v>180</v>
      </c>
      <c r="D296" s="9" t="s">
        <v>74</v>
      </c>
      <c r="E296" s="9">
        <v>1</v>
      </c>
      <c r="F296" s="9">
        <f t="shared" si="20"/>
        <v>12</v>
      </c>
      <c r="G296" s="34">
        <v>0</v>
      </c>
      <c r="H296" s="41" t="s">
        <v>86</v>
      </c>
      <c r="I296" s="42">
        <v>1500000</v>
      </c>
      <c r="J296" s="42">
        <v>2500000</v>
      </c>
      <c r="K296" s="43" t="s">
        <v>92</v>
      </c>
      <c r="L296" s="9" t="s">
        <v>161</v>
      </c>
      <c r="M296" s="9" t="s">
        <v>132</v>
      </c>
      <c r="N296" s="9" t="s">
        <v>22</v>
      </c>
      <c r="O296" s="9" t="s">
        <v>72</v>
      </c>
      <c r="P296" s="9">
        <v>39</v>
      </c>
      <c r="Q296" s="9" t="s">
        <v>73</v>
      </c>
      <c r="R296" s="47">
        <v>1</v>
      </c>
      <c r="S296" s="31"/>
      <c r="T296" s="31"/>
      <c r="U296" s="31"/>
      <c r="V296" s="31"/>
      <c r="W296" s="31"/>
      <c r="X296" s="31"/>
      <c r="Y296" s="31"/>
      <c r="Z296" s="31"/>
    </row>
    <row r="297" spans="1:26" ht="23.25" customHeight="1" x14ac:dyDescent="0.3">
      <c r="A297" s="39">
        <v>296</v>
      </c>
      <c r="B297" s="40">
        <v>6</v>
      </c>
      <c r="C297" s="9">
        <f t="shared" si="18"/>
        <v>72</v>
      </c>
      <c r="D297" s="9" t="s">
        <v>68</v>
      </c>
      <c r="E297" s="9">
        <v>4</v>
      </c>
      <c r="F297" s="9">
        <f t="shared" si="20"/>
        <v>48</v>
      </c>
      <c r="G297" s="9">
        <v>1</v>
      </c>
      <c r="H297" s="41" t="s">
        <v>176</v>
      </c>
      <c r="I297" s="42">
        <v>1500000</v>
      </c>
      <c r="J297" s="42">
        <v>1700000</v>
      </c>
      <c r="K297" s="43" t="s">
        <v>207</v>
      </c>
      <c r="L297" s="9" t="s">
        <v>208</v>
      </c>
      <c r="M297" s="9" t="s">
        <v>209</v>
      </c>
      <c r="N297" s="9" t="s">
        <v>209</v>
      </c>
      <c r="O297" s="9" t="s">
        <v>72</v>
      </c>
      <c r="P297" s="9">
        <v>24</v>
      </c>
      <c r="Q297" s="9" t="s">
        <v>210</v>
      </c>
      <c r="R297" s="47">
        <v>0</v>
      </c>
      <c r="S297" s="31"/>
      <c r="T297" s="31"/>
      <c r="U297" s="31"/>
      <c r="V297" s="31"/>
      <c r="W297" s="31"/>
      <c r="X297" s="31"/>
      <c r="Y297" s="31"/>
      <c r="Z297" s="31"/>
    </row>
    <row r="298" spans="1:26" ht="23.25" customHeight="1" x14ac:dyDescent="0.3">
      <c r="A298" s="39">
        <v>297</v>
      </c>
      <c r="B298" s="40">
        <v>13</v>
      </c>
      <c r="C298" s="9">
        <f t="shared" si="18"/>
        <v>156</v>
      </c>
      <c r="D298" s="9" t="s">
        <v>68</v>
      </c>
      <c r="E298" s="9">
        <v>6</v>
      </c>
      <c r="F298" s="9">
        <f t="shared" si="20"/>
        <v>72</v>
      </c>
      <c r="G298" s="9">
        <v>1</v>
      </c>
      <c r="H298" s="35" t="s">
        <v>69</v>
      </c>
      <c r="I298" s="42">
        <v>800000</v>
      </c>
      <c r="J298" s="42">
        <v>947000</v>
      </c>
      <c r="K298" s="43" t="s">
        <v>211</v>
      </c>
      <c r="L298" s="9" t="s">
        <v>211</v>
      </c>
      <c r="M298" s="9" t="s">
        <v>209</v>
      </c>
      <c r="N298" s="9" t="s">
        <v>209</v>
      </c>
      <c r="O298" s="9" t="s">
        <v>10</v>
      </c>
      <c r="P298" s="9">
        <v>25</v>
      </c>
      <c r="Q298" s="9" t="s">
        <v>210</v>
      </c>
      <c r="R298" s="47">
        <v>0</v>
      </c>
      <c r="S298" s="31"/>
      <c r="T298" s="31"/>
      <c r="U298" s="31"/>
      <c r="V298" s="31"/>
      <c r="W298" s="31"/>
      <c r="X298" s="31"/>
      <c r="Y298" s="31"/>
      <c r="Z298" s="31"/>
    </row>
    <row r="299" spans="1:26" ht="23.25" customHeight="1" x14ac:dyDescent="0.3">
      <c r="A299" s="39">
        <v>298</v>
      </c>
      <c r="B299" s="40">
        <v>5</v>
      </c>
      <c r="C299" s="9">
        <f t="shared" si="18"/>
        <v>60</v>
      </c>
      <c r="D299" s="9" t="s">
        <v>68</v>
      </c>
      <c r="E299" s="9">
        <v>5</v>
      </c>
      <c r="F299" s="9">
        <f t="shared" si="20"/>
        <v>60</v>
      </c>
      <c r="G299" s="9">
        <v>1</v>
      </c>
      <c r="H299" s="35" t="s">
        <v>69</v>
      </c>
      <c r="I299" s="42">
        <v>960000</v>
      </c>
      <c r="J299" s="42">
        <v>900000</v>
      </c>
      <c r="K299" s="43" t="s">
        <v>211</v>
      </c>
      <c r="L299" s="9" t="s">
        <v>98</v>
      </c>
      <c r="M299" s="9" t="s">
        <v>209</v>
      </c>
      <c r="N299" s="9" t="s">
        <v>209</v>
      </c>
      <c r="O299" s="9" t="s">
        <v>10</v>
      </c>
      <c r="P299" s="9">
        <v>19</v>
      </c>
      <c r="Q299" s="9" t="s">
        <v>210</v>
      </c>
      <c r="R299" s="47">
        <v>0</v>
      </c>
      <c r="S299" s="31"/>
      <c r="T299" s="31"/>
      <c r="U299" s="31"/>
      <c r="V299" s="31"/>
      <c r="W299" s="31"/>
      <c r="X299" s="31"/>
      <c r="Y299" s="31"/>
      <c r="Z299" s="31"/>
    </row>
    <row r="300" spans="1:26" ht="23.25" customHeight="1" x14ac:dyDescent="0.3">
      <c r="A300" s="39">
        <v>299</v>
      </c>
      <c r="B300" s="40">
        <v>30</v>
      </c>
      <c r="C300" s="9">
        <f t="shared" si="18"/>
        <v>360</v>
      </c>
      <c r="D300" s="9" t="s">
        <v>102</v>
      </c>
      <c r="E300" s="9">
        <v>6</v>
      </c>
      <c r="F300" s="9">
        <f t="shared" si="20"/>
        <v>72</v>
      </c>
      <c r="G300" s="9">
        <v>1</v>
      </c>
      <c r="H300" s="41" t="s">
        <v>212</v>
      </c>
      <c r="I300" s="42">
        <v>600000</v>
      </c>
      <c r="J300" s="42">
        <v>1500000</v>
      </c>
      <c r="K300" s="43" t="s">
        <v>207</v>
      </c>
      <c r="L300" s="9" t="s">
        <v>98</v>
      </c>
      <c r="M300" s="9" t="s">
        <v>213</v>
      </c>
      <c r="N300" s="9" t="s">
        <v>209</v>
      </c>
      <c r="O300" s="9" t="s">
        <v>10</v>
      </c>
      <c r="P300" s="9">
        <v>49</v>
      </c>
      <c r="Q300" s="9" t="s">
        <v>80</v>
      </c>
      <c r="R300" s="47">
        <v>3</v>
      </c>
      <c r="S300" s="31"/>
      <c r="T300" s="31"/>
      <c r="U300" s="31"/>
      <c r="V300" s="31"/>
      <c r="W300" s="31"/>
      <c r="X300" s="31"/>
      <c r="Y300" s="31"/>
      <c r="Z300" s="31"/>
    </row>
    <row r="301" spans="1:26" ht="23.25" customHeight="1" x14ac:dyDescent="0.3">
      <c r="A301" s="39">
        <v>300</v>
      </c>
      <c r="B301" s="40">
        <v>4</v>
      </c>
      <c r="C301" s="9">
        <f t="shared" si="18"/>
        <v>48</v>
      </c>
      <c r="D301" s="9" t="s">
        <v>74</v>
      </c>
      <c r="E301" s="9">
        <v>1</v>
      </c>
      <c r="F301" s="9">
        <f t="shared" si="20"/>
        <v>12</v>
      </c>
      <c r="G301" s="9">
        <v>1</v>
      </c>
      <c r="H301" s="41" t="s">
        <v>78</v>
      </c>
      <c r="I301" s="42">
        <v>1100000</v>
      </c>
      <c r="J301" s="42">
        <v>2100000</v>
      </c>
      <c r="K301" s="43" t="s">
        <v>214</v>
      </c>
      <c r="L301" s="9" t="s">
        <v>215</v>
      </c>
      <c r="M301" s="9" t="s">
        <v>209</v>
      </c>
      <c r="N301" s="9" t="s">
        <v>209</v>
      </c>
      <c r="O301" s="9" t="s">
        <v>72</v>
      </c>
      <c r="P301" s="9">
        <v>37</v>
      </c>
      <c r="Q301" s="9" t="s">
        <v>80</v>
      </c>
      <c r="R301" s="47">
        <v>0</v>
      </c>
      <c r="S301" s="31"/>
      <c r="T301" s="31"/>
      <c r="U301" s="31"/>
      <c r="V301" s="31"/>
      <c r="W301" s="31"/>
      <c r="X301" s="31"/>
      <c r="Y301" s="31"/>
      <c r="Z301" s="31"/>
    </row>
    <row r="302" spans="1:26" ht="23.25" customHeight="1" x14ac:dyDescent="0.3">
      <c r="A302" s="39">
        <v>301</v>
      </c>
      <c r="B302" s="40">
        <v>9</v>
      </c>
      <c r="C302" s="9">
        <f t="shared" si="18"/>
        <v>108</v>
      </c>
      <c r="D302" s="9" t="s">
        <v>68</v>
      </c>
      <c r="E302" s="9">
        <v>2</v>
      </c>
      <c r="F302" s="9">
        <f t="shared" si="20"/>
        <v>24</v>
      </c>
      <c r="G302" s="9">
        <v>1</v>
      </c>
      <c r="H302" s="41" t="s">
        <v>176</v>
      </c>
      <c r="I302" s="42">
        <v>2000000</v>
      </c>
      <c r="J302" s="42">
        <v>2500000</v>
      </c>
      <c r="K302" s="43" t="s">
        <v>92</v>
      </c>
      <c r="L302" s="9" t="s">
        <v>216</v>
      </c>
      <c r="M302" s="9" t="s">
        <v>213</v>
      </c>
      <c r="N302" s="9" t="s">
        <v>209</v>
      </c>
      <c r="O302" s="9" t="s">
        <v>10</v>
      </c>
      <c r="P302" s="9">
        <v>34</v>
      </c>
      <c r="Q302" s="9" t="s">
        <v>77</v>
      </c>
      <c r="R302" s="47">
        <v>2</v>
      </c>
      <c r="S302" s="31"/>
      <c r="T302" s="31"/>
      <c r="U302" s="31"/>
      <c r="V302" s="31"/>
      <c r="W302" s="31"/>
      <c r="X302" s="31"/>
      <c r="Y302" s="31"/>
      <c r="Z302" s="31"/>
    </row>
    <row r="303" spans="1:26" ht="23.25" customHeight="1" x14ac:dyDescent="0.3">
      <c r="A303" s="39">
        <v>302</v>
      </c>
      <c r="B303" s="40">
        <v>1</v>
      </c>
      <c r="C303" s="9">
        <f t="shared" si="18"/>
        <v>12</v>
      </c>
      <c r="D303" s="9" t="s">
        <v>104</v>
      </c>
      <c r="E303" s="9">
        <v>1</v>
      </c>
      <c r="F303" s="9">
        <f t="shared" si="20"/>
        <v>12</v>
      </c>
      <c r="G303" s="9">
        <v>1</v>
      </c>
      <c r="H303" s="41" t="s">
        <v>78</v>
      </c>
      <c r="I303" s="42">
        <v>800000</v>
      </c>
      <c r="J303" s="42">
        <v>2000000</v>
      </c>
      <c r="K303" s="43" t="s">
        <v>207</v>
      </c>
      <c r="L303" s="9" t="s">
        <v>71</v>
      </c>
      <c r="M303" s="9" t="s">
        <v>213</v>
      </c>
      <c r="N303" s="9" t="s">
        <v>209</v>
      </c>
      <c r="O303" s="9" t="s">
        <v>10</v>
      </c>
      <c r="P303" s="9">
        <v>28</v>
      </c>
      <c r="Q303" s="9" t="s">
        <v>80</v>
      </c>
      <c r="R303" s="47">
        <v>1</v>
      </c>
      <c r="S303" s="31"/>
      <c r="T303" s="31"/>
      <c r="U303" s="31"/>
      <c r="V303" s="31"/>
      <c r="W303" s="31"/>
      <c r="X303" s="31"/>
      <c r="Y303" s="31"/>
      <c r="Z303" s="31"/>
    </row>
    <row r="304" spans="1:26" ht="23.25" customHeight="1" x14ac:dyDescent="0.3">
      <c r="A304" s="39">
        <v>303</v>
      </c>
      <c r="B304" s="40">
        <v>24</v>
      </c>
      <c r="C304" s="9">
        <f t="shared" si="18"/>
        <v>288</v>
      </c>
      <c r="D304" s="9" t="s">
        <v>74</v>
      </c>
      <c r="E304" s="9">
        <v>4</v>
      </c>
      <c r="F304" s="9">
        <f t="shared" si="20"/>
        <v>48</v>
      </c>
      <c r="G304" s="9">
        <v>1</v>
      </c>
      <c r="H304" s="41" t="s">
        <v>217</v>
      </c>
      <c r="I304" s="42">
        <v>700000</v>
      </c>
      <c r="J304" s="42">
        <v>1000000</v>
      </c>
      <c r="K304" s="43" t="s">
        <v>218</v>
      </c>
      <c r="L304" s="9" t="s">
        <v>71</v>
      </c>
      <c r="M304" s="9" t="s">
        <v>209</v>
      </c>
      <c r="N304" s="9" t="s">
        <v>209</v>
      </c>
      <c r="O304" s="9" t="s">
        <v>72</v>
      </c>
      <c r="P304" s="9">
        <v>57</v>
      </c>
      <c r="Q304" s="9" t="s">
        <v>80</v>
      </c>
      <c r="R304" s="47">
        <v>3</v>
      </c>
      <c r="S304" s="31"/>
      <c r="T304" s="31"/>
      <c r="U304" s="31"/>
      <c r="V304" s="31"/>
      <c r="W304" s="31"/>
      <c r="X304" s="31"/>
      <c r="Y304" s="31"/>
      <c r="Z304" s="31"/>
    </row>
    <row r="305" spans="1:26" ht="23.25" customHeight="1" x14ac:dyDescent="0.3">
      <c r="A305" s="39">
        <v>304</v>
      </c>
      <c r="B305" s="40">
        <v>15</v>
      </c>
      <c r="C305" s="9">
        <f t="shared" si="18"/>
        <v>180</v>
      </c>
      <c r="D305" s="9" t="s">
        <v>74</v>
      </c>
      <c r="E305" s="9">
        <v>6</v>
      </c>
      <c r="F305" s="9">
        <f t="shared" si="20"/>
        <v>72</v>
      </c>
      <c r="G305" s="9">
        <v>1</v>
      </c>
      <c r="H305" s="41" t="s">
        <v>219</v>
      </c>
      <c r="I305" s="42">
        <v>1000000</v>
      </c>
      <c r="J305" s="42">
        <v>1300000</v>
      </c>
      <c r="K305" s="43" t="s">
        <v>207</v>
      </c>
      <c r="L305" s="9" t="s">
        <v>220</v>
      </c>
      <c r="M305" s="9" t="s">
        <v>209</v>
      </c>
      <c r="N305" s="9" t="s">
        <v>209</v>
      </c>
      <c r="O305" s="9" t="s">
        <v>10</v>
      </c>
      <c r="P305" s="9">
        <v>42</v>
      </c>
      <c r="Q305" s="9" t="s">
        <v>77</v>
      </c>
      <c r="R305" s="47">
        <v>2</v>
      </c>
      <c r="S305" s="31"/>
      <c r="T305" s="31"/>
      <c r="U305" s="31"/>
      <c r="V305" s="31"/>
      <c r="W305" s="31"/>
      <c r="X305" s="31"/>
      <c r="Y305" s="31"/>
      <c r="Z305" s="31"/>
    </row>
    <row r="306" spans="1:26" ht="23.25" customHeight="1" x14ac:dyDescent="0.3">
      <c r="A306" s="39">
        <v>305</v>
      </c>
      <c r="B306" s="40">
        <v>3</v>
      </c>
      <c r="C306" s="9">
        <f t="shared" si="18"/>
        <v>36</v>
      </c>
      <c r="D306" s="9" t="s">
        <v>74</v>
      </c>
      <c r="E306" s="9">
        <v>3</v>
      </c>
      <c r="F306" s="9">
        <f t="shared" si="20"/>
        <v>36</v>
      </c>
      <c r="G306" s="34">
        <v>0</v>
      </c>
      <c r="H306" s="41" t="s">
        <v>170</v>
      </c>
      <c r="I306" s="42">
        <v>800000</v>
      </c>
      <c r="J306" s="42">
        <v>2000000</v>
      </c>
      <c r="K306" s="43" t="s">
        <v>218</v>
      </c>
      <c r="L306" s="9" t="s">
        <v>171</v>
      </c>
      <c r="M306" s="9" t="s">
        <v>209</v>
      </c>
      <c r="N306" s="9" t="s">
        <v>209</v>
      </c>
      <c r="O306" s="9" t="s">
        <v>72</v>
      </c>
      <c r="P306" s="9">
        <v>28</v>
      </c>
      <c r="Q306" s="9" t="s">
        <v>210</v>
      </c>
      <c r="R306" s="47">
        <v>0</v>
      </c>
      <c r="S306" s="31"/>
      <c r="T306" s="31"/>
      <c r="U306" s="31"/>
      <c r="V306" s="31"/>
      <c r="W306" s="31"/>
      <c r="X306" s="31"/>
      <c r="Y306" s="31"/>
      <c r="Z306" s="31"/>
    </row>
    <row r="307" spans="1:26" ht="23.25" customHeight="1" x14ac:dyDescent="0.3">
      <c r="A307" s="39">
        <v>306</v>
      </c>
      <c r="B307" s="40">
        <v>6</v>
      </c>
      <c r="C307" s="9">
        <f t="shared" si="18"/>
        <v>72</v>
      </c>
      <c r="D307" s="9" t="s">
        <v>74</v>
      </c>
      <c r="E307" s="9">
        <v>6</v>
      </c>
      <c r="F307" s="9">
        <f t="shared" si="20"/>
        <v>72</v>
      </c>
      <c r="G307" s="9">
        <v>1</v>
      </c>
      <c r="H307" s="41" t="s">
        <v>83</v>
      </c>
      <c r="I307" s="42">
        <v>750000</v>
      </c>
      <c r="J307" s="42">
        <v>989789</v>
      </c>
      <c r="K307" s="43" t="s">
        <v>207</v>
      </c>
      <c r="L307" s="9" t="s">
        <v>221</v>
      </c>
      <c r="M307" s="9" t="s">
        <v>209</v>
      </c>
      <c r="N307" s="9" t="s">
        <v>209</v>
      </c>
      <c r="O307" s="9" t="s">
        <v>10</v>
      </c>
      <c r="P307" s="9">
        <v>26</v>
      </c>
      <c r="Q307" s="9" t="s">
        <v>210</v>
      </c>
      <c r="R307" s="47">
        <v>1</v>
      </c>
      <c r="S307" s="31"/>
      <c r="T307" s="31"/>
      <c r="U307" s="31"/>
      <c r="V307" s="31"/>
      <c r="W307" s="31"/>
      <c r="X307" s="31"/>
      <c r="Y307" s="31"/>
      <c r="Z307" s="31"/>
    </row>
    <row r="308" spans="1:26" ht="23.25" customHeight="1" x14ac:dyDescent="0.3">
      <c r="A308" s="39">
        <v>307</v>
      </c>
      <c r="B308" s="40">
        <v>3</v>
      </c>
      <c r="C308" s="9">
        <f t="shared" si="18"/>
        <v>36</v>
      </c>
      <c r="D308" s="9" t="s">
        <v>68</v>
      </c>
      <c r="E308" s="9">
        <v>8</v>
      </c>
      <c r="F308" s="9">
        <f t="shared" si="20"/>
        <v>96</v>
      </c>
      <c r="G308" s="9">
        <v>1</v>
      </c>
      <c r="H308" s="41" t="s">
        <v>89</v>
      </c>
      <c r="I308" s="42">
        <v>1000000</v>
      </c>
      <c r="J308" s="42">
        <v>3000000</v>
      </c>
      <c r="K308" s="43" t="s">
        <v>92</v>
      </c>
      <c r="L308" s="9" t="s">
        <v>222</v>
      </c>
      <c r="M308" s="9" t="s">
        <v>209</v>
      </c>
      <c r="N308" s="9" t="s">
        <v>209</v>
      </c>
      <c r="O308" s="9" t="s">
        <v>72</v>
      </c>
      <c r="P308" s="9">
        <v>25</v>
      </c>
      <c r="Q308" s="9" t="s">
        <v>210</v>
      </c>
      <c r="R308" s="47">
        <v>0</v>
      </c>
      <c r="S308" s="31"/>
      <c r="T308" s="31"/>
      <c r="U308" s="31"/>
      <c r="V308" s="31"/>
      <c r="W308" s="31"/>
      <c r="X308" s="31"/>
      <c r="Y308" s="31"/>
      <c r="Z308" s="31"/>
    </row>
    <row r="309" spans="1:26" ht="23.25" customHeight="1" x14ac:dyDescent="0.3">
      <c r="A309" s="39">
        <v>308</v>
      </c>
      <c r="B309" s="40">
        <v>30</v>
      </c>
      <c r="C309" s="9">
        <f t="shared" si="18"/>
        <v>360</v>
      </c>
      <c r="D309" s="9" t="s">
        <v>74</v>
      </c>
      <c r="E309" s="9">
        <v>25</v>
      </c>
      <c r="F309" s="9">
        <f t="shared" si="20"/>
        <v>300</v>
      </c>
      <c r="G309" s="9">
        <v>1</v>
      </c>
      <c r="H309" s="41" t="s">
        <v>200</v>
      </c>
      <c r="I309" s="42">
        <v>3000000</v>
      </c>
      <c r="J309" s="42">
        <v>5000000</v>
      </c>
      <c r="K309" s="43" t="s">
        <v>92</v>
      </c>
      <c r="L309" s="9" t="s">
        <v>223</v>
      </c>
      <c r="M309" s="9" t="s">
        <v>213</v>
      </c>
      <c r="N309" s="9" t="s">
        <v>209</v>
      </c>
      <c r="O309" s="9" t="s">
        <v>72</v>
      </c>
      <c r="P309" s="9">
        <v>53</v>
      </c>
      <c r="Q309" s="9" t="s">
        <v>80</v>
      </c>
      <c r="R309" s="47">
        <v>3</v>
      </c>
      <c r="S309" s="31"/>
      <c r="T309" s="31"/>
      <c r="U309" s="31"/>
      <c r="V309" s="31"/>
      <c r="W309" s="31"/>
      <c r="X309" s="31"/>
      <c r="Y309" s="31"/>
      <c r="Z309" s="31"/>
    </row>
    <row r="310" spans="1:26" ht="23.25" customHeight="1" x14ac:dyDescent="0.3">
      <c r="A310" s="39">
        <v>309</v>
      </c>
      <c r="B310" s="40">
        <v>25</v>
      </c>
      <c r="C310" s="9">
        <f t="shared" si="18"/>
        <v>300</v>
      </c>
      <c r="D310" s="9" t="s">
        <v>74</v>
      </c>
      <c r="E310" s="9">
        <v>25</v>
      </c>
      <c r="F310" s="9">
        <f t="shared" si="20"/>
        <v>300</v>
      </c>
      <c r="G310" s="9">
        <v>1</v>
      </c>
      <c r="H310" s="41" t="s">
        <v>78</v>
      </c>
      <c r="I310" s="42">
        <v>1200000</v>
      </c>
      <c r="J310" s="42">
        <v>1300000</v>
      </c>
      <c r="K310" s="43" t="s">
        <v>218</v>
      </c>
      <c r="L310" s="9" t="s">
        <v>120</v>
      </c>
      <c r="M310" s="9" t="s">
        <v>213</v>
      </c>
      <c r="N310" s="9" t="s">
        <v>209</v>
      </c>
      <c r="O310" s="9" t="s">
        <v>72</v>
      </c>
      <c r="P310" s="9">
        <v>44</v>
      </c>
      <c r="Q310" s="9" t="s">
        <v>80</v>
      </c>
      <c r="R310" s="47">
        <v>2</v>
      </c>
      <c r="S310" s="31"/>
      <c r="T310" s="31"/>
      <c r="U310" s="31"/>
      <c r="V310" s="31"/>
      <c r="W310" s="31"/>
      <c r="X310" s="31"/>
      <c r="Y310" s="31"/>
      <c r="Z310" s="31"/>
    </row>
    <row r="311" spans="1:26" ht="23.25" customHeight="1" x14ac:dyDescent="0.3">
      <c r="A311" s="39">
        <v>310</v>
      </c>
      <c r="B311" s="40">
        <v>12</v>
      </c>
      <c r="C311" s="9">
        <f t="shared" si="18"/>
        <v>144</v>
      </c>
      <c r="D311" s="9" t="s">
        <v>74</v>
      </c>
      <c r="E311" s="9">
        <v>12</v>
      </c>
      <c r="F311" s="9">
        <f t="shared" si="20"/>
        <v>144</v>
      </c>
      <c r="G311" s="34">
        <v>0</v>
      </c>
      <c r="H311" s="41" t="s">
        <v>86</v>
      </c>
      <c r="I311" s="42">
        <v>1400000</v>
      </c>
      <c r="J311" s="42">
        <v>3100000</v>
      </c>
      <c r="K311" s="43" t="s">
        <v>224</v>
      </c>
      <c r="L311" s="9" t="s">
        <v>225</v>
      </c>
      <c r="M311" s="9" t="s">
        <v>213</v>
      </c>
      <c r="N311" s="9" t="s">
        <v>213</v>
      </c>
      <c r="O311" s="9" t="s">
        <v>10</v>
      </c>
      <c r="P311" s="9">
        <v>36</v>
      </c>
      <c r="Q311" s="9" t="s">
        <v>210</v>
      </c>
      <c r="R311" s="47">
        <v>1</v>
      </c>
      <c r="S311" s="31"/>
      <c r="T311" s="31"/>
      <c r="U311" s="31"/>
      <c r="V311" s="31"/>
      <c r="W311" s="31"/>
      <c r="X311" s="31"/>
      <c r="Y311" s="31"/>
      <c r="Z311" s="31"/>
    </row>
    <row r="312" spans="1:26" ht="23.25" customHeight="1" x14ac:dyDescent="0.3">
      <c r="A312" s="39">
        <v>311</v>
      </c>
      <c r="B312" s="40">
        <v>15</v>
      </c>
      <c r="C312" s="9">
        <f t="shared" si="18"/>
        <v>180</v>
      </c>
      <c r="D312" s="9" t="s">
        <v>74</v>
      </c>
      <c r="E312" s="9">
        <v>15</v>
      </c>
      <c r="F312" s="9">
        <f t="shared" si="20"/>
        <v>180</v>
      </c>
      <c r="G312" s="34">
        <v>0</v>
      </c>
      <c r="H312" s="35" t="s">
        <v>151</v>
      </c>
      <c r="I312" s="42">
        <v>900000</v>
      </c>
      <c r="J312" s="42">
        <v>1500000</v>
      </c>
      <c r="K312" s="43" t="s">
        <v>218</v>
      </c>
      <c r="L312" s="9" t="s">
        <v>82</v>
      </c>
      <c r="M312" s="9" t="s">
        <v>213</v>
      </c>
      <c r="N312" s="9" t="s">
        <v>209</v>
      </c>
      <c r="O312" s="9" t="s">
        <v>72</v>
      </c>
      <c r="P312" s="9">
        <v>38</v>
      </c>
      <c r="Q312" s="9" t="s">
        <v>210</v>
      </c>
      <c r="R312" s="47">
        <v>1</v>
      </c>
      <c r="S312" s="31"/>
      <c r="T312" s="31"/>
      <c r="U312" s="31"/>
      <c r="V312" s="31"/>
      <c r="W312" s="31"/>
      <c r="X312" s="31"/>
      <c r="Y312" s="31"/>
      <c r="Z312" s="31"/>
    </row>
    <row r="313" spans="1:26" ht="23.25" customHeight="1" x14ac:dyDescent="0.3">
      <c r="A313" s="39">
        <v>312</v>
      </c>
      <c r="B313" s="40">
        <v>10</v>
      </c>
      <c r="C313" s="9">
        <f t="shared" si="18"/>
        <v>120</v>
      </c>
      <c r="D313" s="9" t="s">
        <v>74</v>
      </c>
      <c r="E313" s="9">
        <v>7</v>
      </c>
      <c r="F313" s="9">
        <f t="shared" si="20"/>
        <v>84</v>
      </c>
      <c r="G313" s="34">
        <v>0</v>
      </c>
      <c r="H313" s="41" t="s">
        <v>176</v>
      </c>
      <c r="I313" s="42">
        <v>1500000</v>
      </c>
      <c r="J313" s="42">
        <v>2700000</v>
      </c>
      <c r="K313" s="43" t="s">
        <v>218</v>
      </c>
      <c r="L313" s="9" t="s">
        <v>71</v>
      </c>
      <c r="M313" s="9" t="s">
        <v>209</v>
      </c>
      <c r="N313" s="9" t="s">
        <v>209</v>
      </c>
      <c r="O313" s="9" t="s">
        <v>72</v>
      </c>
      <c r="P313" s="9">
        <v>39</v>
      </c>
      <c r="Q313" s="9" t="s">
        <v>77</v>
      </c>
      <c r="R313" s="47">
        <v>3</v>
      </c>
      <c r="S313" s="31"/>
      <c r="T313" s="31"/>
      <c r="U313" s="31"/>
      <c r="V313" s="31"/>
      <c r="W313" s="31"/>
      <c r="X313" s="31"/>
      <c r="Y313" s="31"/>
      <c r="Z313" s="31"/>
    </row>
    <row r="314" spans="1:26" ht="23.25" customHeight="1" x14ac:dyDescent="0.3">
      <c r="A314" s="39">
        <v>313</v>
      </c>
      <c r="B314" s="40">
        <v>9</v>
      </c>
      <c r="C314" s="9">
        <f t="shared" si="18"/>
        <v>108</v>
      </c>
      <c r="D314" s="9" t="s">
        <v>104</v>
      </c>
      <c r="E314" s="9">
        <v>3</v>
      </c>
      <c r="F314" s="9">
        <f t="shared" si="20"/>
        <v>36</v>
      </c>
      <c r="G314" s="34">
        <v>0</v>
      </c>
      <c r="H314" s="35" t="s">
        <v>105</v>
      </c>
      <c r="I314" s="42">
        <v>2000000</v>
      </c>
      <c r="J314" s="42">
        <v>2500000</v>
      </c>
      <c r="K314" s="43" t="s">
        <v>207</v>
      </c>
      <c r="L314" s="9" t="s">
        <v>226</v>
      </c>
      <c r="M314" s="9" t="s">
        <v>213</v>
      </c>
      <c r="N314" s="9" t="s">
        <v>209</v>
      </c>
      <c r="O314" s="9" t="s">
        <v>72</v>
      </c>
      <c r="P314" s="9">
        <v>27</v>
      </c>
      <c r="Q314" s="9" t="s">
        <v>80</v>
      </c>
      <c r="R314" s="47">
        <v>0</v>
      </c>
      <c r="S314" s="31"/>
      <c r="T314" s="31"/>
      <c r="U314" s="31"/>
      <c r="V314" s="31"/>
      <c r="W314" s="31"/>
      <c r="X314" s="31"/>
      <c r="Y314" s="31"/>
      <c r="Z314" s="31"/>
    </row>
    <row r="315" spans="1:26" ht="23.25" customHeight="1" x14ac:dyDescent="0.3">
      <c r="A315" s="39">
        <v>314</v>
      </c>
      <c r="B315" s="40">
        <v>26</v>
      </c>
      <c r="C315" s="9">
        <f t="shared" si="18"/>
        <v>312</v>
      </c>
      <c r="D315" s="9" t="s">
        <v>74</v>
      </c>
      <c r="E315" s="9">
        <v>26</v>
      </c>
      <c r="F315" s="9">
        <f t="shared" si="20"/>
        <v>312</v>
      </c>
      <c r="G315" s="9">
        <v>1</v>
      </c>
      <c r="H315" s="41" t="s">
        <v>227</v>
      </c>
      <c r="I315" s="42">
        <v>2600000</v>
      </c>
      <c r="J315" s="42">
        <v>3200000</v>
      </c>
      <c r="K315" s="43" t="s">
        <v>224</v>
      </c>
      <c r="L315" s="9" t="s">
        <v>228</v>
      </c>
      <c r="M315" s="9" t="s">
        <v>213</v>
      </c>
      <c r="N315" s="9" t="s">
        <v>209</v>
      </c>
      <c r="O315" s="9" t="s">
        <v>72</v>
      </c>
      <c r="P315" s="9">
        <v>53</v>
      </c>
      <c r="Q315" s="9" t="s">
        <v>80</v>
      </c>
      <c r="R315" s="47">
        <v>1</v>
      </c>
      <c r="S315" s="31"/>
      <c r="T315" s="31"/>
      <c r="U315" s="31"/>
      <c r="V315" s="31"/>
      <c r="W315" s="31"/>
      <c r="X315" s="31"/>
      <c r="Y315" s="31"/>
      <c r="Z315" s="31"/>
    </row>
    <row r="316" spans="1:26" ht="23.25" customHeight="1" x14ac:dyDescent="0.3">
      <c r="A316" s="39">
        <v>315</v>
      </c>
      <c r="B316" s="40">
        <v>22</v>
      </c>
      <c r="C316" s="9">
        <f t="shared" si="18"/>
        <v>264</v>
      </c>
      <c r="D316" s="9" t="s">
        <v>123</v>
      </c>
      <c r="E316" s="9">
        <v>22</v>
      </c>
      <c r="F316" s="9">
        <f t="shared" si="20"/>
        <v>264</v>
      </c>
      <c r="G316" s="9">
        <v>1</v>
      </c>
      <c r="H316" s="41" t="s">
        <v>78</v>
      </c>
      <c r="I316" s="42">
        <v>2000000</v>
      </c>
      <c r="J316" s="42">
        <v>5000000</v>
      </c>
      <c r="K316" s="43" t="s">
        <v>207</v>
      </c>
      <c r="L316" s="9" t="s">
        <v>98</v>
      </c>
      <c r="M316" s="9" t="s">
        <v>209</v>
      </c>
      <c r="N316" s="9" t="s">
        <v>209</v>
      </c>
      <c r="O316" s="9" t="s">
        <v>72</v>
      </c>
      <c r="P316" s="9">
        <v>42</v>
      </c>
      <c r="Q316" s="9" t="s">
        <v>77</v>
      </c>
      <c r="R316" s="47">
        <v>4</v>
      </c>
      <c r="S316" s="31"/>
      <c r="T316" s="31"/>
      <c r="U316" s="31"/>
      <c r="V316" s="31"/>
      <c r="W316" s="31"/>
      <c r="X316" s="31"/>
      <c r="Y316" s="31"/>
      <c r="Z316" s="31"/>
    </row>
    <row r="317" spans="1:26" ht="23.25" customHeight="1" x14ac:dyDescent="0.3">
      <c r="A317" s="39">
        <v>316</v>
      </c>
      <c r="B317" s="40">
        <v>12</v>
      </c>
      <c r="C317" s="9">
        <f t="shared" si="18"/>
        <v>144</v>
      </c>
      <c r="D317" s="9" t="s">
        <v>74</v>
      </c>
      <c r="E317" s="9">
        <v>6</v>
      </c>
      <c r="F317" s="9">
        <f t="shared" si="20"/>
        <v>72</v>
      </c>
      <c r="G317" s="34">
        <v>0</v>
      </c>
      <c r="H317" s="35" t="s">
        <v>151</v>
      </c>
      <c r="I317" s="42">
        <v>1300000</v>
      </c>
      <c r="J317" s="42">
        <v>1600000</v>
      </c>
      <c r="K317" s="43" t="s">
        <v>214</v>
      </c>
      <c r="L317" s="9" t="s">
        <v>226</v>
      </c>
      <c r="M317" s="9" t="s">
        <v>213</v>
      </c>
      <c r="N317" s="9" t="s">
        <v>209</v>
      </c>
      <c r="O317" s="9" t="s">
        <v>72</v>
      </c>
      <c r="P317" s="9">
        <v>30</v>
      </c>
      <c r="Q317" s="9" t="s">
        <v>77</v>
      </c>
      <c r="R317" s="47">
        <v>1</v>
      </c>
      <c r="S317" s="31"/>
      <c r="T317" s="31"/>
      <c r="U317" s="31"/>
      <c r="V317" s="31"/>
      <c r="W317" s="31"/>
      <c r="X317" s="31"/>
      <c r="Y317" s="31"/>
      <c r="Z317" s="31"/>
    </row>
    <row r="318" spans="1:26" ht="23.25" customHeight="1" x14ac:dyDescent="0.3">
      <c r="A318" s="39">
        <v>317</v>
      </c>
      <c r="B318" s="40">
        <v>25</v>
      </c>
      <c r="C318" s="9">
        <f t="shared" si="18"/>
        <v>300</v>
      </c>
      <c r="D318" s="9" t="s">
        <v>74</v>
      </c>
      <c r="E318" s="9">
        <v>25</v>
      </c>
      <c r="F318" s="9">
        <f t="shared" si="20"/>
        <v>300</v>
      </c>
      <c r="G318" s="9">
        <v>1</v>
      </c>
      <c r="H318" s="41" t="s">
        <v>133</v>
      </c>
      <c r="I318" s="42">
        <v>1000000</v>
      </c>
      <c r="J318" s="42">
        <v>2000000</v>
      </c>
      <c r="K318" s="43" t="s">
        <v>218</v>
      </c>
      <c r="L318" s="9" t="s">
        <v>120</v>
      </c>
      <c r="M318" s="9" t="s">
        <v>213</v>
      </c>
      <c r="N318" s="9" t="s">
        <v>209</v>
      </c>
      <c r="O318" s="9" t="s">
        <v>72</v>
      </c>
      <c r="P318" s="9">
        <v>47</v>
      </c>
      <c r="Q318" s="9" t="s">
        <v>77</v>
      </c>
      <c r="R318" s="47">
        <v>1</v>
      </c>
      <c r="S318" s="31"/>
      <c r="T318" s="31"/>
      <c r="U318" s="31"/>
      <c r="V318" s="31"/>
      <c r="W318" s="31"/>
      <c r="X318" s="31"/>
      <c r="Y318" s="31"/>
      <c r="Z318" s="31"/>
    </row>
    <row r="319" spans="1:26" ht="23.25" customHeight="1" x14ac:dyDescent="0.3">
      <c r="A319" s="39">
        <v>318</v>
      </c>
      <c r="B319" s="40">
        <v>25</v>
      </c>
      <c r="C319" s="9">
        <f t="shared" si="18"/>
        <v>300</v>
      </c>
      <c r="D319" s="9" t="s">
        <v>74</v>
      </c>
      <c r="E319" s="9">
        <v>18</v>
      </c>
      <c r="F319" s="9">
        <f t="shared" si="20"/>
        <v>216</v>
      </c>
      <c r="G319" s="9">
        <v>1</v>
      </c>
      <c r="H319" s="41" t="s">
        <v>86</v>
      </c>
      <c r="I319" s="42">
        <v>2600000</v>
      </c>
      <c r="J319" s="42">
        <v>2800000</v>
      </c>
      <c r="K319" s="43" t="s">
        <v>92</v>
      </c>
      <c r="L319" s="9" t="s">
        <v>229</v>
      </c>
      <c r="M319" s="9" t="s">
        <v>213</v>
      </c>
      <c r="N319" s="9" t="s">
        <v>209</v>
      </c>
      <c r="O319" s="9" t="s">
        <v>10</v>
      </c>
      <c r="P319" s="9">
        <v>46</v>
      </c>
      <c r="Q319" s="9" t="s">
        <v>210</v>
      </c>
      <c r="R319" s="47">
        <v>1</v>
      </c>
      <c r="S319" s="31"/>
      <c r="T319" s="31"/>
      <c r="U319" s="31"/>
      <c r="V319" s="31"/>
      <c r="W319" s="31"/>
      <c r="X319" s="31"/>
      <c r="Y319" s="31"/>
      <c r="Z319" s="31"/>
    </row>
    <row r="320" spans="1:26" ht="23.25" customHeight="1" x14ac:dyDescent="0.3">
      <c r="A320" s="39">
        <v>319</v>
      </c>
      <c r="B320" s="40">
        <v>4</v>
      </c>
      <c r="C320" s="9">
        <f t="shared" si="18"/>
        <v>48</v>
      </c>
      <c r="D320" s="9" t="s">
        <v>74</v>
      </c>
      <c r="E320" s="9">
        <v>4</v>
      </c>
      <c r="F320" s="9">
        <f t="shared" si="20"/>
        <v>48</v>
      </c>
      <c r="G320" s="9">
        <v>1</v>
      </c>
      <c r="H320" s="41" t="s">
        <v>230</v>
      </c>
      <c r="I320" s="42">
        <v>1000000</v>
      </c>
      <c r="J320" s="42">
        <v>1300000</v>
      </c>
      <c r="K320" s="43" t="s">
        <v>211</v>
      </c>
      <c r="L320" s="9" t="s">
        <v>98</v>
      </c>
      <c r="M320" s="9" t="s">
        <v>209</v>
      </c>
      <c r="N320" s="9" t="s">
        <v>209</v>
      </c>
      <c r="O320" s="9" t="s">
        <v>72</v>
      </c>
      <c r="P320" s="9">
        <v>22</v>
      </c>
      <c r="Q320" s="9" t="s">
        <v>80</v>
      </c>
      <c r="R320" s="47">
        <v>1</v>
      </c>
      <c r="S320" s="31"/>
      <c r="T320" s="31"/>
      <c r="U320" s="31"/>
      <c r="V320" s="31"/>
      <c r="W320" s="31"/>
      <c r="X320" s="31"/>
      <c r="Y320" s="31"/>
      <c r="Z320" s="31"/>
    </row>
    <row r="321" spans="1:26" ht="23.25" customHeight="1" x14ac:dyDescent="0.3">
      <c r="A321" s="39">
        <v>320</v>
      </c>
      <c r="B321" s="40">
        <v>40</v>
      </c>
      <c r="C321" s="9">
        <f t="shared" si="18"/>
        <v>480</v>
      </c>
      <c r="D321" s="9" t="s">
        <v>74</v>
      </c>
      <c r="E321" s="9">
        <v>25</v>
      </c>
      <c r="F321" s="9">
        <f t="shared" si="20"/>
        <v>300</v>
      </c>
      <c r="G321" s="34">
        <v>0</v>
      </c>
      <c r="H321" s="41" t="s">
        <v>86</v>
      </c>
      <c r="I321" s="42">
        <v>1800000</v>
      </c>
      <c r="J321" s="42">
        <v>3500000</v>
      </c>
      <c r="K321" s="43" t="s">
        <v>92</v>
      </c>
      <c r="L321" s="9" t="s">
        <v>231</v>
      </c>
      <c r="M321" s="9" t="s">
        <v>213</v>
      </c>
      <c r="N321" s="9" t="s">
        <v>209</v>
      </c>
      <c r="O321" s="9" t="s">
        <v>72</v>
      </c>
      <c r="P321" s="9">
        <v>65</v>
      </c>
      <c r="Q321" s="9" t="s">
        <v>77</v>
      </c>
      <c r="R321" s="47">
        <v>3</v>
      </c>
      <c r="S321" s="31"/>
      <c r="T321" s="31"/>
      <c r="U321" s="31"/>
      <c r="V321" s="31"/>
      <c r="W321" s="31"/>
      <c r="X321" s="31"/>
      <c r="Y321" s="31"/>
      <c r="Z321" s="31"/>
    </row>
    <row r="322" spans="1:26" ht="23.25" customHeight="1" x14ac:dyDescent="0.3">
      <c r="A322" s="39">
        <v>321</v>
      </c>
      <c r="B322" s="40">
        <v>16</v>
      </c>
      <c r="C322" s="9">
        <f t="shared" si="18"/>
        <v>192</v>
      </c>
      <c r="D322" s="9" t="s">
        <v>74</v>
      </c>
      <c r="E322" s="9">
        <v>16</v>
      </c>
      <c r="F322" s="9">
        <f t="shared" si="20"/>
        <v>192</v>
      </c>
      <c r="G322" s="9">
        <v>1</v>
      </c>
      <c r="H322" s="41" t="s">
        <v>86</v>
      </c>
      <c r="I322" s="42">
        <v>1000000</v>
      </c>
      <c r="J322" s="42">
        <v>1500000</v>
      </c>
      <c r="K322" s="43" t="s">
        <v>92</v>
      </c>
      <c r="L322" s="9" t="s">
        <v>232</v>
      </c>
      <c r="M322" s="9" t="s">
        <v>213</v>
      </c>
      <c r="N322" s="9" t="s">
        <v>209</v>
      </c>
      <c r="O322" s="9" t="s">
        <v>10</v>
      </c>
      <c r="P322" s="9">
        <v>39</v>
      </c>
      <c r="Q322" s="9" t="s">
        <v>210</v>
      </c>
      <c r="R322" s="47">
        <v>3</v>
      </c>
      <c r="S322" s="31"/>
      <c r="T322" s="31"/>
      <c r="U322" s="31"/>
      <c r="V322" s="31"/>
      <c r="W322" s="31"/>
      <c r="X322" s="31"/>
      <c r="Y322" s="31"/>
      <c r="Z322" s="31"/>
    </row>
    <row r="323" spans="1:26" ht="23.25" customHeight="1" x14ac:dyDescent="0.3">
      <c r="A323" s="39">
        <v>322</v>
      </c>
      <c r="B323" s="40">
        <v>20</v>
      </c>
      <c r="C323" s="9">
        <f t="shared" si="18"/>
        <v>240</v>
      </c>
      <c r="D323" s="9" t="s">
        <v>74</v>
      </c>
      <c r="E323" s="9">
        <v>20</v>
      </c>
      <c r="F323" s="9">
        <f t="shared" si="20"/>
        <v>240</v>
      </c>
      <c r="G323" s="9">
        <v>1</v>
      </c>
      <c r="H323" s="41" t="s">
        <v>230</v>
      </c>
      <c r="I323" s="42">
        <v>800000</v>
      </c>
      <c r="J323" s="42">
        <v>1000000</v>
      </c>
      <c r="K323" s="43" t="s">
        <v>211</v>
      </c>
      <c r="L323" s="9" t="s">
        <v>98</v>
      </c>
      <c r="M323" s="9" t="s">
        <v>213</v>
      </c>
      <c r="N323" s="9" t="s">
        <v>209</v>
      </c>
      <c r="O323" s="9" t="s">
        <v>72</v>
      </c>
      <c r="P323" s="9">
        <v>35</v>
      </c>
      <c r="Q323" s="9" t="s">
        <v>210</v>
      </c>
      <c r="R323" s="47">
        <v>0</v>
      </c>
      <c r="S323" s="31"/>
      <c r="T323" s="31"/>
      <c r="U323" s="31"/>
      <c r="V323" s="31"/>
      <c r="W323" s="31"/>
      <c r="X323" s="31"/>
      <c r="Y323" s="31"/>
      <c r="Z323" s="31"/>
    </row>
    <row r="324" spans="1:26" ht="23.25" customHeight="1" x14ac:dyDescent="0.3">
      <c r="A324" s="39">
        <v>323</v>
      </c>
      <c r="B324" s="40">
        <v>45</v>
      </c>
      <c r="C324" s="9">
        <f t="shared" si="18"/>
        <v>540</v>
      </c>
      <c r="D324" s="9" t="s">
        <v>68</v>
      </c>
      <c r="E324" s="9">
        <v>30</v>
      </c>
      <c r="F324" s="9">
        <f t="shared" si="20"/>
        <v>360</v>
      </c>
      <c r="G324" s="9">
        <v>1</v>
      </c>
      <c r="H324" s="41" t="s">
        <v>89</v>
      </c>
      <c r="I324" s="42">
        <v>900000</v>
      </c>
      <c r="J324" s="42">
        <v>2000000</v>
      </c>
      <c r="K324" s="43" t="s">
        <v>211</v>
      </c>
      <c r="L324" s="9" t="s">
        <v>98</v>
      </c>
      <c r="M324" s="9" t="s">
        <v>209</v>
      </c>
      <c r="N324" s="9" t="s">
        <v>209</v>
      </c>
      <c r="O324" s="9" t="s">
        <v>10</v>
      </c>
      <c r="P324" s="9">
        <v>70</v>
      </c>
      <c r="Q324" s="9" t="s">
        <v>210</v>
      </c>
      <c r="R324" s="47">
        <v>3</v>
      </c>
      <c r="S324" s="31"/>
      <c r="T324" s="31"/>
      <c r="U324" s="31"/>
      <c r="V324" s="31"/>
      <c r="W324" s="31"/>
      <c r="X324" s="31"/>
      <c r="Y324" s="31"/>
      <c r="Z324" s="31"/>
    </row>
    <row r="325" spans="1:26" ht="23.25" customHeight="1" x14ac:dyDescent="0.3">
      <c r="A325" s="39">
        <v>324</v>
      </c>
      <c r="B325" s="40">
        <v>43</v>
      </c>
      <c r="C325" s="9">
        <f t="shared" si="18"/>
        <v>516</v>
      </c>
      <c r="D325" s="9" t="s">
        <v>74</v>
      </c>
      <c r="E325" s="9">
        <v>40</v>
      </c>
      <c r="F325" s="9">
        <f t="shared" si="20"/>
        <v>480</v>
      </c>
      <c r="G325" s="9">
        <v>1</v>
      </c>
      <c r="H325" s="41" t="s">
        <v>83</v>
      </c>
      <c r="I325" s="42">
        <v>1200000</v>
      </c>
      <c r="J325" s="42">
        <v>1500000</v>
      </c>
      <c r="K325" s="43" t="s">
        <v>207</v>
      </c>
      <c r="L325" s="9" t="s">
        <v>208</v>
      </c>
      <c r="M325" s="9" t="s">
        <v>209</v>
      </c>
      <c r="N325" s="9" t="s">
        <v>209</v>
      </c>
      <c r="O325" s="9" t="s">
        <v>72</v>
      </c>
      <c r="P325" s="9">
        <v>55</v>
      </c>
      <c r="Q325" s="9" t="s">
        <v>233</v>
      </c>
      <c r="R325" s="47">
        <v>4</v>
      </c>
      <c r="S325" s="31"/>
      <c r="T325" s="31"/>
      <c r="U325" s="31"/>
      <c r="V325" s="31"/>
      <c r="W325" s="31"/>
      <c r="X325" s="31"/>
      <c r="Y325" s="31"/>
      <c r="Z325" s="31"/>
    </row>
    <row r="326" spans="1:26" ht="23.25" customHeight="1" x14ac:dyDescent="0.3">
      <c r="A326" s="39">
        <v>325</v>
      </c>
      <c r="B326" s="40">
        <v>30</v>
      </c>
      <c r="C326" s="9">
        <f t="shared" si="18"/>
        <v>360</v>
      </c>
      <c r="D326" s="9" t="s">
        <v>74</v>
      </c>
      <c r="E326" s="9">
        <v>30</v>
      </c>
      <c r="F326" s="9">
        <f t="shared" si="20"/>
        <v>360</v>
      </c>
      <c r="G326" s="34">
        <v>0</v>
      </c>
      <c r="H326" s="41" t="s">
        <v>133</v>
      </c>
      <c r="I326" s="42">
        <v>1500000</v>
      </c>
      <c r="J326" s="42">
        <v>3000000</v>
      </c>
      <c r="K326" s="43" t="s">
        <v>218</v>
      </c>
      <c r="L326" s="9" t="s">
        <v>120</v>
      </c>
      <c r="M326" s="9" t="s">
        <v>213</v>
      </c>
      <c r="N326" s="9" t="s">
        <v>209</v>
      </c>
      <c r="O326" s="9" t="s">
        <v>72</v>
      </c>
      <c r="P326" s="9">
        <v>52</v>
      </c>
      <c r="Q326" s="9" t="s">
        <v>80</v>
      </c>
      <c r="R326" s="47">
        <v>3</v>
      </c>
      <c r="S326" s="31"/>
      <c r="T326" s="31"/>
      <c r="U326" s="31"/>
      <c r="V326" s="31"/>
      <c r="W326" s="31"/>
      <c r="X326" s="31"/>
      <c r="Y326" s="31"/>
      <c r="Z326" s="31"/>
    </row>
    <row r="327" spans="1:26" ht="23.25" customHeight="1" x14ac:dyDescent="0.3">
      <c r="A327" s="39">
        <v>326</v>
      </c>
      <c r="B327" s="40">
        <v>2.4</v>
      </c>
      <c r="C327" s="9">
        <f t="shared" si="18"/>
        <v>28.799999999999997</v>
      </c>
      <c r="D327" s="9" t="s">
        <v>74</v>
      </c>
      <c r="E327" s="9">
        <v>2.4</v>
      </c>
      <c r="F327" s="9">
        <f t="shared" si="20"/>
        <v>28.799999999999997</v>
      </c>
      <c r="G327" s="34">
        <v>0</v>
      </c>
      <c r="H327" s="41" t="s">
        <v>83</v>
      </c>
      <c r="I327" s="42">
        <v>800000</v>
      </c>
      <c r="J327" s="42">
        <v>1000000</v>
      </c>
      <c r="K327" s="43" t="s">
        <v>92</v>
      </c>
      <c r="L327" s="9" t="s">
        <v>234</v>
      </c>
      <c r="M327" s="9" t="s">
        <v>213</v>
      </c>
      <c r="N327" s="9" t="s">
        <v>209</v>
      </c>
      <c r="O327" s="9" t="s">
        <v>10</v>
      </c>
      <c r="P327" s="9">
        <v>25</v>
      </c>
      <c r="Q327" s="9" t="s">
        <v>210</v>
      </c>
      <c r="R327" s="47">
        <v>0</v>
      </c>
      <c r="S327" s="31"/>
      <c r="T327" s="31"/>
      <c r="U327" s="31"/>
      <c r="V327" s="31"/>
      <c r="W327" s="31"/>
      <c r="X327" s="31"/>
      <c r="Y327" s="31"/>
      <c r="Z327" s="31"/>
    </row>
    <row r="328" spans="1:26" ht="23.25" customHeight="1" x14ac:dyDescent="0.3">
      <c r="A328" s="39">
        <v>327</v>
      </c>
      <c r="B328" s="40">
        <v>17</v>
      </c>
      <c r="C328" s="9">
        <f t="shared" si="18"/>
        <v>204</v>
      </c>
      <c r="D328" s="9" t="s">
        <v>74</v>
      </c>
      <c r="E328" s="9">
        <v>11</v>
      </c>
      <c r="F328" s="9">
        <f t="shared" si="20"/>
        <v>132</v>
      </c>
      <c r="G328" s="9">
        <v>1</v>
      </c>
      <c r="H328" s="41" t="s">
        <v>86</v>
      </c>
      <c r="I328" s="42">
        <v>3500000</v>
      </c>
      <c r="J328" s="42">
        <v>5300000</v>
      </c>
      <c r="K328" s="43" t="s">
        <v>92</v>
      </c>
      <c r="L328" s="9" t="s">
        <v>235</v>
      </c>
      <c r="M328" s="9" t="s">
        <v>213</v>
      </c>
      <c r="N328" s="9" t="s">
        <v>209</v>
      </c>
      <c r="O328" s="9" t="s">
        <v>10</v>
      </c>
      <c r="P328" s="9">
        <v>43</v>
      </c>
      <c r="Q328" s="9" t="s">
        <v>77</v>
      </c>
      <c r="R328" s="47">
        <v>2</v>
      </c>
      <c r="S328" s="31"/>
      <c r="T328" s="31"/>
      <c r="U328" s="31"/>
      <c r="V328" s="31"/>
      <c r="W328" s="31"/>
      <c r="X328" s="31"/>
      <c r="Y328" s="31"/>
      <c r="Z328" s="31"/>
    </row>
    <row r="329" spans="1:26" ht="23.25" customHeight="1" x14ac:dyDescent="0.3">
      <c r="A329" s="39">
        <v>328</v>
      </c>
      <c r="B329" s="40">
        <v>26</v>
      </c>
      <c r="C329" s="9">
        <f t="shared" si="18"/>
        <v>312</v>
      </c>
      <c r="D329" s="9" t="s">
        <v>115</v>
      </c>
      <c r="E329" s="9">
        <v>26</v>
      </c>
      <c r="F329" s="9">
        <f t="shared" si="20"/>
        <v>312</v>
      </c>
      <c r="G329" s="34">
        <v>0</v>
      </c>
      <c r="H329" s="41" t="s">
        <v>130</v>
      </c>
      <c r="I329" s="42">
        <v>2000000</v>
      </c>
      <c r="J329" s="42">
        <v>2700000</v>
      </c>
      <c r="K329" s="43" t="s">
        <v>218</v>
      </c>
      <c r="L329" s="9" t="s">
        <v>236</v>
      </c>
      <c r="M329" s="9" t="s">
        <v>213</v>
      </c>
      <c r="N329" s="9" t="s">
        <v>209</v>
      </c>
      <c r="O329" s="9" t="s">
        <v>72</v>
      </c>
      <c r="P329" s="9">
        <v>40</v>
      </c>
      <c r="Q329" s="9" t="s">
        <v>233</v>
      </c>
      <c r="R329" s="47">
        <v>1</v>
      </c>
      <c r="S329" s="31"/>
      <c r="T329" s="31"/>
      <c r="U329" s="31"/>
      <c r="V329" s="31"/>
      <c r="W329" s="31"/>
      <c r="X329" s="31"/>
      <c r="Y329" s="31"/>
      <c r="Z329" s="31"/>
    </row>
    <row r="330" spans="1:26" ht="23.25" customHeight="1" x14ac:dyDescent="0.3">
      <c r="A330" s="39">
        <v>329</v>
      </c>
      <c r="B330" s="40">
        <v>25</v>
      </c>
      <c r="C330" s="9">
        <f t="shared" si="18"/>
        <v>300</v>
      </c>
      <c r="D330" s="9" t="s">
        <v>74</v>
      </c>
      <c r="E330" s="9">
        <v>10</v>
      </c>
      <c r="F330" s="9">
        <f t="shared" si="20"/>
        <v>120</v>
      </c>
      <c r="G330" s="34">
        <v>0</v>
      </c>
      <c r="H330" s="41" t="s">
        <v>86</v>
      </c>
      <c r="I330" s="42">
        <v>1300000</v>
      </c>
      <c r="J330" s="42">
        <v>2000000</v>
      </c>
      <c r="K330" s="43" t="s">
        <v>92</v>
      </c>
      <c r="L330" s="9" t="s">
        <v>237</v>
      </c>
      <c r="M330" s="9" t="s">
        <v>213</v>
      </c>
      <c r="N330" s="9" t="s">
        <v>209</v>
      </c>
      <c r="O330" s="9" t="s">
        <v>10</v>
      </c>
      <c r="P330" s="9">
        <v>45</v>
      </c>
      <c r="Q330" s="9" t="s">
        <v>77</v>
      </c>
      <c r="R330" s="47">
        <v>1</v>
      </c>
      <c r="S330" s="31"/>
      <c r="T330" s="31"/>
      <c r="U330" s="31"/>
      <c r="V330" s="31"/>
      <c r="W330" s="31"/>
      <c r="X330" s="31"/>
      <c r="Y330" s="31"/>
      <c r="Z330" s="31"/>
    </row>
    <row r="331" spans="1:26" ht="23.25" customHeight="1" x14ac:dyDescent="0.3">
      <c r="A331" s="39">
        <v>330</v>
      </c>
      <c r="B331" s="40">
        <v>4</v>
      </c>
      <c r="C331" s="9">
        <f t="shared" si="18"/>
        <v>48</v>
      </c>
      <c r="D331" s="9" t="s">
        <v>68</v>
      </c>
      <c r="E331" s="9">
        <v>4</v>
      </c>
      <c r="F331" s="9">
        <f t="shared" si="20"/>
        <v>48</v>
      </c>
      <c r="G331" s="9">
        <v>1</v>
      </c>
      <c r="H331" s="41" t="s">
        <v>200</v>
      </c>
      <c r="I331" s="42">
        <v>1500000</v>
      </c>
      <c r="J331" s="42">
        <v>3000000</v>
      </c>
      <c r="K331" s="43" t="s">
        <v>92</v>
      </c>
      <c r="L331" s="9" t="s">
        <v>161</v>
      </c>
      <c r="M331" s="9" t="s">
        <v>209</v>
      </c>
      <c r="N331" s="9" t="s">
        <v>209</v>
      </c>
      <c r="O331" s="9" t="s">
        <v>10</v>
      </c>
      <c r="P331" s="9">
        <v>26</v>
      </c>
      <c r="Q331" s="9" t="s">
        <v>77</v>
      </c>
      <c r="R331" s="47">
        <v>0</v>
      </c>
      <c r="S331" s="31"/>
      <c r="T331" s="31"/>
      <c r="U331" s="31"/>
      <c r="V331" s="31"/>
      <c r="W331" s="31"/>
      <c r="X331" s="31"/>
      <c r="Y331" s="31"/>
      <c r="Z331" s="31"/>
    </row>
    <row r="332" spans="1:26" ht="23.25" customHeight="1" x14ac:dyDescent="0.3">
      <c r="A332" s="39">
        <v>331</v>
      </c>
      <c r="B332" s="40">
        <v>19</v>
      </c>
      <c r="C332" s="9">
        <f t="shared" si="18"/>
        <v>228</v>
      </c>
      <c r="D332" s="9" t="s">
        <v>123</v>
      </c>
      <c r="E332" s="9">
        <v>1</v>
      </c>
      <c r="F332" s="9">
        <f t="shared" si="20"/>
        <v>12</v>
      </c>
      <c r="G332" s="34">
        <v>0</v>
      </c>
      <c r="H332" s="41" t="s">
        <v>238</v>
      </c>
      <c r="I332" s="42">
        <v>1900000</v>
      </c>
      <c r="J332" s="42">
        <v>4000000</v>
      </c>
      <c r="K332" s="43" t="s">
        <v>218</v>
      </c>
      <c r="L332" s="9" t="s">
        <v>96</v>
      </c>
      <c r="M332" s="9" t="s">
        <v>209</v>
      </c>
      <c r="N332" s="9" t="s">
        <v>209</v>
      </c>
      <c r="O332" s="9" t="s">
        <v>72</v>
      </c>
      <c r="P332" s="9">
        <v>37</v>
      </c>
      <c r="Q332" s="9" t="s">
        <v>80</v>
      </c>
      <c r="R332" s="47">
        <v>2</v>
      </c>
      <c r="S332" s="31"/>
      <c r="T332" s="31"/>
      <c r="U332" s="31"/>
      <c r="V332" s="31"/>
      <c r="W332" s="31"/>
      <c r="X332" s="31"/>
      <c r="Y332" s="31"/>
      <c r="Z332" s="31"/>
    </row>
    <row r="333" spans="1:26" ht="23.25" customHeight="1" x14ac:dyDescent="0.3">
      <c r="A333" s="39">
        <v>332</v>
      </c>
      <c r="B333" s="40">
        <v>2</v>
      </c>
      <c r="C333" s="9">
        <f t="shared" si="18"/>
        <v>24</v>
      </c>
      <c r="D333" s="9" t="s">
        <v>74</v>
      </c>
      <c r="E333" s="9">
        <v>2</v>
      </c>
      <c r="F333" s="9">
        <f t="shared" si="20"/>
        <v>24</v>
      </c>
      <c r="G333" s="9">
        <v>1</v>
      </c>
      <c r="H333" s="41" t="s">
        <v>83</v>
      </c>
      <c r="I333" s="42">
        <v>1000000</v>
      </c>
      <c r="J333" s="42">
        <v>1800000</v>
      </c>
      <c r="K333" s="43" t="s">
        <v>207</v>
      </c>
      <c r="L333" s="9" t="s">
        <v>239</v>
      </c>
      <c r="M333" s="9" t="s">
        <v>213</v>
      </c>
      <c r="N333" s="9" t="s">
        <v>209</v>
      </c>
      <c r="O333" s="9" t="s">
        <v>10</v>
      </c>
      <c r="P333" s="9">
        <v>21</v>
      </c>
      <c r="Q333" s="9" t="s">
        <v>210</v>
      </c>
      <c r="R333" s="47">
        <v>0</v>
      </c>
      <c r="S333" s="31"/>
      <c r="T333" s="31"/>
      <c r="U333" s="31"/>
      <c r="V333" s="31"/>
      <c r="W333" s="31"/>
      <c r="X333" s="31"/>
      <c r="Y333" s="31"/>
      <c r="Z333" s="31"/>
    </row>
    <row r="334" spans="1:26" ht="23.25" customHeight="1" x14ac:dyDescent="0.3">
      <c r="A334" s="39">
        <v>333</v>
      </c>
      <c r="B334" s="40">
        <v>4</v>
      </c>
      <c r="C334" s="9">
        <f t="shared" si="18"/>
        <v>48</v>
      </c>
      <c r="D334" s="9" t="s">
        <v>74</v>
      </c>
      <c r="E334" s="9">
        <v>2</v>
      </c>
      <c r="F334" s="9">
        <f t="shared" si="20"/>
        <v>24</v>
      </c>
      <c r="G334" s="34">
        <v>0</v>
      </c>
      <c r="H334" s="35" t="s">
        <v>69</v>
      </c>
      <c r="I334" s="42">
        <v>1200000</v>
      </c>
      <c r="J334" s="42">
        <v>1900000</v>
      </c>
      <c r="K334" s="43" t="s">
        <v>92</v>
      </c>
      <c r="L334" s="9" t="s">
        <v>240</v>
      </c>
      <c r="M334" s="9" t="s">
        <v>209</v>
      </c>
      <c r="N334" s="9" t="s">
        <v>209</v>
      </c>
      <c r="O334" s="9" t="s">
        <v>72</v>
      </c>
      <c r="P334" s="9">
        <v>23</v>
      </c>
      <c r="Q334" s="9" t="s">
        <v>210</v>
      </c>
      <c r="R334" s="47">
        <v>0</v>
      </c>
      <c r="S334" s="31"/>
      <c r="T334" s="31"/>
      <c r="U334" s="31"/>
      <c r="V334" s="31"/>
      <c r="W334" s="31"/>
      <c r="X334" s="31"/>
      <c r="Y334" s="31"/>
      <c r="Z334" s="31"/>
    </row>
    <row r="335" spans="1:26" ht="23.25" customHeight="1" x14ac:dyDescent="0.3">
      <c r="A335" s="39">
        <v>334</v>
      </c>
      <c r="B335" s="40">
        <v>2.6</v>
      </c>
      <c r="C335" s="9">
        <f t="shared" si="18"/>
        <v>31.200000000000003</v>
      </c>
      <c r="D335" s="9" t="s">
        <v>74</v>
      </c>
      <c r="E335" s="9">
        <v>2</v>
      </c>
      <c r="F335" s="9">
        <f t="shared" si="20"/>
        <v>24</v>
      </c>
      <c r="G335" s="34">
        <v>0</v>
      </c>
      <c r="H335" s="41" t="s">
        <v>83</v>
      </c>
      <c r="I335" s="42">
        <v>700000</v>
      </c>
      <c r="J335" s="42">
        <v>1800000</v>
      </c>
      <c r="K335" s="43" t="s">
        <v>207</v>
      </c>
      <c r="L335" s="9" t="s">
        <v>107</v>
      </c>
      <c r="M335" s="9" t="s">
        <v>209</v>
      </c>
      <c r="N335" s="9" t="s">
        <v>209</v>
      </c>
      <c r="O335" s="9" t="s">
        <v>10</v>
      </c>
      <c r="P335" s="9">
        <v>24</v>
      </c>
      <c r="Q335" s="9" t="s">
        <v>77</v>
      </c>
      <c r="R335" s="47">
        <v>0</v>
      </c>
      <c r="S335" s="31"/>
      <c r="T335" s="31"/>
      <c r="U335" s="31"/>
      <c r="V335" s="31"/>
      <c r="W335" s="31"/>
      <c r="X335" s="31"/>
      <c r="Y335" s="31"/>
      <c r="Z335" s="31"/>
    </row>
    <row r="336" spans="1:26" ht="23.25" customHeight="1" x14ac:dyDescent="0.3">
      <c r="A336" s="39">
        <v>335</v>
      </c>
      <c r="B336" s="40">
        <v>2</v>
      </c>
      <c r="C336" s="9">
        <f t="shared" si="18"/>
        <v>24</v>
      </c>
      <c r="D336" s="9" t="s">
        <v>104</v>
      </c>
      <c r="E336" s="9">
        <v>1.3</v>
      </c>
      <c r="F336" s="9">
        <f t="shared" si="20"/>
        <v>15.600000000000001</v>
      </c>
      <c r="G336" s="9">
        <v>1</v>
      </c>
      <c r="H336" s="41" t="s">
        <v>83</v>
      </c>
      <c r="I336" s="42">
        <v>1000000</v>
      </c>
      <c r="J336" s="42">
        <v>1000000</v>
      </c>
      <c r="K336" s="43" t="s">
        <v>207</v>
      </c>
      <c r="L336" s="9" t="s">
        <v>98</v>
      </c>
      <c r="M336" s="9" t="s">
        <v>209</v>
      </c>
      <c r="N336" s="9" t="s">
        <v>209</v>
      </c>
      <c r="O336" s="9" t="s">
        <v>10</v>
      </c>
      <c r="P336" s="9">
        <v>23</v>
      </c>
      <c r="Q336" s="9" t="s">
        <v>210</v>
      </c>
      <c r="R336" s="47">
        <v>0</v>
      </c>
      <c r="S336" s="31"/>
      <c r="T336" s="31"/>
      <c r="U336" s="31"/>
      <c r="V336" s="31"/>
      <c r="W336" s="31"/>
      <c r="X336" s="31"/>
      <c r="Y336" s="31"/>
      <c r="Z336" s="31"/>
    </row>
    <row r="337" spans="1:26" ht="23.25" customHeight="1" x14ac:dyDescent="0.3">
      <c r="A337" s="39">
        <v>336</v>
      </c>
      <c r="B337" s="40">
        <v>0.5</v>
      </c>
      <c r="C337" s="9">
        <f t="shared" si="18"/>
        <v>6</v>
      </c>
      <c r="D337" s="9" t="s">
        <v>115</v>
      </c>
      <c r="E337" s="9">
        <v>0.5</v>
      </c>
      <c r="F337" s="9">
        <f t="shared" si="20"/>
        <v>6</v>
      </c>
      <c r="G337" s="9">
        <v>1</v>
      </c>
      <c r="H337" s="41" t="s">
        <v>83</v>
      </c>
      <c r="I337" s="42">
        <v>700000</v>
      </c>
      <c r="J337" s="42">
        <v>984000</v>
      </c>
      <c r="K337" s="43" t="s">
        <v>211</v>
      </c>
      <c r="L337" s="9" t="s">
        <v>98</v>
      </c>
      <c r="M337" s="9" t="s">
        <v>209</v>
      </c>
      <c r="N337" s="9" t="s">
        <v>209</v>
      </c>
      <c r="O337" s="9" t="s">
        <v>10</v>
      </c>
      <c r="P337" s="9">
        <v>23</v>
      </c>
      <c r="Q337" s="9" t="s">
        <v>210</v>
      </c>
      <c r="R337" s="47">
        <v>0</v>
      </c>
      <c r="S337" s="31"/>
      <c r="T337" s="31"/>
      <c r="U337" s="31"/>
      <c r="V337" s="31"/>
      <c r="W337" s="31"/>
      <c r="X337" s="31"/>
      <c r="Y337" s="31"/>
      <c r="Z337" s="31"/>
    </row>
    <row r="338" spans="1:26" ht="23.25" customHeight="1" x14ac:dyDescent="0.3">
      <c r="A338" s="39">
        <v>337</v>
      </c>
      <c r="B338" s="40">
        <v>7</v>
      </c>
      <c r="C338" s="9">
        <f t="shared" si="18"/>
        <v>84</v>
      </c>
      <c r="D338" s="9" t="s">
        <v>68</v>
      </c>
      <c r="E338" s="9">
        <v>5</v>
      </c>
      <c r="F338" s="9">
        <f t="shared" si="20"/>
        <v>60</v>
      </c>
      <c r="G338" s="9">
        <v>1</v>
      </c>
      <c r="H338" s="41" t="s">
        <v>89</v>
      </c>
      <c r="I338" s="42">
        <v>850000</v>
      </c>
      <c r="J338" s="42">
        <v>1200000</v>
      </c>
      <c r="K338" s="43" t="s">
        <v>218</v>
      </c>
      <c r="L338" s="9" t="s">
        <v>79</v>
      </c>
      <c r="M338" s="9" t="s">
        <v>209</v>
      </c>
      <c r="N338" s="9" t="s">
        <v>209</v>
      </c>
      <c r="O338" s="9" t="s">
        <v>72</v>
      </c>
      <c r="P338" s="9">
        <v>26</v>
      </c>
      <c r="Q338" s="9" t="s">
        <v>210</v>
      </c>
      <c r="R338" s="47">
        <v>1</v>
      </c>
      <c r="S338" s="31"/>
      <c r="T338" s="31"/>
      <c r="U338" s="31"/>
      <c r="V338" s="31"/>
      <c r="W338" s="31"/>
      <c r="X338" s="31"/>
      <c r="Y338" s="31"/>
      <c r="Z338" s="31"/>
    </row>
    <row r="339" spans="1:26" ht="23.25" customHeight="1" x14ac:dyDescent="0.3">
      <c r="A339" s="39">
        <v>338</v>
      </c>
      <c r="B339" s="40">
        <v>14</v>
      </c>
      <c r="C339" s="9">
        <f t="shared" si="18"/>
        <v>168</v>
      </c>
      <c r="D339" s="9" t="s">
        <v>74</v>
      </c>
      <c r="E339" s="9">
        <v>14</v>
      </c>
      <c r="F339" s="9">
        <f t="shared" si="20"/>
        <v>168</v>
      </c>
      <c r="G339" s="9">
        <v>1</v>
      </c>
      <c r="H339" s="41" t="s">
        <v>83</v>
      </c>
      <c r="I339" s="42">
        <v>850000</v>
      </c>
      <c r="J339" s="42">
        <v>1400000</v>
      </c>
      <c r="K339" s="43" t="s">
        <v>214</v>
      </c>
      <c r="L339" s="9" t="s">
        <v>241</v>
      </c>
      <c r="M339" s="9" t="s">
        <v>209</v>
      </c>
      <c r="N339" s="9" t="s">
        <v>209</v>
      </c>
      <c r="O339" s="9" t="s">
        <v>72</v>
      </c>
      <c r="P339" s="9">
        <v>37</v>
      </c>
      <c r="Q339" s="9" t="s">
        <v>210</v>
      </c>
      <c r="R339" s="47">
        <v>1</v>
      </c>
      <c r="S339" s="31"/>
      <c r="T339" s="31"/>
      <c r="U339" s="31"/>
      <c r="V339" s="31"/>
      <c r="W339" s="31"/>
      <c r="X339" s="31"/>
      <c r="Y339" s="31"/>
      <c r="Z339" s="31"/>
    </row>
    <row r="340" spans="1:26" ht="23.25" customHeight="1" x14ac:dyDescent="0.3">
      <c r="A340" s="39">
        <v>339</v>
      </c>
      <c r="B340" s="40">
        <v>4</v>
      </c>
      <c r="C340" s="9">
        <f t="shared" si="18"/>
        <v>48</v>
      </c>
      <c r="D340" s="9" t="s">
        <v>74</v>
      </c>
      <c r="E340" s="9">
        <v>4</v>
      </c>
      <c r="F340" s="9">
        <f t="shared" si="20"/>
        <v>48</v>
      </c>
      <c r="G340" s="34">
        <v>0</v>
      </c>
      <c r="H340" s="41" t="s">
        <v>242</v>
      </c>
      <c r="I340" s="42">
        <v>500000</v>
      </c>
      <c r="J340" s="42">
        <v>1500000</v>
      </c>
      <c r="K340" s="43" t="s">
        <v>207</v>
      </c>
      <c r="L340" s="9" t="s">
        <v>107</v>
      </c>
      <c r="M340" s="9" t="s">
        <v>213</v>
      </c>
      <c r="N340" s="9" t="s">
        <v>209</v>
      </c>
      <c r="O340" s="9" t="s">
        <v>10</v>
      </c>
      <c r="P340" s="9">
        <v>24</v>
      </c>
      <c r="Q340" s="9" t="s">
        <v>210</v>
      </c>
      <c r="R340" s="47">
        <v>0</v>
      </c>
      <c r="S340" s="31"/>
      <c r="T340" s="31"/>
      <c r="U340" s="31"/>
      <c r="V340" s="31"/>
      <c r="W340" s="31"/>
      <c r="X340" s="31"/>
      <c r="Y340" s="31"/>
      <c r="Z340" s="31"/>
    </row>
    <row r="341" spans="1:26" ht="23.25" customHeight="1" x14ac:dyDescent="0.3">
      <c r="A341" s="39">
        <v>340</v>
      </c>
      <c r="B341" s="40">
        <v>5</v>
      </c>
      <c r="C341" s="9">
        <f t="shared" si="18"/>
        <v>60</v>
      </c>
      <c r="D341" s="9" t="s">
        <v>68</v>
      </c>
      <c r="E341" s="9">
        <v>3</v>
      </c>
      <c r="F341" s="9">
        <f t="shared" si="20"/>
        <v>36</v>
      </c>
      <c r="G341" s="34">
        <v>0</v>
      </c>
      <c r="H341" s="41" t="s">
        <v>86</v>
      </c>
      <c r="I341" s="42">
        <v>500000</v>
      </c>
      <c r="J341" s="42">
        <v>500000</v>
      </c>
      <c r="K341" s="43" t="s">
        <v>211</v>
      </c>
      <c r="L341" s="9" t="s">
        <v>98</v>
      </c>
      <c r="M341" s="9" t="s">
        <v>209</v>
      </c>
      <c r="N341" s="9" t="s">
        <v>209</v>
      </c>
      <c r="O341" s="9" t="s">
        <v>72</v>
      </c>
      <c r="P341" s="9">
        <v>20</v>
      </c>
      <c r="Q341" s="9" t="s">
        <v>210</v>
      </c>
      <c r="R341" s="47">
        <v>0</v>
      </c>
      <c r="S341" s="31"/>
      <c r="T341" s="31"/>
      <c r="U341" s="31"/>
      <c r="V341" s="31"/>
      <c r="W341" s="31"/>
      <c r="X341" s="31"/>
      <c r="Y341" s="31"/>
      <c r="Z341" s="31"/>
    </row>
    <row r="342" spans="1:26" ht="23.25" customHeight="1" x14ac:dyDescent="0.3">
      <c r="A342" s="39">
        <v>341</v>
      </c>
      <c r="B342" s="40">
        <v>2</v>
      </c>
      <c r="C342" s="9">
        <f t="shared" si="18"/>
        <v>24</v>
      </c>
      <c r="D342" s="9" t="s">
        <v>68</v>
      </c>
      <c r="E342" s="9">
        <v>1</v>
      </c>
      <c r="F342" s="9">
        <f t="shared" si="20"/>
        <v>12</v>
      </c>
      <c r="G342" s="9">
        <v>1</v>
      </c>
      <c r="H342" s="41" t="s">
        <v>83</v>
      </c>
      <c r="I342" s="42">
        <v>400000</v>
      </c>
      <c r="J342" s="42">
        <v>1200000</v>
      </c>
      <c r="K342" s="43" t="s">
        <v>211</v>
      </c>
      <c r="L342" s="9" t="s">
        <v>98</v>
      </c>
      <c r="M342" s="9" t="s">
        <v>209</v>
      </c>
      <c r="N342" s="9" t="s">
        <v>209</v>
      </c>
      <c r="O342" s="9" t="s">
        <v>72</v>
      </c>
      <c r="P342" s="9">
        <v>20</v>
      </c>
      <c r="Q342" s="9" t="s">
        <v>210</v>
      </c>
      <c r="R342" s="47">
        <v>0</v>
      </c>
      <c r="S342" s="31"/>
      <c r="T342" s="31"/>
      <c r="U342" s="31"/>
      <c r="V342" s="31"/>
      <c r="W342" s="31"/>
      <c r="X342" s="31"/>
      <c r="Y342" s="31"/>
      <c r="Z342" s="31"/>
    </row>
    <row r="343" spans="1:26" ht="23.25" customHeight="1" x14ac:dyDescent="0.3">
      <c r="A343" s="39">
        <v>342</v>
      </c>
      <c r="B343" s="40">
        <v>9</v>
      </c>
      <c r="C343" s="9">
        <f t="shared" si="18"/>
        <v>108</v>
      </c>
      <c r="D343" s="9" t="s">
        <v>104</v>
      </c>
      <c r="E343" s="9">
        <v>9</v>
      </c>
      <c r="F343" s="9">
        <f t="shared" si="20"/>
        <v>108</v>
      </c>
      <c r="G343" s="9">
        <v>1</v>
      </c>
      <c r="H343" s="41" t="s">
        <v>83</v>
      </c>
      <c r="I343" s="42">
        <v>800000</v>
      </c>
      <c r="J343" s="42">
        <v>2000000</v>
      </c>
      <c r="K343" s="43" t="s">
        <v>207</v>
      </c>
      <c r="L343" s="9" t="s">
        <v>107</v>
      </c>
      <c r="M343" s="9" t="s">
        <v>209</v>
      </c>
      <c r="N343" s="9" t="s">
        <v>209</v>
      </c>
      <c r="O343" s="9" t="s">
        <v>10</v>
      </c>
      <c r="P343" s="9">
        <v>29</v>
      </c>
      <c r="Q343" s="9" t="s">
        <v>210</v>
      </c>
      <c r="R343" s="47">
        <v>1</v>
      </c>
      <c r="S343" s="31"/>
      <c r="T343" s="31"/>
      <c r="U343" s="31"/>
      <c r="V343" s="31"/>
      <c r="W343" s="31"/>
      <c r="X343" s="31"/>
      <c r="Y343" s="31"/>
      <c r="Z343" s="31"/>
    </row>
    <row r="344" spans="1:26" ht="23.25" customHeight="1" x14ac:dyDescent="0.3">
      <c r="A344" s="39">
        <v>343</v>
      </c>
      <c r="B344" s="40">
        <v>12</v>
      </c>
      <c r="C344" s="9">
        <f t="shared" si="18"/>
        <v>144</v>
      </c>
      <c r="D344" s="9" t="s">
        <v>74</v>
      </c>
      <c r="E344" s="9">
        <v>7</v>
      </c>
      <c r="F344" s="9">
        <f t="shared" si="20"/>
        <v>84</v>
      </c>
      <c r="G344" s="34">
        <v>0</v>
      </c>
      <c r="H344" s="35" t="s">
        <v>69</v>
      </c>
      <c r="I344" s="42">
        <v>970000</v>
      </c>
      <c r="J344" s="42">
        <v>1400000</v>
      </c>
      <c r="K344" s="43" t="s">
        <v>207</v>
      </c>
      <c r="L344" s="9" t="s">
        <v>243</v>
      </c>
      <c r="M344" s="9" t="s">
        <v>209</v>
      </c>
      <c r="N344" s="9" t="s">
        <v>209</v>
      </c>
      <c r="O344" s="9" t="s">
        <v>10</v>
      </c>
      <c r="P344" s="9">
        <v>33</v>
      </c>
      <c r="Q344" s="9" t="s">
        <v>80</v>
      </c>
      <c r="R344" s="47">
        <v>1</v>
      </c>
      <c r="S344" s="31"/>
      <c r="T344" s="31"/>
      <c r="U344" s="31"/>
      <c r="V344" s="31"/>
      <c r="W344" s="31"/>
      <c r="X344" s="31"/>
      <c r="Y344" s="31"/>
      <c r="Z344" s="31"/>
    </row>
    <row r="345" spans="1:26" ht="23.25" customHeight="1" x14ac:dyDescent="0.3">
      <c r="A345" s="39">
        <v>344</v>
      </c>
      <c r="B345" s="40">
        <v>13</v>
      </c>
      <c r="C345" s="9">
        <f t="shared" si="18"/>
        <v>156</v>
      </c>
      <c r="D345" s="9" t="s">
        <v>102</v>
      </c>
      <c r="E345" s="9">
        <v>10</v>
      </c>
      <c r="F345" s="9">
        <f t="shared" si="20"/>
        <v>120</v>
      </c>
      <c r="G345" s="9">
        <v>1</v>
      </c>
      <c r="H345" s="41" t="s">
        <v>86</v>
      </c>
      <c r="I345" s="42">
        <v>2200000</v>
      </c>
      <c r="J345" s="42">
        <v>4000000</v>
      </c>
      <c r="K345" s="43" t="s">
        <v>224</v>
      </c>
      <c r="L345" s="9" t="s">
        <v>71</v>
      </c>
      <c r="M345" s="9" t="s">
        <v>213</v>
      </c>
      <c r="N345" s="9" t="s">
        <v>213</v>
      </c>
      <c r="O345" s="9" t="s">
        <v>72</v>
      </c>
      <c r="P345" s="9">
        <v>32</v>
      </c>
      <c r="Q345" s="9" t="s">
        <v>210</v>
      </c>
      <c r="R345" s="47">
        <v>0</v>
      </c>
      <c r="S345" s="31"/>
      <c r="T345" s="31"/>
      <c r="U345" s="31"/>
      <c r="V345" s="31"/>
      <c r="W345" s="31"/>
      <c r="X345" s="31"/>
      <c r="Y345" s="31"/>
      <c r="Z345" s="31"/>
    </row>
    <row r="346" spans="1:26" ht="23.25" customHeight="1" x14ac:dyDescent="0.3">
      <c r="A346" s="39">
        <v>345</v>
      </c>
      <c r="B346" s="40">
        <v>5</v>
      </c>
      <c r="C346" s="9">
        <f t="shared" si="18"/>
        <v>60</v>
      </c>
      <c r="D346" s="9" t="s">
        <v>123</v>
      </c>
      <c r="E346" s="9">
        <v>2</v>
      </c>
      <c r="F346" s="9">
        <f t="shared" si="20"/>
        <v>24</v>
      </c>
      <c r="G346" s="9">
        <v>1</v>
      </c>
      <c r="H346" s="41" t="s">
        <v>83</v>
      </c>
      <c r="I346" s="42">
        <v>1200000</v>
      </c>
      <c r="J346" s="42">
        <v>1780000</v>
      </c>
      <c r="K346" s="43" t="s">
        <v>214</v>
      </c>
      <c r="L346" s="9" t="s">
        <v>244</v>
      </c>
      <c r="M346" s="9" t="s">
        <v>213</v>
      </c>
      <c r="N346" s="9" t="s">
        <v>209</v>
      </c>
      <c r="O346" s="9" t="s">
        <v>72</v>
      </c>
      <c r="P346" s="9">
        <v>25</v>
      </c>
      <c r="Q346" s="9" t="s">
        <v>210</v>
      </c>
      <c r="R346" s="47">
        <v>0</v>
      </c>
      <c r="S346" s="31"/>
      <c r="T346" s="31"/>
      <c r="U346" s="31"/>
      <c r="V346" s="31"/>
      <c r="W346" s="31"/>
      <c r="X346" s="31"/>
      <c r="Y346" s="31"/>
      <c r="Z346" s="31"/>
    </row>
    <row r="347" spans="1:26" ht="23.25" customHeight="1" x14ac:dyDescent="0.3">
      <c r="A347" s="39">
        <v>346</v>
      </c>
      <c r="B347" s="40">
        <v>3</v>
      </c>
      <c r="C347" s="9">
        <f t="shared" si="18"/>
        <v>36</v>
      </c>
      <c r="D347" s="9" t="s">
        <v>68</v>
      </c>
      <c r="E347" s="9">
        <v>1</v>
      </c>
      <c r="F347" s="9">
        <f t="shared" si="20"/>
        <v>12</v>
      </c>
      <c r="G347" s="9">
        <v>1</v>
      </c>
      <c r="H347" s="35" t="s">
        <v>69</v>
      </c>
      <c r="I347" s="42">
        <v>1100000</v>
      </c>
      <c r="J347" s="42">
        <v>1200000</v>
      </c>
      <c r="K347" s="43" t="s">
        <v>207</v>
      </c>
      <c r="L347" s="9" t="s">
        <v>245</v>
      </c>
      <c r="M347" s="9" t="s">
        <v>209</v>
      </c>
      <c r="N347" s="9" t="s">
        <v>209</v>
      </c>
      <c r="O347" s="9" t="s">
        <v>10</v>
      </c>
      <c r="P347" s="9">
        <v>21</v>
      </c>
      <c r="Q347" s="9" t="s">
        <v>210</v>
      </c>
      <c r="R347" s="47">
        <v>0</v>
      </c>
      <c r="S347" s="31"/>
      <c r="T347" s="31"/>
      <c r="U347" s="31"/>
      <c r="V347" s="31"/>
      <c r="W347" s="31"/>
      <c r="X347" s="31"/>
      <c r="Y347" s="31"/>
      <c r="Z347" s="31"/>
    </row>
    <row r="348" spans="1:26" ht="23.25" customHeight="1" x14ac:dyDescent="0.3">
      <c r="A348" s="39">
        <v>347</v>
      </c>
      <c r="B348" s="40">
        <v>35</v>
      </c>
      <c r="C348" s="9">
        <f t="shared" si="18"/>
        <v>420</v>
      </c>
      <c r="D348" s="9" t="s">
        <v>74</v>
      </c>
      <c r="E348" s="9">
        <v>35</v>
      </c>
      <c r="F348" s="9">
        <f t="shared" si="20"/>
        <v>420</v>
      </c>
      <c r="G348" s="34">
        <v>0</v>
      </c>
      <c r="H348" s="35" t="s">
        <v>151</v>
      </c>
      <c r="I348" s="42">
        <v>4000000</v>
      </c>
      <c r="J348" s="42">
        <v>7000000</v>
      </c>
      <c r="K348" s="43" t="s">
        <v>218</v>
      </c>
      <c r="L348" s="9" t="s">
        <v>246</v>
      </c>
      <c r="M348" s="9" t="s">
        <v>213</v>
      </c>
      <c r="N348" s="9" t="s">
        <v>209</v>
      </c>
      <c r="O348" s="9" t="s">
        <v>10</v>
      </c>
      <c r="P348" s="9">
        <v>50</v>
      </c>
      <c r="Q348" s="9" t="s">
        <v>80</v>
      </c>
      <c r="R348" s="47">
        <v>3</v>
      </c>
      <c r="S348" s="31"/>
      <c r="T348" s="31"/>
      <c r="U348" s="31"/>
      <c r="V348" s="31"/>
      <c r="W348" s="31"/>
      <c r="X348" s="31"/>
      <c r="Y348" s="31"/>
      <c r="Z348" s="31"/>
    </row>
    <row r="349" spans="1:26" ht="23.25" customHeight="1" x14ac:dyDescent="0.3">
      <c r="A349" s="39">
        <v>348</v>
      </c>
      <c r="B349" s="40">
        <v>6</v>
      </c>
      <c r="C349" s="9">
        <f t="shared" si="18"/>
        <v>72</v>
      </c>
      <c r="D349" s="9" t="s">
        <v>68</v>
      </c>
      <c r="E349" s="9">
        <v>1</v>
      </c>
      <c r="F349" s="9">
        <f t="shared" si="20"/>
        <v>12</v>
      </c>
      <c r="G349" s="9">
        <v>1</v>
      </c>
      <c r="H349" s="35" t="s">
        <v>69</v>
      </c>
      <c r="I349" s="42">
        <v>2000000</v>
      </c>
      <c r="J349" s="42">
        <v>1000000</v>
      </c>
      <c r="K349" s="43" t="s">
        <v>207</v>
      </c>
      <c r="L349" s="9" t="s">
        <v>247</v>
      </c>
      <c r="M349" s="9" t="s">
        <v>209</v>
      </c>
      <c r="N349" s="9" t="s">
        <v>209</v>
      </c>
      <c r="O349" s="9" t="s">
        <v>10</v>
      </c>
      <c r="P349" s="9">
        <v>24</v>
      </c>
      <c r="Q349" s="9" t="s">
        <v>77</v>
      </c>
      <c r="R349" s="47">
        <v>2</v>
      </c>
      <c r="S349" s="31"/>
      <c r="T349" s="31"/>
      <c r="U349" s="31"/>
      <c r="V349" s="31"/>
      <c r="W349" s="31"/>
      <c r="X349" s="31"/>
      <c r="Y349" s="31"/>
      <c r="Z349" s="31"/>
    </row>
    <row r="350" spans="1:26" ht="23.25" customHeight="1" x14ac:dyDescent="0.3">
      <c r="A350" s="39">
        <v>349</v>
      </c>
      <c r="B350" s="40">
        <v>9</v>
      </c>
      <c r="C350" s="9">
        <f t="shared" si="18"/>
        <v>108</v>
      </c>
      <c r="D350" s="9" t="s">
        <v>115</v>
      </c>
      <c r="E350" s="9">
        <v>6</v>
      </c>
      <c r="F350" s="9">
        <f t="shared" si="20"/>
        <v>72</v>
      </c>
      <c r="G350" s="9">
        <v>1</v>
      </c>
      <c r="H350" s="41" t="s">
        <v>127</v>
      </c>
      <c r="I350" s="42">
        <v>900000</v>
      </c>
      <c r="J350" s="42">
        <v>1200000</v>
      </c>
      <c r="K350" s="43" t="s">
        <v>214</v>
      </c>
      <c r="L350" s="9" t="s">
        <v>248</v>
      </c>
      <c r="M350" s="9" t="s">
        <v>213</v>
      </c>
      <c r="N350" s="9" t="s">
        <v>209</v>
      </c>
      <c r="O350" s="9" t="s">
        <v>10</v>
      </c>
      <c r="P350" s="9">
        <v>24</v>
      </c>
      <c r="Q350" s="9" t="s">
        <v>77</v>
      </c>
      <c r="R350" s="47">
        <v>0</v>
      </c>
      <c r="S350" s="31"/>
      <c r="T350" s="31"/>
      <c r="U350" s="31"/>
      <c r="V350" s="31"/>
      <c r="W350" s="31"/>
      <c r="X350" s="31"/>
      <c r="Y350" s="31"/>
      <c r="Z350" s="31"/>
    </row>
    <row r="351" spans="1:26" ht="23.25" customHeight="1" x14ac:dyDescent="0.3">
      <c r="A351" s="39">
        <v>350</v>
      </c>
      <c r="B351" s="40">
        <v>6.4</v>
      </c>
      <c r="C351" s="9">
        <f t="shared" si="18"/>
        <v>76.800000000000011</v>
      </c>
      <c r="D351" s="9" t="s">
        <v>74</v>
      </c>
      <c r="E351" s="9">
        <v>1.5</v>
      </c>
      <c r="F351" s="9">
        <f t="shared" si="20"/>
        <v>18</v>
      </c>
      <c r="G351" s="34">
        <v>0</v>
      </c>
      <c r="H351" s="41" t="s">
        <v>83</v>
      </c>
      <c r="I351" s="42">
        <v>1600000</v>
      </c>
      <c r="J351" s="42">
        <v>1460000</v>
      </c>
      <c r="K351" s="43" t="s">
        <v>214</v>
      </c>
      <c r="L351" s="9" t="s">
        <v>249</v>
      </c>
      <c r="M351" s="9" t="s">
        <v>213</v>
      </c>
      <c r="N351" s="9" t="s">
        <v>209</v>
      </c>
      <c r="O351" s="9" t="s">
        <v>10</v>
      </c>
      <c r="P351" s="9">
        <v>27</v>
      </c>
      <c r="Q351" s="9" t="s">
        <v>210</v>
      </c>
      <c r="R351" s="47">
        <v>1</v>
      </c>
      <c r="S351" s="31"/>
      <c r="T351" s="31"/>
      <c r="U351" s="31"/>
      <c r="V351" s="31"/>
      <c r="W351" s="31"/>
      <c r="X351" s="31"/>
      <c r="Y351" s="31"/>
      <c r="Z351" s="31"/>
    </row>
    <row r="352" spans="1:26" ht="23.25" customHeight="1" x14ac:dyDescent="0.3">
      <c r="A352" s="39">
        <v>351</v>
      </c>
      <c r="B352" s="40">
        <v>3</v>
      </c>
      <c r="C352" s="9">
        <f t="shared" si="18"/>
        <v>36</v>
      </c>
      <c r="D352" s="9" t="s">
        <v>74</v>
      </c>
      <c r="E352" s="9">
        <v>0.5</v>
      </c>
      <c r="F352" s="9">
        <f t="shared" si="20"/>
        <v>6</v>
      </c>
      <c r="G352" s="9">
        <v>1</v>
      </c>
      <c r="H352" s="41" t="s">
        <v>83</v>
      </c>
      <c r="I352" s="42">
        <v>1000000</v>
      </c>
      <c r="J352" s="42">
        <v>1650000</v>
      </c>
      <c r="K352" s="43" t="s">
        <v>214</v>
      </c>
      <c r="L352" s="9" t="s">
        <v>250</v>
      </c>
      <c r="M352" s="9" t="s">
        <v>209</v>
      </c>
      <c r="N352" s="9" t="s">
        <v>209</v>
      </c>
      <c r="O352" s="9" t="s">
        <v>10</v>
      </c>
      <c r="P352" s="9">
        <v>21</v>
      </c>
      <c r="Q352" s="9" t="s">
        <v>210</v>
      </c>
      <c r="R352" s="47">
        <v>0</v>
      </c>
      <c r="S352" s="31"/>
      <c r="T352" s="31"/>
      <c r="U352" s="31"/>
      <c r="V352" s="31"/>
      <c r="W352" s="31"/>
      <c r="X352" s="31"/>
      <c r="Y352" s="31"/>
      <c r="Z352" s="31"/>
    </row>
    <row r="353" spans="1:26" ht="23.25" customHeight="1" x14ac:dyDescent="0.3">
      <c r="A353" s="39">
        <v>352</v>
      </c>
      <c r="B353" s="40">
        <v>20</v>
      </c>
      <c r="C353" s="9">
        <f t="shared" si="18"/>
        <v>240</v>
      </c>
      <c r="D353" s="9" t="s">
        <v>74</v>
      </c>
      <c r="E353" s="9">
        <v>19</v>
      </c>
      <c r="F353" s="9">
        <f t="shared" si="20"/>
        <v>228</v>
      </c>
      <c r="G353" s="9">
        <v>1</v>
      </c>
      <c r="H353" s="41" t="s">
        <v>83</v>
      </c>
      <c r="I353" s="42">
        <v>800000</v>
      </c>
      <c r="J353" s="42">
        <v>920000</v>
      </c>
      <c r="K353" s="43" t="s">
        <v>207</v>
      </c>
      <c r="L353" s="9" t="s">
        <v>107</v>
      </c>
      <c r="M353" s="9" t="s">
        <v>209</v>
      </c>
      <c r="N353" s="9" t="s">
        <v>209</v>
      </c>
      <c r="O353" s="9" t="s">
        <v>10</v>
      </c>
      <c r="P353" s="9">
        <v>45</v>
      </c>
      <c r="Q353" s="9" t="s">
        <v>77</v>
      </c>
      <c r="R353" s="47">
        <v>2</v>
      </c>
      <c r="S353" s="31"/>
      <c r="T353" s="31"/>
      <c r="U353" s="31"/>
      <c r="V353" s="31"/>
      <c r="W353" s="31"/>
      <c r="X353" s="31"/>
      <c r="Y353" s="31"/>
      <c r="Z353" s="31"/>
    </row>
    <row r="354" spans="1:26" ht="23.25" customHeight="1" x14ac:dyDescent="0.3">
      <c r="A354" s="39">
        <v>353</v>
      </c>
      <c r="B354" s="40">
        <v>17</v>
      </c>
      <c r="C354" s="9">
        <f t="shared" si="18"/>
        <v>204</v>
      </c>
      <c r="D354" s="9" t="s">
        <v>74</v>
      </c>
      <c r="E354" s="9">
        <v>17</v>
      </c>
      <c r="F354" s="9">
        <f t="shared" si="20"/>
        <v>204</v>
      </c>
      <c r="G354" s="9">
        <v>1</v>
      </c>
      <c r="H354" s="41" t="s">
        <v>83</v>
      </c>
      <c r="I354" s="42">
        <v>800000</v>
      </c>
      <c r="J354" s="42">
        <v>970000</v>
      </c>
      <c r="K354" s="43" t="s">
        <v>207</v>
      </c>
      <c r="L354" s="9" t="s">
        <v>251</v>
      </c>
      <c r="M354" s="9" t="s">
        <v>209</v>
      </c>
      <c r="N354" s="9" t="s">
        <v>209</v>
      </c>
      <c r="O354" s="9" t="s">
        <v>10</v>
      </c>
      <c r="P354" s="9">
        <v>42</v>
      </c>
      <c r="Q354" s="9" t="s">
        <v>210</v>
      </c>
      <c r="R354" s="47">
        <v>3</v>
      </c>
      <c r="S354" s="31"/>
      <c r="T354" s="31"/>
      <c r="U354" s="31"/>
      <c r="V354" s="31"/>
      <c r="W354" s="31"/>
      <c r="X354" s="31"/>
      <c r="Y354" s="31"/>
      <c r="Z354" s="31"/>
    </row>
    <row r="355" spans="1:26" ht="23.25" customHeight="1" x14ac:dyDescent="0.3">
      <c r="A355" s="39">
        <v>354</v>
      </c>
      <c r="B355" s="40">
        <v>32</v>
      </c>
      <c r="C355" s="9">
        <f t="shared" si="18"/>
        <v>384</v>
      </c>
      <c r="D355" s="9" t="s">
        <v>68</v>
      </c>
      <c r="E355" s="9">
        <v>11</v>
      </c>
      <c r="F355" s="9">
        <f t="shared" si="20"/>
        <v>132</v>
      </c>
      <c r="G355" s="34">
        <v>0</v>
      </c>
      <c r="H355" s="35" t="s">
        <v>69</v>
      </c>
      <c r="I355" s="42">
        <v>1800000</v>
      </c>
      <c r="J355" s="42">
        <v>1200000</v>
      </c>
      <c r="K355" s="43" t="s">
        <v>211</v>
      </c>
      <c r="L355" s="9" t="s">
        <v>98</v>
      </c>
      <c r="M355" s="9" t="s">
        <v>213</v>
      </c>
      <c r="N355" s="9" t="s">
        <v>209</v>
      </c>
      <c r="O355" s="9" t="s">
        <v>10</v>
      </c>
      <c r="P355" s="9">
        <v>45</v>
      </c>
      <c r="Q355" s="9" t="s">
        <v>77</v>
      </c>
      <c r="R355" s="47">
        <v>1</v>
      </c>
      <c r="S355" s="31"/>
      <c r="T355" s="31"/>
      <c r="U355" s="31"/>
      <c r="V355" s="31"/>
      <c r="W355" s="31"/>
      <c r="X355" s="31"/>
      <c r="Y355" s="31"/>
      <c r="Z355" s="31"/>
    </row>
    <row r="356" spans="1:26" ht="23.25" customHeight="1" x14ac:dyDescent="0.3">
      <c r="A356" s="39">
        <v>355</v>
      </c>
      <c r="B356" s="40">
        <v>10</v>
      </c>
      <c r="C356" s="9">
        <f t="shared" si="18"/>
        <v>120</v>
      </c>
      <c r="D356" s="9" t="s">
        <v>104</v>
      </c>
      <c r="E356" s="9">
        <v>10</v>
      </c>
      <c r="F356" s="9">
        <f t="shared" si="20"/>
        <v>120</v>
      </c>
      <c r="G356" s="9">
        <v>1</v>
      </c>
      <c r="H356" s="41" t="s">
        <v>91</v>
      </c>
      <c r="I356" s="42">
        <v>900000</v>
      </c>
      <c r="J356" s="42">
        <v>1000000</v>
      </c>
      <c r="K356" s="43" t="s">
        <v>211</v>
      </c>
      <c r="L356" s="9" t="s">
        <v>252</v>
      </c>
      <c r="M356" s="9" t="s">
        <v>209</v>
      </c>
      <c r="N356" s="9" t="s">
        <v>209</v>
      </c>
      <c r="O356" s="9" t="s">
        <v>10</v>
      </c>
      <c r="P356" s="9">
        <v>29</v>
      </c>
      <c r="Q356" s="9" t="s">
        <v>77</v>
      </c>
      <c r="R356" s="47">
        <v>1</v>
      </c>
      <c r="S356" s="31"/>
      <c r="T356" s="31"/>
      <c r="U356" s="31"/>
      <c r="V356" s="31"/>
      <c r="W356" s="31"/>
      <c r="X356" s="31"/>
      <c r="Y356" s="31"/>
      <c r="Z356" s="31"/>
    </row>
    <row r="357" spans="1:26" ht="23.25" customHeight="1" x14ac:dyDescent="0.3">
      <c r="A357" s="39">
        <v>356</v>
      </c>
      <c r="B357" s="40">
        <v>20</v>
      </c>
      <c r="C357" s="9">
        <f t="shared" si="18"/>
        <v>240</v>
      </c>
      <c r="D357" s="9" t="s">
        <v>74</v>
      </c>
      <c r="E357" s="9">
        <v>15</v>
      </c>
      <c r="F357" s="9">
        <f t="shared" si="20"/>
        <v>180</v>
      </c>
      <c r="G357" s="34">
        <v>0</v>
      </c>
      <c r="H357" s="35" t="s">
        <v>145</v>
      </c>
      <c r="I357" s="42">
        <v>2000000</v>
      </c>
      <c r="J357" s="42">
        <v>3500000</v>
      </c>
      <c r="K357" s="43" t="s">
        <v>211</v>
      </c>
      <c r="L357" s="9" t="s">
        <v>98</v>
      </c>
      <c r="M357" s="9" t="s">
        <v>209</v>
      </c>
      <c r="N357" s="9" t="s">
        <v>209</v>
      </c>
      <c r="O357" s="9" t="s">
        <v>10</v>
      </c>
      <c r="P357" s="9">
        <v>63</v>
      </c>
      <c r="Q357" s="9" t="s">
        <v>210</v>
      </c>
      <c r="R357" s="47">
        <v>5</v>
      </c>
      <c r="S357" s="31"/>
      <c r="T357" s="31"/>
      <c r="U357" s="31"/>
      <c r="V357" s="31"/>
      <c r="W357" s="31"/>
      <c r="X357" s="31"/>
      <c r="Y357" s="31"/>
      <c r="Z357" s="31"/>
    </row>
    <row r="358" spans="1:26" ht="23.25" customHeight="1" x14ac:dyDescent="0.3">
      <c r="A358" s="39">
        <v>357</v>
      </c>
      <c r="B358" s="40">
        <v>9</v>
      </c>
      <c r="C358" s="9">
        <f t="shared" si="18"/>
        <v>108</v>
      </c>
      <c r="D358" s="9" t="s">
        <v>74</v>
      </c>
      <c r="E358" s="9">
        <v>7</v>
      </c>
      <c r="F358" s="9">
        <f t="shared" si="20"/>
        <v>84</v>
      </c>
      <c r="G358" s="9">
        <v>1</v>
      </c>
      <c r="H358" s="41" t="s">
        <v>253</v>
      </c>
      <c r="I358" s="42">
        <v>1400000</v>
      </c>
      <c r="J358" s="42">
        <v>1700000</v>
      </c>
      <c r="K358" s="43" t="s">
        <v>214</v>
      </c>
      <c r="L358" s="9" t="s">
        <v>254</v>
      </c>
      <c r="M358" s="9" t="s">
        <v>209</v>
      </c>
      <c r="N358" s="9" t="s">
        <v>209</v>
      </c>
      <c r="O358" s="9" t="s">
        <v>72</v>
      </c>
      <c r="P358" s="9">
        <v>30</v>
      </c>
      <c r="Q358" s="9" t="s">
        <v>210</v>
      </c>
      <c r="R358" s="47">
        <v>0</v>
      </c>
      <c r="S358" s="31"/>
      <c r="T358" s="31"/>
      <c r="U358" s="31"/>
      <c r="V358" s="31"/>
      <c r="W358" s="31"/>
      <c r="X358" s="31"/>
      <c r="Y358" s="31"/>
      <c r="Z358" s="31"/>
    </row>
    <row r="359" spans="1:26" ht="23.25" customHeight="1" x14ac:dyDescent="0.3">
      <c r="A359" s="39">
        <v>358</v>
      </c>
      <c r="B359" s="40">
        <v>20</v>
      </c>
      <c r="C359" s="9">
        <f t="shared" si="18"/>
        <v>240</v>
      </c>
      <c r="D359" s="9" t="s">
        <v>68</v>
      </c>
      <c r="E359" s="9">
        <v>3</v>
      </c>
      <c r="F359" s="9">
        <f t="shared" si="20"/>
        <v>36</v>
      </c>
      <c r="G359" s="9">
        <v>1</v>
      </c>
      <c r="H359" s="41" t="s">
        <v>126</v>
      </c>
      <c r="I359" s="42">
        <v>1000000</v>
      </c>
      <c r="J359" s="42">
        <v>1100000</v>
      </c>
      <c r="K359" s="43" t="s">
        <v>218</v>
      </c>
      <c r="L359" s="9" t="s">
        <v>120</v>
      </c>
      <c r="M359" s="9" t="s">
        <v>213</v>
      </c>
      <c r="N359" s="9" t="s">
        <v>213</v>
      </c>
      <c r="O359" s="9" t="s">
        <v>10</v>
      </c>
      <c r="P359" s="9">
        <v>30</v>
      </c>
      <c r="Q359" s="9" t="s">
        <v>210</v>
      </c>
      <c r="R359" s="47">
        <v>0</v>
      </c>
      <c r="S359" s="31"/>
      <c r="T359" s="31"/>
      <c r="U359" s="31"/>
      <c r="V359" s="31"/>
      <c r="W359" s="31"/>
      <c r="X359" s="31"/>
      <c r="Y359" s="31"/>
      <c r="Z359" s="31"/>
    </row>
    <row r="360" spans="1:26" ht="23.25" customHeight="1" x14ac:dyDescent="0.3">
      <c r="A360" s="39">
        <v>359</v>
      </c>
      <c r="B360" s="40">
        <v>5</v>
      </c>
      <c r="C360" s="9">
        <f t="shared" si="18"/>
        <v>60</v>
      </c>
      <c r="D360" s="9" t="s">
        <v>123</v>
      </c>
      <c r="E360" s="9">
        <v>3</v>
      </c>
      <c r="F360" s="9">
        <f t="shared" si="20"/>
        <v>36</v>
      </c>
      <c r="G360" s="34">
        <v>0</v>
      </c>
      <c r="H360" s="41" t="s">
        <v>83</v>
      </c>
      <c r="I360" s="42">
        <v>800000</v>
      </c>
      <c r="J360" s="42">
        <v>1000000</v>
      </c>
      <c r="K360" s="43" t="s">
        <v>214</v>
      </c>
      <c r="L360" s="9" t="s">
        <v>255</v>
      </c>
      <c r="M360" s="9" t="s">
        <v>209</v>
      </c>
      <c r="N360" s="9" t="s">
        <v>209</v>
      </c>
      <c r="O360" s="9" t="s">
        <v>10</v>
      </c>
      <c r="P360" s="9">
        <v>22</v>
      </c>
      <c r="Q360" s="9" t="s">
        <v>210</v>
      </c>
      <c r="R360" s="47">
        <v>0</v>
      </c>
      <c r="S360" s="31"/>
      <c r="T360" s="31"/>
      <c r="U360" s="31"/>
      <c r="V360" s="31"/>
      <c r="W360" s="31"/>
      <c r="X360" s="31"/>
      <c r="Y360" s="31"/>
      <c r="Z360" s="31"/>
    </row>
    <row r="361" spans="1:26" ht="23.25" customHeight="1" x14ac:dyDescent="0.3">
      <c r="A361" s="39">
        <v>360</v>
      </c>
      <c r="B361" s="40">
        <v>3</v>
      </c>
      <c r="C361" s="9">
        <f t="shared" si="18"/>
        <v>36</v>
      </c>
      <c r="D361" s="9" t="s">
        <v>74</v>
      </c>
      <c r="E361" s="9">
        <v>3</v>
      </c>
      <c r="F361" s="9">
        <f t="shared" si="20"/>
        <v>36</v>
      </c>
      <c r="G361" s="9">
        <v>1</v>
      </c>
      <c r="H361" s="35" t="s">
        <v>69</v>
      </c>
      <c r="I361" s="42">
        <v>900000</v>
      </c>
      <c r="J361" s="42">
        <v>1000000</v>
      </c>
      <c r="K361" s="43" t="s">
        <v>214</v>
      </c>
      <c r="L361" s="9" t="s">
        <v>256</v>
      </c>
      <c r="M361" s="9" t="s">
        <v>209</v>
      </c>
      <c r="N361" s="9" t="s">
        <v>209</v>
      </c>
      <c r="O361" s="9" t="s">
        <v>10</v>
      </c>
      <c r="P361" s="9">
        <v>27</v>
      </c>
      <c r="Q361" s="9" t="s">
        <v>77</v>
      </c>
      <c r="R361" s="47">
        <v>1</v>
      </c>
      <c r="S361" s="31"/>
      <c r="T361" s="31"/>
      <c r="U361" s="31"/>
      <c r="V361" s="31"/>
      <c r="W361" s="31"/>
      <c r="X361" s="31"/>
      <c r="Y361" s="31"/>
      <c r="Z361" s="31"/>
    </row>
    <row r="362" spans="1:26" ht="23.25" customHeight="1" x14ac:dyDescent="0.3">
      <c r="A362" s="39">
        <v>361</v>
      </c>
      <c r="B362" s="40">
        <v>7</v>
      </c>
      <c r="C362" s="9">
        <f t="shared" si="18"/>
        <v>84</v>
      </c>
      <c r="D362" s="9" t="s">
        <v>74</v>
      </c>
      <c r="E362" s="9">
        <v>5.5</v>
      </c>
      <c r="F362" s="9">
        <f t="shared" si="20"/>
        <v>66</v>
      </c>
      <c r="G362" s="9">
        <v>1</v>
      </c>
      <c r="H362" s="41" t="s">
        <v>176</v>
      </c>
      <c r="I362" s="42">
        <v>2000000</v>
      </c>
      <c r="J362" s="42">
        <v>3000000</v>
      </c>
      <c r="K362" s="43" t="s">
        <v>92</v>
      </c>
      <c r="L362" s="9" t="s">
        <v>257</v>
      </c>
      <c r="M362" s="9" t="s">
        <v>209</v>
      </c>
      <c r="N362" s="9" t="s">
        <v>209</v>
      </c>
      <c r="O362" s="9" t="s">
        <v>10</v>
      </c>
      <c r="P362" s="9">
        <v>25</v>
      </c>
      <c r="Q362" s="9" t="s">
        <v>80</v>
      </c>
      <c r="R362" s="47">
        <v>0</v>
      </c>
      <c r="S362" s="31"/>
      <c r="T362" s="31"/>
      <c r="U362" s="31"/>
      <c r="V362" s="31"/>
      <c r="W362" s="31"/>
      <c r="X362" s="31"/>
      <c r="Y362" s="31"/>
      <c r="Z362" s="31"/>
    </row>
    <row r="363" spans="1:26" ht="23.25" customHeight="1" x14ac:dyDescent="0.3">
      <c r="A363" s="39">
        <v>362</v>
      </c>
      <c r="B363" s="40">
        <v>0.5</v>
      </c>
      <c r="C363" s="9">
        <f t="shared" si="18"/>
        <v>6</v>
      </c>
      <c r="D363" s="9" t="s">
        <v>74</v>
      </c>
      <c r="E363" s="9">
        <v>1</v>
      </c>
      <c r="F363" s="9">
        <f t="shared" si="20"/>
        <v>12</v>
      </c>
      <c r="G363" s="34">
        <v>0</v>
      </c>
      <c r="H363" s="41" t="s">
        <v>258</v>
      </c>
      <c r="I363" s="42">
        <v>1000000</v>
      </c>
      <c r="J363" s="42">
        <v>1000000</v>
      </c>
      <c r="K363" s="43" t="s">
        <v>211</v>
      </c>
      <c r="L363" s="9" t="s">
        <v>98</v>
      </c>
      <c r="M363" s="9" t="s">
        <v>209</v>
      </c>
      <c r="N363" s="9" t="s">
        <v>209</v>
      </c>
      <c r="O363" s="9" t="s">
        <v>72</v>
      </c>
      <c r="P363" s="9">
        <v>25</v>
      </c>
      <c r="Q363" s="9" t="s">
        <v>210</v>
      </c>
      <c r="R363" s="47">
        <v>0</v>
      </c>
      <c r="S363" s="31"/>
      <c r="T363" s="31"/>
      <c r="U363" s="31"/>
      <c r="V363" s="31"/>
      <c r="W363" s="31"/>
      <c r="X363" s="31"/>
      <c r="Y363" s="31"/>
      <c r="Z363" s="31"/>
    </row>
    <row r="364" spans="1:26" ht="23.25" customHeight="1" x14ac:dyDescent="0.3">
      <c r="A364" s="39">
        <v>363</v>
      </c>
      <c r="B364" s="40">
        <v>13</v>
      </c>
      <c r="C364" s="9">
        <f t="shared" si="18"/>
        <v>156</v>
      </c>
      <c r="D364" s="9" t="s">
        <v>68</v>
      </c>
      <c r="E364" s="9">
        <v>13</v>
      </c>
      <c r="F364" s="9">
        <f t="shared" si="20"/>
        <v>156</v>
      </c>
      <c r="G364" s="34">
        <v>0</v>
      </c>
      <c r="H364" s="41" t="s">
        <v>128</v>
      </c>
      <c r="I364" s="42">
        <v>1000000</v>
      </c>
      <c r="J364" s="42">
        <v>1100000</v>
      </c>
      <c r="K364" s="43" t="s">
        <v>211</v>
      </c>
      <c r="L364" s="9" t="s">
        <v>98</v>
      </c>
      <c r="M364" s="9" t="s">
        <v>213</v>
      </c>
      <c r="N364" s="9" t="s">
        <v>209</v>
      </c>
      <c r="O364" s="9" t="s">
        <v>72</v>
      </c>
      <c r="P364" s="9">
        <v>33</v>
      </c>
      <c r="Q364" s="9" t="s">
        <v>210</v>
      </c>
      <c r="R364" s="47">
        <v>1</v>
      </c>
      <c r="S364" s="31"/>
      <c r="T364" s="31"/>
      <c r="U364" s="31"/>
      <c r="V364" s="31"/>
      <c r="W364" s="31"/>
      <c r="X364" s="31"/>
      <c r="Y364" s="31"/>
      <c r="Z364" s="31"/>
    </row>
    <row r="365" spans="1:26" ht="23.25" customHeight="1" x14ac:dyDescent="0.3">
      <c r="A365" s="39">
        <v>364</v>
      </c>
      <c r="B365" s="40">
        <v>9</v>
      </c>
      <c r="C365" s="9">
        <f t="shared" si="18"/>
        <v>108</v>
      </c>
      <c r="D365" s="9" t="s">
        <v>74</v>
      </c>
      <c r="E365" s="9">
        <v>3</v>
      </c>
      <c r="F365" s="9">
        <f t="shared" si="20"/>
        <v>36</v>
      </c>
      <c r="G365" s="34">
        <v>0</v>
      </c>
      <c r="H365" s="41" t="s">
        <v>176</v>
      </c>
      <c r="I365" s="42">
        <v>2000000</v>
      </c>
      <c r="J365" s="42">
        <v>2300000</v>
      </c>
      <c r="K365" s="43" t="s">
        <v>218</v>
      </c>
      <c r="L365" s="9" t="s">
        <v>202</v>
      </c>
      <c r="M365" s="9" t="s">
        <v>213</v>
      </c>
      <c r="N365" s="9" t="s">
        <v>209</v>
      </c>
      <c r="O365" s="9" t="s">
        <v>10</v>
      </c>
      <c r="P365" s="9">
        <v>30</v>
      </c>
      <c r="Q365" s="9" t="s">
        <v>80</v>
      </c>
      <c r="R365" s="47">
        <v>1</v>
      </c>
      <c r="S365" s="31"/>
      <c r="T365" s="31"/>
      <c r="U365" s="31"/>
      <c r="V365" s="31"/>
      <c r="W365" s="31"/>
      <c r="X365" s="31"/>
      <c r="Y365" s="31"/>
      <c r="Z365" s="31"/>
    </row>
    <row r="366" spans="1:26" ht="23.25" customHeight="1" x14ac:dyDescent="0.3">
      <c r="A366" s="39">
        <v>365</v>
      </c>
      <c r="B366" s="40">
        <v>20</v>
      </c>
      <c r="C366" s="9">
        <f t="shared" si="18"/>
        <v>240</v>
      </c>
      <c r="D366" s="9" t="s">
        <v>68</v>
      </c>
      <c r="E366" s="9">
        <v>20</v>
      </c>
      <c r="F366" s="9">
        <f t="shared" si="20"/>
        <v>240</v>
      </c>
      <c r="G366" s="9">
        <v>1</v>
      </c>
      <c r="H366" s="41" t="s">
        <v>259</v>
      </c>
      <c r="I366" s="42">
        <v>3000000</v>
      </c>
      <c r="J366" s="42">
        <v>6000000</v>
      </c>
      <c r="K366" s="43" t="s">
        <v>224</v>
      </c>
      <c r="L366" s="9" t="s">
        <v>260</v>
      </c>
      <c r="M366" s="9" t="s">
        <v>213</v>
      </c>
      <c r="N366" s="9" t="s">
        <v>213</v>
      </c>
      <c r="O366" s="9" t="s">
        <v>10</v>
      </c>
      <c r="P366" s="9">
        <v>40</v>
      </c>
      <c r="Q366" s="9" t="s">
        <v>210</v>
      </c>
      <c r="R366" s="47">
        <v>2</v>
      </c>
      <c r="S366" s="31"/>
      <c r="T366" s="31"/>
      <c r="U366" s="31"/>
      <c r="V366" s="31"/>
      <c r="W366" s="31"/>
      <c r="X366" s="31"/>
      <c r="Y366" s="31"/>
      <c r="Z366" s="31"/>
    </row>
    <row r="367" spans="1:26" ht="23.25" customHeight="1" x14ac:dyDescent="0.3">
      <c r="A367" s="39">
        <v>366</v>
      </c>
      <c r="B367" s="40">
        <v>6</v>
      </c>
      <c r="C367" s="9">
        <f t="shared" si="18"/>
        <v>72</v>
      </c>
      <c r="D367" s="9" t="s">
        <v>74</v>
      </c>
      <c r="E367" s="9">
        <v>6</v>
      </c>
      <c r="F367" s="9">
        <f t="shared" si="20"/>
        <v>72</v>
      </c>
      <c r="G367" s="34">
        <v>0</v>
      </c>
      <c r="H367" s="35" t="s">
        <v>69</v>
      </c>
      <c r="I367" s="42">
        <v>800000</v>
      </c>
      <c r="J367" s="42">
        <v>1000000</v>
      </c>
      <c r="K367" s="43" t="s">
        <v>218</v>
      </c>
      <c r="L367" s="9" t="s">
        <v>157</v>
      </c>
      <c r="M367" s="9" t="s">
        <v>209</v>
      </c>
      <c r="N367" s="9" t="s">
        <v>209</v>
      </c>
      <c r="O367" s="9" t="s">
        <v>10</v>
      </c>
      <c r="P367" s="9">
        <v>28</v>
      </c>
      <c r="Q367" s="9" t="s">
        <v>210</v>
      </c>
      <c r="R367" s="47">
        <v>1</v>
      </c>
      <c r="S367" s="31"/>
      <c r="T367" s="31"/>
      <c r="U367" s="31"/>
      <c r="V367" s="31"/>
      <c r="W367" s="31"/>
      <c r="X367" s="31"/>
      <c r="Y367" s="31"/>
      <c r="Z367" s="31"/>
    </row>
    <row r="368" spans="1:26" ht="23.25" customHeight="1" x14ac:dyDescent="0.3">
      <c r="A368" s="39">
        <v>367</v>
      </c>
      <c r="B368" s="40">
        <v>13</v>
      </c>
      <c r="C368" s="9">
        <f t="shared" si="18"/>
        <v>156</v>
      </c>
      <c r="D368" s="9" t="s">
        <v>74</v>
      </c>
      <c r="E368" s="9">
        <v>5</v>
      </c>
      <c r="F368" s="9">
        <f t="shared" si="20"/>
        <v>60</v>
      </c>
      <c r="G368" s="9">
        <v>1</v>
      </c>
      <c r="H368" s="41" t="s">
        <v>261</v>
      </c>
      <c r="I368" s="42">
        <v>1500000</v>
      </c>
      <c r="J368" s="42">
        <v>2500000</v>
      </c>
      <c r="K368" s="43" t="s">
        <v>92</v>
      </c>
      <c r="L368" s="9" t="s">
        <v>120</v>
      </c>
      <c r="M368" s="9" t="s">
        <v>213</v>
      </c>
      <c r="N368" s="9" t="s">
        <v>209</v>
      </c>
      <c r="O368" s="9" t="s">
        <v>72</v>
      </c>
      <c r="P368" s="9">
        <v>30</v>
      </c>
      <c r="Q368" s="9" t="s">
        <v>210</v>
      </c>
      <c r="R368" s="47">
        <v>0</v>
      </c>
      <c r="S368" s="31"/>
      <c r="T368" s="31"/>
      <c r="U368" s="31"/>
      <c r="V368" s="31"/>
      <c r="W368" s="31"/>
      <c r="X368" s="31"/>
      <c r="Y368" s="31"/>
      <c r="Z368" s="31"/>
    </row>
    <row r="369" spans="1:26" ht="23.25" customHeight="1" x14ac:dyDescent="0.3">
      <c r="A369" s="39">
        <v>368</v>
      </c>
      <c r="B369" s="40">
        <v>20</v>
      </c>
      <c r="C369" s="9">
        <f t="shared" si="18"/>
        <v>240</v>
      </c>
      <c r="D369" s="9" t="s">
        <v>68</v>
      </c>
      <c r="E369" s="9">
        <v>5</v>
      </c>
      <c r="F369" s="9">
        <f t="shared" si="20"/>
        <v>60</v>
      </c>
      <c r="G369" s="34">
        <v>0</v>
      </c>
      <c r="H369" s="41" t="s">
        <v>176</v>
      </c>
      <c r="I369" s="42">
        <v>890000</v>
      </c>
      <c r="J369" s="42">
        <v>3000000</v>
      </c>
      <c r="K369" s="43" t="s">
        <v>218</v>
      </c>
      <c r="L369" s="9" t="s">
        <v>90</v>
      </c>
      <c r="M369" s="9" t="s">
        <v>209</v>
      </c>
      <c r="N369" s="9" t="s">
        <v>209</v>
      </c>
      <c r="O369" s="9" t="s">
        <v>10</v>
      </c>
      <c r="P369" s="9">
        <v>32</v>
      </c>
      <c r="Q369" s="9" t="s">
        <v>77</v>
      </c>
      <c r="R369" s="47">
        <v>1</v>
      </c>
      <c r="S369" s="31"/>
      <c r="T369" s="31"/>
      <c r="U369" s="31"/>
      <c r="V369" s="31"/>
      <c r="W369" s="31"/>
      <c r="X369" s="31"/>
      <c r="Y369" s="31"/>
      <c r="Z369" s="31"/>
    </row>
    <row r="370" spans="1:26" ht="23.25" customHeight="1" x14ac:dyDescent="0.3">
      <c r="A370" s="39">
        <v>369</v>
      </c>
      <c r="B370" s="40">
        <v>17</v>
      </c>
      <c r="C370" s="9">
        <f t="shared" si="18"/>
        <v>204</v>
      </c>
      <c r="D370" s="9" t="s">
        <v>102</v>
      </c>
      <c r="E370" s="9">
        <v>2</v>
      </c>
      <c r="F370" s="9">
        <f t="shared" si="20"/>
        <v>24</v>
      </c>
      <c r="G370" s="34">
        <v>0</v>
      </c>
      <c r="H370" s="35" t="s">
        <v>69</v>
      </c>
      <c r="I370" s="42">
        <v>800000</v>
      </c>
      <c r="J370" s="42">
        <v>1500000</v>
      </c>
      <c r="K370" s="43" t="s">
        <v>207</v>
      </c>
      <c r="L370" s="9" t="s">
        <v>262</v>
      </c>
      <c r="M370" s="9" t="s">
        <v>209</v>
      </c>
      <c r="N370" s="9" t="s">
        <v>209</v>
      </c>
      <c r="O370" s="9" t="s">
        <v>10</v>
      </c>
      <c r="P370" s="9">
        <v>30</v>
      </c>
      <c r="Q370" s="9" t="s">
        <v>80</v>
      </c>
      <c r="R370" s="47">
        <v>2</v>
      </c>
      <c r="S370" s="31"/>
      <c r="T370" s="31"/>
      <c r="U370" s="31"/>
      <c r="V370" s="31"/>
      <c r="W370" s="31"/>
      <c r="X370" s="31"/>
      <c r="Y370" s="31"/>
      <c r="Z370" s="31"/>
    </row>
    <row r="371" spans="1:26" ht="23.25" customHeight="1" x14ac:dyDescent="0.3">
      <c r="A371" s="39">
        <v>370</v>
      </c>
      <c r="B371" s="40">
        <v>7</v>
      </c>
      <c r="C371" s="9">
        <f t="shared" si="18"/>
        <v>84</v>
      </c>
      <c r="D371" s="9" t="s">
        <v>102</v>
      </c>
      <c r="E371" s="9">
        <v>2</v>
      </c>
      <c r="F371" s="9">
        <f t="shared" si="20"/>
        <v>24</v>
      </c>
      <c r="G371" s="34">
        <v>0</v>
      </c>
      <c r="H371" s="35" t="s">
        <v>69</v>
      </c>
      <c r="I371" s="42">
        <v>1500000</v>
      </c>
      <c r="J371" s="42">
        <v>1500000</v>
      </c>
      <c r="K371" s="43" t="s">
        <v>207</v>
      </c>
      <c r="L371" s="9" t="s">
        <v>263</v>
      </c>
      <c r="M371" s="9" t="s">
        <v>213</v>
      </c>
      <c r="N371" s="9" t="s">
        <v>213</v>
      </c>
      <c r="O371" s="9" t="s">
        <v>10</v>
      </c>
      <c r="P371" s="9">
        <v>23</v>
      </c>
      <c r="Q371" s="9" t="s">
        <v>210</v>
      </c>
      <c r="R371" s="47">
        <v>0</v>
      </c>
      <c r="S371" s="31"/>
      <c r="T371" s="31"/>
      <c r="U371" s="31"/>
      <c r="V371" s="31"/>
      <c r="W371" s="31"/>
      <c r="X371" s="31"/>
      <c r="Y371" s="31"/>
      <c r="Z371" s="31"/>
    </row>
    <row r="372" spans="1:26" ht="23.25" customHeight="1" x14ac:dyDescent="0.3">
      <c r="A372" s="39">
        <v>371</v>
      </c>
      <c r="B372" s="40">
        <v>19</v>
      </c>
      <c r="C372" s="9">
        <f t="shared" si="18"/>
        <v>228</v>
      </c>
      <c r="D372" s="9" t="s">
        <v>102</v>
      </c>
      <c r="E372" s="9">
        <v>4</v>
      </c>
      <c r="F372" s="9">
        <f t="shared" si="20"/>
        <v>48</v>
      </c>
      <c r="G372" s="34">
        <v>0</v>
      </c>
      <c r="H372" s="41" t="s">
        <v>200</v>
      </c>
      <c r="I372" s="42">
        <v>3000000</v>
      </c>
      <c r="J372" s="42">
        <v>5000000</v>
      </c>
      <c r="K372" s="43" t="s">
        <v>218</v>
      </c>
      <c r="L372" s="9" t="s">
        <v>71</v>
      </c>
      <c r="M372" s="9" t="s">
        <v>213</v>
      </c>
      <c r="N372" s="9" t="s">
        <v>209</v>
      </c>
      <c r="O372" s="9" t="s">
        <v>72</v>
      </c>
      <c r="P372" s="9">
        <v>38</v>
      </c>
      <c r="Q372" s="9" t="s">
        <v>77</v>
      </c>
      <c r="R372" s="47">
        <v>1</v>
      </c>
      <c r="S372" s="31"/>
      <c r="T372" s="31"/>
      <c r="U372" s="31"/>
      <c r="V372" s="31"/>
      <c r="W372" s="31"/>
      <c r="X372" s="31"/>
      <c r="Y372" s="31"/>
      <c r="Z372" s="31"/>
    </row>
    <row r="373" spans="1:26" ht="23.25" customHeight="1" x14ac:dyDescent="0.3">
      <c r="A373" s="39">
        <v>372</v>
      </c>
      <c r="B373" s="40">
        <v>4</v>
      </c>
      <c r="C373" s="9">
        <f t="shared" si="18"/>
        <v>48</v>
      </c>
      <c r="D373" s="9" t="s">
        <v>102</v>
      </c>
      <c r="E373" s="9">
        <v>4</v>
      </c>
      <c r="F373" s="9">
        <f t="shared" si="20"/>
        <v>48</v>
      </c>
      <c r="G373" s="34">
        <v>0</v>
      </c>
      <c r="H373" s="35" t="s">
        <v>69</v>
      </c>
      <c r="I373" s="42">
        <v>1000000</v>
      </c>
      <c r="J373" s="42">
        <v>1500000</v>
      </c>
      <c r="K373" s="43" t="s">
        <v>207</v>
      </c>
      <c r="L373" s="9" t="s">
        <v>107</v>
      </c>
      <c r="M373" s="9" t="s">
        <v>209</v>
      </c>
      <c r="N373" s="9" t="s">
        <v>209</v>
      </c>
      <c r="O373" s="9" t="s">
        <v>10</v>
      </c>
      <c r="P373" s="9">
        <v>25</v>
      </c>
      <c r="Q373" s="9" t="s">
        <v>210</v>
      </c>
      <c r="R373" s="47">
        <v>0</v>
      </c>
      <c r="S373" s="31"/>
      <c r="T373" s="31"/>
      <c r="U373" s="31"/>
      <c r="V373" s="31"/>
      <c r="W373" s="31"/>
      <c r="X373" s="31"/>
      <c r="Y373" s="31"/>
      <c r="Z373" s="31"/>
    </row>
    <row r="374" spans="1:26" ht="23.25" customHeight="1" x14ac:dyDescent="0.3">
      <c r="A374" s="39">
        <v>373</v>
      </c>
      <c r="B374" s="40">
        <v>1</v>
      </c>
      <c r="C374" s="9">
        <f t="shared" si="18"/>
        <v>12</v>
      </c>
      <c r="D374" s="9" t="s">
        <v>68</v>
      </c>
      <c r="E374" s="9">
        <v>1</v>
      </c>
      <c r="F374" s="9">
        <f t="shared" si="20"/>
        <v>12</v>
      </c>
      <c r="G374" s="9">
        <v>1</v>
      </c>
      <c r="H374" s="35" t="s">
        <v>69</v>
      </c>
      <c r="I374" s="42">
        <v>300000</v>
      </c>
      <c r="J374" s="42">
        <v>580000</v>
      </c>
      <c r="K374" s="43" t="s">
        <v>214</v>
      </c>
      <c r="L374" s="9" t="s">
        <v>101</v>
      </c>
      <c r="M374" s="9" t="s">
        <v>209</v>
      </c>
      <c r="N374" s="9" t="s">
        <v>209</v>
      </c>
      <c r="O374" s="9" t="s">
        <v>10</v>
      </c>
      <c r="P374" s="9">
        <v>20</v>
      </c>
      <c r="Q374" s="9" t="s">
        <v>210</v>
      </c>
      <c r="R374" s="47">
        <v>0</v>
      </c>
      <c r="S374" s="31"/>
      <c r="T374" s="31"/>
      <c r="U374" s="31"/>
      <c r="V374" s="31"/>
      <c r="W374" s="31"/>
      <c r="X374" s="31"/>
      <c r="Y374" s="31"/>
      <c r="Z374" s="31"/>
    </row>
    <row r="375" spans="1:26" ht="23.25" customHeight="1" x14ac:dyDescent="0.3">
      <c r="A375" s="39">
        <v>374</v>
      </c>
      <c r="B375" s="40">
        <v>11</v>
      </c>
      <c r="C375" s="9">
        <f t="shared" si="18"/>
        <v>132</v>
      </c>
      <c r="D375" s="9" t="s">
        <v>68</v>
      </c>
      <c r="E375" s="9">
        <v>3</v>
      </c>
      <c r="F375" s="9">
        <f t="shared" si="20"/>
        <v>36</v>
      </c>
      <c r="G375" s="9">
        <v>1</v>
      </c>
      <c r="H375" s="35" t="s">
        <v>69</v>
      </c>
      <c r="I375" s="42">
        <v>1000000</v>
      </c>
      <c r="J375" s="42">
        <v>1200000</v>
      </c>
      <c r="K375" s="43" t="s">
        <v>207</v>
      </c>
      <c r="L375" s="9" t="s">
        <v>184</v>
      </c>
      <c r="M375" s="9" t="s">
        <v>213</v>
      </c>
      <c r="N375" s="9" t="s">
        <v>209</v>
      </c>
      <c r="O375" s="9" t="s">
        <v>72</v>
      </c>
      <c r="P375" s="9">
        <v>24</v>
      </c>
      <c r="Q375" s="9" t="s">
        <v>210</v>
      </c>
      <c r="R375" s="47">
        <v>0</v>
      </c>
      <c r="S375" s="31"/>
      <c r="T375" s="31"/>
      <c r="U375" s="31"/>
      <c r="V375" s="31"/>
      <c r="W375" s="31"/>
      <c r="X375" s="31"/>
      <c r="Y375" s="31"/>
      <c r="Z375" s="31"/>
    </row>
    <row r="376" spans="1:26" ht="23.25" customHeight="1" x14ac:dyDescent="0.3">
      <c r="A376" s="39">
        <v>375</v>
      </c>
      <c r="B376" s="40">
        <v>20</v>
      </c>
      <c r="C376" s="9">
        <f t="shared" si="18"/>
        <v>240</v>
      </c>
      <c r="D376" s="9" t="s">
        <v>68</v>
      </c>
      <c r="E376" s="9">
        <v>5</v>
      </c>
      <c r="F376" s="9">
        <f t="shared" si="20"/>
        <v>60</v>
      </c>
      <c r="G376" s="9">
        <v>1</v>
      </c>
      <c r="H376" s="35" t="s">
        <v>69</v>
      </c>
      <c r="I376" s="42">
        <v>1200000</v>
      </c>
      <c r="J376" s="42">
        <v>1200000</v>
      </c>
      <c r="K376" s="43" t="s">
        <v>211</v>
      </c>
      <c r="L376" s="9" t="s">
        <v>98</v>
      </c>
      <c r="M376" s="9" t="s">
        <v>213</v>
      </c>
      <c r="N376" s="9" t="s">
        <v>209</v>
      </c>
      <c r="O376" s="9" t="s">
        <v>10</v>
      </c>
      <c r="P376" s="9">
        <v>45</v>
      </c>
      <c r="Q376" s="9" t="s">
        <v>80</v>
      </c>
      <c r="R376" s="47">
        <v>2</v>
      </c>
      <c r="S376" s="31"/>
      <c r="T376" s="31"/>
      <c r="U376" s="31"/>
      <c r="V376" s="31"/>
      <c r="W376" s="31"/>
      <c r="X376" s="31"/>
      <c r="Y376" s="31"/>
      <c r="Z376" s="31"/>
    </row>
    <row r="377" spans="1:26" ht="23.25" customHeight="1" x14ac:dyDescent="0.3">
      <c r="A377" s="39">
        <v>376</v>
      </c>
      <c r="B377" s="40">
        <v>37</v>
      </c>
      <c r="C377" s="9">
        <f t="shared" si="18"/>
        <v>444</v>
      </c>
      <c r="D377" s="9" t="s">
        <v>115</v>
      </c>
      <c r="E377" s="9">
        <v>30</v>
      </c>
      <c r="F377" s="9">
        <f t="shared" si="20"/>
        <v>360</v>
      </c>
      <c r="G377" s="9">
        <v>1</v>
      </c>
      <c r="H377" s="41" t="s">
        <v>116</v>
      </c>
      <c r="I377" s="42">
        <v>1000000</v>
      </c>
      <c r="J377" s="42">
        <v>1000000</v>
      </c>
      <c r="K377" s="43" t="s">
        <v>211</v>
      </c>
      <c r="L377" s="9" t="s">
        <v>98</v>
      </c>
      <c r="M377" s="9" t="s">
        <v>209</v>
      </c>
      <c r="N377" s="9" t="s">
        <v>209</v>
      </c>
      <c r="O377" s="9" t="s">
        <v>10</v>
      </c>
      <c r="P377" s="9">
        <v>42</v>
      </c>
      <c r="Q377" s="9" t="s">
        <v>77</v>
      </c>
      <c r="R377" s="47">
        <v>3</v>
      </c>
      <c r="S377" s="31"/>
      <c r="T377" s="31"/>
      <c r="U377" s="31"/>
      <c r="V377" s="31"/>
      <c r="W377" s="31"/>
      <c r="X377" s="31"/>
      <c r="Y377" s="31"/>
      <c r="Z377" s="31"/>
    </row>
    <row r="378" spans="1:26" ht="23.25" customHeight="1" x14ac:dyDescent="0.3">
      <c r="A378" s="39">
        <v>377</v>
      </c>
      <c r="B378" s="40">
        <v>30</v>
      </c>
      <c r="C378" s="9">
        <f t="shared" si="18"/>
        <v>360</v>
      </c>
      <c r="D378" s="9" t="s">
        <v>68</v>
      </c>
      <c r="E378" s="9">
        <v>15</v>
      </c>
      <c r="F378" s="9">
        <f t="shared" si="20"/>
        <v>180</v>
      </c>
      <c r="G378" s="9">
        <v>1</v>
      </c>
      <c r="H378" s="35" t="s">
        <v>69</v>
      </c>
      <c r="I378" s="42">
        <v>1200000</v>
      </c>
      <c r="J378" s="42">
        <v>1200000</v>
      </c>
      <c r="K378" s="43" t="s">
        <v>214</v>
      </c>
      <c r="L378" s="9" t="s">
        <v>188</v>
      </c>
      <c r="M378" s="9" t="s">
        <v>213</v>
      </c>
      <c r="N378" s="9" t="s">
        <v>209</v>
      </c>
      <c r="O378" s="9" t="s">
        <v>10</v>
      </c>
      <c r="P378" s="9">
        <v>46</v>
      </c>
      <c r="Q378" s="9" t="s">
        <v>80</v>
      </c>
      <c r="R378" s="47">
        <v>5</v>
      </c>
      <c r="S378" s="31"/>
      <c r="T378" s="31"/>
      <c r="U378" s="31"/>
      <c r="V378" s="31"/>
      <c r="W378" s="31"/>
      <c r="X378" s="31"/>
      <c r="Y378" s="31"/>
      <c r="Z378" s="31"/>
    </row>
    <row r="379" spans="1:26" ht="23.25" customHeight="1" x14ac:dyDescent="0.3">
      <c r="A379" s="39">
        <v>378</v>
      </c>
      <c r="B379" s="40">
        <v>14</v>
      </c>
      <c r="C379" s="9">
        <f t="shared" si="18"/>
        <v>168</v>
      </c>
      <c r="D379" s="9" t="s">
        <v>95</v>
      </c>
      <c r="E379" s="9">
        <v>12</v>
      </c>
      <c r="F379" s="9">
        <f t="shared" si="20"/>
        <v>144</v>
      </c>
      <c r="G379" s="9">
        <v>1</v>
      </c>
      <c r="H379" s="41" t="s">
        <v>174</v>
      </c>
      <c r="I379" s="42">
        <v>4000000</v>
      </c>
      <c r="J379" s="42">
        <v>4500000</v>
      </c>
      <c r="K379" s="43" t="s">
        <v>214</v>
      </c>
      <c r="L379" s="9" t="s">
        <v>264</v>
      </c>
      <c r="M379" s="9" t="s">
        <v>213</v>
      </c>
      <c r="N379" s="9" t="s">
        <v>209</v>
      </c>
      <c r="O379" s="9" t="s">
        <v>72</v>
      </c>
      <c r="P379" s="9">
        <v>29</v>
      </c>
      <c r="Q379" s="9" t="s">
        <v>210</v>
      </c>
      <c r="R379" s="47">
        <v>0</v>
      </c>
      <c r="S379" s="31"/>
      <c r="T379" s="31"/>
      <c r="U379" s="31"/>
      <c r="V379" s="31"/>
      <c r="W379" s="31"/>
      <c r="X379" s="31"/>
      <c r="Y379" s="31"/>
      <c r="Z379" s="31"/>
    </row>
    <row r="380" spans="1:26" ht="23.25" customHeight="1" x14ac:dyDescent="0.3">
      <c r="A380" s="39">
        <v>379</v>
      </c>
      <c r="B380" s="40">
        <v>13</v>
      </c>
      <c r="C380" s="9">
        <f t="shared" si="18"/>
        <v>156</v>
      </c>
      <c r="D380" s="9" t="s">
        <v>95</v>
      </c>
      <c r="E380" s="9">
        <v>3</v>
      </c>
      <c r="F380" s="9">
        <f t="shared" si="20"/>
        <v>36</v>
      </c>
      <c r="G380" s="9">
        <v>1</v>
      </c>
      <c r="H380" s="41" t="s">
        <v>86</v>
      </c>
      <c r="I380" s="42">
        <v>2000000</v>
      </c>
      <c r="J380" s="42">
        <v>5000000</v>
      </c>
      <c r="K380" s="43" t="s">
        <v>218</v>
      </c>
      <c r="L380" s="9" t="s">
        <v>157</v>
      </c>
      <c r="M380" s="9" t="s">
        <v>213</v>
      </c>
      <c r="N380" s="9" t="s">
        <v>209</v>
      </c>
      <c r="O380" s="9" t="s">
        <v>72</v>
      </c>
      <c r="P380" s="9">
        <v>30</v>
      </c>
      <c r="Q380" s="9" t="s">
        <v>210</v>
      </c>
      <c r="R380" s="47">
        <v>0</v>
      </c>
      <c r="S380" s="31"/>
      <c r="T380" s="31"/>
      <c r="U380" s="31"/>
      <c r="V380" s="31"/>
      <c r="W380" s="31"/>
      <c r="X380" s="31"/>
      <c r="Y380" s="31"/>
      <c r="Z380" s="31"/>
    </row>
    <row r="381" spans="1:26" ht="23.25" customHeight="1" x14ac:dyDescent="0.3">
      <c r="A381" s="39">
        <v>380</v>
      </c>
      <c r="B381" s="40">
        <v>1</v>
      </c>
      <c r="C381" s="9">
        <f t="shared" si="18"/>
        <v>12</v>
      </c>
      <c r="D381" s="9" t="s">
        <v>95</v>
      </c>
      <c r="E381" s="9">
        <v>1</v>
      </c>
      <c r="F381" s="9">
        <f t="shared" si="20"/>
        <v>12</v>
      </c>
      <c r="G381" s="9">
        <v>1</v>
      </c>
      <c r="H381" s="41" t="s">
        <v>265</v>
      </c>
      <c r="I381" s="42">
        <v>1500000</v>
      </c>
      <c r="J381" s="42">
        <v>1500000</v>
      </c>
      <c r="K381" s="43" t="s">
        <v>211</v>
      </c>
      <c r="L381" s="9" t="s">
        <v>98</v>
      </c>
      <c r="M381" s="9" t="s">
        <v>209</v>
      </c>
      <c r="N381" s="9" t="s">
        <v>209</v>
      </c>
      <c r="O381" s="9" t="s">
        <v>72</v>
      </c>
      <c r="P381" s="9">
        <v>22</v>
      </c>
      <c r="Q381" s="9" t="s">
        <v>210</v>
      </c>
      <c r="R381" s="47">
        <v>0</v>
      </c>
      <c r="S381" s="31"/>
      <c r="T381" s="31"/>
      <c r="U381" s="31"/>
      <c r="V381" s="31"/>
      <c r="W381" s="31"/>
      <c r="X381" s="31"/>
      <c r="Y381" s="31"/>
      <c r="Z381" s="31"/>
    </row>
    <row r="382" spans="1:26" ht="23.25" customHeight="1" x14ac:dyDescent="0.3">
      <c r="A382" s="39">
        <v>381</v>
      </c>
      <c r="B382" s="40">
        <v>12</v>
      </c>
      <c r="C382" s="9">
        <f t="shared" si="18"/>
        <v>144</v>
      </c>
      <c r="D382" s="9" t="s">
        <v>95</v>
      </c>
      <c r="E382" s="9">
        <v>2</v>
      </c>
      <c r="F382" s="9">
        <f t="shared" si="20"/>
        <v>24</v>
      </c>
      <c r="G382" s="9">
        <v>1</v>
      </c>
      <c r="H382" s="41" t="s">
        <v>265</v>
      </c>
      <c r="I382" s="42">
        <v>1500000</v>
      </c>
      <c r="J382" s="42">
        <v>1500000</v>
      </c>
      <c r="K382" s="43" t="s">
        <v>207</v>
      </c>
      <c r="L382" s="9" t="s">
        <v>266</v>
      </c>
      <c r="M382" s="9" t="s">
        <v>209</v>
      </c>
      <c r="N382" s="9" t="s">
        <v>209</v>
      </c>
      <c r="O382" s="9" t="s">
        <v>72</v>
      </c>
      <c r="P382" s="9">
        <v>23</v>
      </c>
      <c r="Q382" s="9" t="s">
        <v>210</v>
      </c>
      <c r="R382" s="47">
        <v>0</v>
      </c>
      <c r="S382" s="31"/>
      <c r="T382" s="31"/>
      <c r="U382" s="31"/>
      <c r="V382" s="31"/>
      <c r="W382" s="31"/>
      <c r="X382" s="31"/>
      <c r="Y382" s="31"/>
      <c r="Z382" s="31"/>
    </row>
    <row r="383" spans="1:26" ht="23.25" customHeight="1" x14ac:dyDescent="0.3">
      <c r="A383" s="39">
        <v>382</v>
      </c>
      <c r="B383" s="40">
        <v>4</v>
      </c>
      <c r="C383" s="9">
        <f t="shared" si="18"/>
        <v>48</v>
      </c>
      <c r="D383" s="9" t="s">
        <v>95</v>
      </c>
      <c r="E383" s="9">
        <v>9</v>
      </c>
      <c r="F383" s="9">
        <f t="shared" si="20"/>
        <v>108</v>
      </c>
      <c r="G383" s="9">
        <v>1</v>
      </c>
      <c r="H383" s="41" t="s">
        <v>83</v>
      </c>
      <c r="I383" s="42">
        <v>1200000</v>
      </c>
      <c r="J383" s="42">
        <v>1400000</v>
      </c>
      <c r="K383" s="43" t="s">
        <v>218</v>
      </c>
      <c r="L383" s="9" t="s">
        <v>267</v>
      </c>
      <c r="M383" s="9" t="s">
        <v>213</v>
      </c>
      <c r="N383" s="9" t="s">
        <v>209</v>
      </c>
      <c r="O383" s="9" t="s">
        <v>72</v>
      </c>
      <c r="P383" s="9">
        <v>26</v>
      </c>
      <c r="Q383" s="9" t="s">
        <v>210</v>
      </c>
      <c r="R383" s="47">
        <v>0</v>
      </c>
      <c r="S383" s="31"/>
      <c r="T383" s="31"/>
      <c r="U383" s="31"/>
      <c r="V383" s="31"/>
      <c r="W383" s="31"/>
      <c r="X383" s="31"/>
      <c r="Y383" s="31"/>
      <c r="Z383" s="31"/>
    </row>
    <row r="384" spans="1:26" ht="23.25" customHeight="1" x14ac:dyDescent="0.3">
      <c r="A384" s="39">
        <v>383</v>
      </c>
      <c r="B384" s="40">
        <v>3</v>
      </c>
      <c r="C384" s="9">
        <f t="shared" si="18"/>
        <v>36</v>
      </c>
      <c r="D384" s="9" t="s">
        <v>74</v>
      </c>
      <c r="E384" s="9">
        <v>3</v>
      </c>
      <c r="F384" s="9">
        <f t="shared" si="20"/>
        <v>36</v>
      </c>
      <c r="G384" s="34">
        <v>0</v>
      </c>
      <c r="H384" s="35" t="s">
        <v>151</v>
      </c>
      <c r="I384" s="42">
        <v>1000000</v>
      </c>
      <c r="J384" s="42">
        <v>3000000</v>
      </c>
      <c r="K384" s="43" t="s">
        <v>218</v>
      </c>
      <c r="L384" s="9" t="s">
        <v>171</v>
      </c>
      <c r="M384" s="9" t="s">
        <v>209</v>
      </c>
      <c r="N384" s="9" t="s">
        <v>209</v>
      </c>
      <c r="O384" s="9" t="s">
        <v>72</v>
      </c>
      <c r="P384" s="9">
        <v>25</v>
      </c>
      <c r="Q384" s="9" t="s">
        <v>80</v>
      </c>
      <c r="R384" s="47">
        <v>0</v>
      </c>
      <c r="S384" s="31"/>
      <c r="T384" s="31"/>
      <c r="U384" s="31"/>
      <c r="V384" s="31"/>
      <c r="W384" s="31"/>
      <c r="X384" s="31"/>
      <c r="Y384" s="31"/>
      <c r="Z384" s="31"/>
    </row>
    <row r="385" spans="1:26" ht="23.25" customHeight="1" x14ac:dyDescent="0.3">
      <c r="A385" s="39">
        <v>384</v>
      </c>
      <c r="B385" s="40">
        <v>1</v>
      </c>
      <c r="C385" s="9">
        <f t="shared" si="18"/>
        <v>12</v>
      </c>
      <c r="D385" s="9" t="s">
        <v>68</v>
      </c>
      <c r="E385" s="9">
        <v>1</v>
      </c>
      <c r="F385" s="9">
        <f t="shared" si="20"/>
        <v>12</v>
      </c>
      <c r="G385" s="9">
        <v>1</v>
      </c>
      <c r="H385" s="35" t="s">
        <v>69</v>
      </c>
      <c r="I385" s="42">
        <v>1000000</v>
      </c>
      <c r="J385" s="42">
        <v>800000</v>
      </c>
      <c r="K385" s="43" t="s">
        <v>211</v>
      </c>
      <c r="L385" s="9" t="s">
        <v>98</v>
      </c>
      <c r="M385" s="9" t="s">
        <v>209</v>
      </c>
      <c r="N385" s="9" t="s">
        <v>209</v>
      </c>
      <c r="O385" s="9" t="s">
        <v>10</v>
      </c>
      <c r="P385" s="9">
        <v>21</v>
      </c>
      <c r="Q385" s="9" t="s">
        <v>80</v>
      </c>
      <c r="R385" s="47">
        <v>0</v>
      </c>
      <c r="S385" s="31"/>
      <c r="T385" s="31"/>
      <c r="U385" s="31"/>
      <c r="V385" s="31"/>
      <c r="W385" s="31"/>
      <c r="X385" s="31"/>
      <c r="Y385" s="31"/>
      <c r="Z385" s="31"/>
    </row>
    <row r="386" spans="1:26" ht="23.25" customHeight="1" x14ac:dyDescent="0.3">
      <c r="A386" s="39">
        <v>385</v>
      </c>
      <c r="B386" s="40">
        <v>6</v>
      </c>
      <c r="C386" s="9">
        <f t="shared" si="18"/>
        <v>72</v>
      </c>
      <c r="D386" s="9" t="s">
        <v>68</v>
      </c>
      <c r="E386" s="9">
        <v>1</v>
      </c>
      <c r="F386" s="9">
        <f t="shared" si="20"/>
        <v>12</v>
      </c>
      <c r="G386" s="34">
        <v>0</v>
      </c>
      <c r="H386" s="41" t="s">
        <v>268</v>
      </c>
      <c r="I386" s="42">
        <v>800000</v>
      </c>
      <c r="J386" s="42">
        <v>2000000</v>
      </c>
      <c r="K386" s="43" t="s">
        <v>207</v>
      </c>
      <c r="L386" s="9" t="s">
        <v>269</v>
      </c>
      <c r="M386" s="9" t="s">
        <v>209</v>
      </c>
      <c r="N386" s="9" t="s">
        <v>209</v>
      </c>
      <c r="O386" s="9" t="s">
        <v>72</v>
      </c>
      <c r="P386" s="9">
        <v>25</v>
      </c>
      <c r="Q386" s="9" t="s">
        <v>210</v>
      </c>
      <c r="R386" s="47">
        <v>0</v>
      </c>
      <c r="S386" s="31"/>
      <c r="T386" s="31"/>
      <c r="U386" s="31"/>
      <c r="V386" s="31"/>
      <c r="W386" s="31"/>
      <c r="X386" s="31"/>
      <c r="Y386" s="31"/>
      <c r="Z386" s="31"/>
    </row>
    <row r="387" spans="1:26" ht="23.25" customHeight="1" x14ac:dyDescent="0.3">
      <c r="A387" s="39">
        <v>386</v>
      </c>
      <c r="B387" s="40">
        <v>5</v>
      </c>
      <c r="C387" s="9">
        <f t="shared" si="18"/>
        <v>60</v>
      </c>
      <c r="D387" s="9" t="s">
        <v>68</v>
      </c>
      <c r="E387" s="9">
        <v>5</v>
      </c>
      <c r="F387" s="9">
        <f t="shared" si="20"/>
        <v>60</v>
      </c>
      <c r="G387" s="9">
        <v>1</v>
      </c>
      <c r="H387" s="35" t="s">
        <v>69</v>
      </c>
      <c r="I387" s="42">
        <v>1000000</v>
      </c>
      <c r="J387" s="42">
        <v>1000000</v>
      </c>
      <c r="K387" s="43" t="s">
        <v>211</v>
      </c>
      <c r="L387" s="9" t="s">
        <v>98</v>
      </c>
      <c r="M387" s="9" t="s">
        <v>209</v>
      </c>
      <c r="N387" s="9" t="s">
        <v>209</v>
      </c>
      <c r="O387" s="9" t="s">
        <v>10</v>
      </c>
      <c r="P387" s="9">
        <v>29</v>
      </c>
      <c r="Q387" s="9" t="s">
        <v>210</v>
      </c>
      <c r="R387" s="47">
        <v>0</v>
      </c>
      <c r="S387" s="31"/>
      <c r="T387" s="31"/>
      <c r="U387" s="31"/>
      <c r="V387" s="31"/>
      <c r="W387" s="31"/>
      <c r="X387" s="31"/>
      <c r="Y387" s="31"/>
      <c r="Z387" s="31"/>
    </row>
    <row r="388" spans="1:26" ht="23.25" customHeight="1" x14ac:dyDescent="0.3">
      <c r="A388" s="39">
        <v>387</v>
      </c>
      <c r="B388" s="40">
        <v>1</v>
      </c>
      <c r="C388" s="9">
        <f t="shared" si="18"/>
        <v>12</v>
      </c>
      <c r="D388" s="9" t="s">
        <v>74</v>
      </c>
      <c r="E388" s="9">
        <v>1</v>
      </c>
      <c r="F388" s="9">
        <f t="shared" si="20"/>
        <v>12</v>
      </c>
      <c r="G388" s="9">
        <v>1</v>
      </c>
      <c r="H388" s="41" t="s">
        <v>89</v>
      </c>
      <c r="I388" s="42">
        <v>1200000</v>
      </c>
      <c r="J388" s="42">
        <v>1700000</v>
      </c>
      <c r="K388" s="43" t="s">
        <v>207</v>
      </c>
      <c r="L388" s="9" t="s">
        <v>107</v>
      </c>
      <c r="M388" s="9" t="s">
        <v>209</v>
      </c>
      <c r="N388" s="9" t="s">
        <v>209</v>
      </c>
      <c r="O388" s="9" t="s">
        <v>72</v>
      </c>
      <c r="P388" s="9">
        <v>26</v>
      </c>
      <c r="Q388" s="9" t="s">
        <v>210</v>
      </c>
      <c r="R388" s="47">
        <v>0</v>
      </c>
      <c r="S388" s="31"/>
      <c r="T388" s="31"/>
      <c r="U388" s="31"/>
      <c r="V388" s="31"/>
      <c r="W388" s="31"/>
      <c r="X388" s="31"/>
      <c r="Y388" s="31"/>
      <c r="Z388" s="31"/>
    </row>
    <row r="389" spans="1:26" ht="23.25" customHeight="1" x14ac:dyDescent="0.3">
      <c r="A389" s="39">
        <v>388</v>
      </c>
      <c r="B389" s="40">
        <v>59</v>
      </c>
      <c r="C389" s="9">
        <f t="shared" si="18"/>
        <v>708</v>
      </c>
      <c r="D389" s="9" t="s">
        <v>74</v>
      </c>
      <c r="E389" s="9">
        <v>49</v>
      </c>
      <c r="F389" s="9">
        <f t="shared" si="20"/>
        <v>588</v>
      </c>
      <c r="G389" s="34">
        <v>0</v>
      </c>
      <c r="H389" s="41" t="s">
        <v>270</v>
      </c>
      <c r="I389" s="42">
        <v>3000000</v>
      </c>
      <c r="J389" s="42">
        <v>10000000</v>
      </c>
      <c r="K389" s="43" t="s">
        <v>271</v>
      </c>
      <c r="L389" s="9" t="s">
        <v>272</v>
      </c>
      <c r="M389" s="9" t="s">
        <v>213</v>
      </c>
      <c r="N389" s="9" t="s">
        <v>209</v>
      </c>
      <c r="O389" s="9" t="s">
        <v>72</v>
      </c>
      <c r="P389" s="9">
        <v>73</v>
      </c>
      <c r="Q389" s="9" t="s">
        <v>210</v>
      </c>
      <c r="R389" s="47">
        <v>0</v>
      </c>
      <c r="S389" s="31"/>
      <c r="T389" s="31"/>
      <c r="U389" s="31"/>
      <c r="V389" s="31"/>
      <c r="W389" s="31"/>
      <c r="X389" s="31"/>
      <c r="Y389" s="31"/>
      <c r="Z389" s="31"/>
    </row>
    <row r="390" spans="1:26" ht="23.25" customHeight="1" x14ac:dyDescent="0.3">
      <c r="A390" s="39">
        <v>389</v>
      </c>
      <c r="B390" s="40">
        <v>17</v>
      </c>
      <c r="C390" s="9">
        <f t="shared" si="18"/>
        <v>204</v>
      </c>
      <c r="D390" s="9" t="s">
        <v>102</v>
      </c>
      <c r="E390" s="9">
        <v>2</v>
      </c>
      <c r="F390" s="9">
        <f t="shared" si="20"/>
        <v>24</v>
      </c>
      <c r="G390" s="34">
        <v>0</v>
      </c>
      <c r="H390" s="35" t="s">
        <v>69</v>
      </c>
      <c r="I390" s="42">
        <v>800000</v>
      </c>
      <c r="J390" s="42">
        <v>1500000</v>
      </c>
      <c r="K390" s="43" t="s">
        <v>207</v>
      </c>
      <c r="L390" s="9" t="s">
        <v>262</v>
      </c>
      <c r="M390" s="9" t="s">
        <v>209</v>
      </c>
      <c r="N390" s="9" t="s">
        <v>209</v>
      </c>
      <c r="O390" s="9" t="s">
        <v>10</v>
      </c>
      <c r="P390" s="9">
        <v>30</v>
      </c>
      <c r="Q390" s="9" t="s">
        <v>80</v>
      </c>
      <c r="R390" s="47">
        <v>2</v>
      </c>
      <c r="S390" s="31"/>
      <c r="T390" s="31"/>
      <c r="U390" s="31"/>
      <c r="V390" s="31"/>
      <c r="W390" s="31"/>
      <c r="X390" s="31"/>
      <c r="Y390" s="31"/>
      <c r="Z390" s="31"/>
    </row>
    <row r="391" spans="1:26" ht="23.25" customHeight="1" x14ac:dyDescent="0.3">
      <c r="A391" s="39">
        <v>390</v>
      </c>
      <c r="B391" s="40">
        <v>49</v>
      </c>
      <c r="C391" s="9">
        <f t="shared" si="18"/>
        <v>588</v>
      </c>
      <c r="D391" s="9" t="s">
        <v>68</v>
      </c>
      <c r="E391" s="9">
        <v>10</v>
      </c>
      <c r="F391" s="9">
        <f t="shared" si="20"/>
        <v>120</v>
      </c>
      <c r="G391" s="9">
        <v>1</v>
      </c>
      <c r="H391" s="35" t="s">
        <v>69</v>
      </c>
      <c r="I391" s="42">
        <v>1000000</v>
      </c>
      <c r="J391" s="42">
        <v>1000000</v>
      </c>
      <c r="K391" s="43" t="s">
        <v>207</v>
      </c>
      <c r="L391" s="9" t="s">
        <v>107</v>
      </c>
      <c r="M391" s="9" t="s">
        <v>209</v>
      </c>
      <c r="N391" s="9" t="s">
        <v>209</v>
      </c>
      <c r="O391" s="9" t="s">
        <v>10</v>
      </c>
      <c r="P391" s="9">
        <v>65</v>
      </c>
      <c r="Q391" s="9" t="s">
        <v>210</v>
      </c>
      <c r="R391" s="47">
        <v>5</v>
      </c>
      <c r="S391" s="31"/>
      <c r="T391" s="31"/>
      <c r="U391" s="31"/>
      <c r="V391" s="31"/>
      <c r="W391" s="31"/>
      <c r="X391" s="31"/>
      <c r="Y391" s="31"/>
      <c r="Z391" s="31"/>
    </row>
    <row r="392" spans="1:26" ht="23.25" customHeight="1" x14ac:dyDescent="0.3">
      <c r="A392" s="39">
        <v>391</v>
      </c>
      <c r="B392" s="40">
        <v>10</v>
      </c>
      <c r="C392" s="9">
        <f t="shared" si="18"/>
        <v>120</v>
      </c>
      <c r="D392" s="9" t="s">
        <v>68</v>
      </c>
      <c r="E392" s="9">
        <v>10</v>
      </c>
      <c r="F392" s="9">
        <f t="shared" si="20"/>
        <v>120</v>
      </c>
      <c r="G392" s="9">
        <v>1</v>
      </c>
      <c r="H392" s="41" t="s">
        <v>200</v>
      </c>
      <c r="I392" s="42">
        <v>1500000</v>
      </c>
      <c r="J392" s="42">
        <v>2000000</v>
      </c>
      <c r="K392" s="43" t="s">
        <v>70</v>
      </c>
      <c r="L392" s="9" t="s">
        <v>90</v>
      </c>
      <c r="M392" s="9" t="s">
        <v>209</v>
      </c>
      <c r="N392" s="9" t="s">
        <v>209</v>
      </c>
      <c r="O392" s="9" t="s">
        <v>10</v>
      </c>
      <c r="P392" s="9">
        <v>30</v>
      </c>
      <c r="Q392" s="9" t="s">
        <v>77</v>
      </c>
      <c r="R392" s="47">
        <v>1</v>
      </c>
      <c r="S392" s="31"/>
      <c r="T392" s="31"/>
      <c r="U392" s="31"/>
      <c r="V392" s="31"/>
      <c r="W392" s="31"/>
      <c r="X392" s="31"/>
      <c r="Y392" s="31"/>
      <c r="Z392" s="31"/>
    </row>
    <row r="393" spans="1:26" ht="23.25" customHeight="1" x14ac:dyDescent="0.3">
      <c r="A393" s="39">
        <v>392</v>
      </c>
      <c r="B393" s="40">
        <v>28</v>
      </c>
      <c r="C393" s="9">
        <f t="shared" si="18"/>
        <v>336</v>
      </c>
      <c r="D393" s="9" t="s">
        <v>68</v>
      </c>
      <c r="E393" s="9">
        <v>13</v>
      </c>
      <c r="F393" s="9">
        <f t="shared" si="20"/>
        <v>156</v>
      </c>
      <c r="G393" s="9">
        <v>1</v>
      </c>
      <c r="H393" s="35" t="s">
        <v>69</v>
      </c>
      <c r="I393" s="42">
        <v>1000000</v>
      </c>
      <c r="J393" s="42">
        <v>1000000</v>
      </c>
      <c r="K393" s="43" t="s">
        <v>207</v>
      </c>
      <c r="L393" s="9" t="s">
        <v>107</v>
      </c>
      <c r="M393" s="9" t="s">
        <v>213</v>
      </c>
      <c r="N393" s="9" t="s">
        <v>209</v>
      </c>
      <c r="O393" s="9" t="s">
        <v>72</v>
      </c>
      <c r="P393" s="9">
        <v>42</v>
      </c>
      <c r="Q393" s="9" t="s">
        <v>80</v>
      </c>
      <c r="R393" s="47">
        <v>3</v>
      </c>
      <c r="S393" s="31"/>
      <c r="T393" s="31"/>
      <c r="U393" s="31"/>
      <c r="V393" s="31"/>
      <c r="W393" s="31"/>
      <c r="X393" s="31"/>
      <c r="Y393" s="31"/>
      <c r="Z393" s="31"/>
    </row>
    <row r="394" spans="1:26" ht="23.25" customHeight="1" x14ac:dyDescent="0.3">
      <c r="A394" s="39">
        <v>393</v>
      </c>
      <c r="B394" s="40">
        <v>30</v>
      </c>
      <c r="C394" s="9">
        <f t="shared" si="18"/>
        <v>360</v>
      </c>
      <c r="D394" s="9" t="s">
        <v>95</v>
      </c>
      <c r="E394" s="9">
        <v>30</v>
      </c>
      <c r="F394" s="9">
        <f t="shared" si="20"/>
        <v>360</v>
      </c>
      <c r="G394" s="9">
        <v>1</v>
      </c>
      <c r="H394" s="41" t="s">
        <v>273</v>
      </c>
      <c r="I394" s="42">
        <v>1500000</v>
      </c>
      <c r="J394" s="42">
        <v>3000000</v>
      </c>
      <c r="K394" s="43" t="s">
        <v>211</v>
      </c>
      <c r="L394" s="9" t="s">
        <v>98</v>
      </c>
      <c r="M394" s="9" t="s">
        <v>213</v>
      </c>
      <c r="N394" s="9" t="s">
        <v>209</v>
      </c>
      <c r="O394" s="9" t="s">
        <v>72</v>
      </c>
      <c r="P394" s="9">
        <v>40</v>
      </c>
      <c r="Q394" s="9" t="s">
        <v>80</v>
      </c>
      <c r="R394" s="47">
        <v>0</v>
      </c>
      <c r="S394" s="31"/>
      <c r="T394" s="31"/>
      <c r="U394" s="31"/>
      <c r="V394" s="31"/>
      <c r="W394" s="31"/>
      <c r="X394" s="31"/>
      <c r="Y394" s="31"/>
      <c r="Z394" s="31"/>
    </row>
    <row r="395" spans="1:26" ht="23.25" customHeight="1" x14ac:dyDescent="0.3">
      <c r="A395" s="39">
        <v>394</v>
      </c>
      <c r="B395" s="40">
        <v>7</v>
      </c>
      <c r="C395" s="9">
        <f t="shared" si="18"/>
        <v>84</v>
      </c>
      <c r="D395" s="9" t="s">
        <v>68</v>
      </c>
      <c r="E395" s="9">
        <v>7</v>
      </c>
      <c r="F395" s="9">
        <f t="shared" si="20"/>
        <v>84</v>
      </c>
      <c r="G395" s="9">
        <v>1</v>
      </c>
      <c r="H395" s="35" t="s">
        <v>69</v>
      </c>
      <c r="I395" s="42">
        <v>1200000</v>
      </c>
      <c r="J395" s="42">
        <v>1200000</v>
      </c>
      <c r="K395" s="43" t="s">
        <v>207</v>
      </c>
      <c r="L395" s="9" t="s">
        <v>106</v>
      </c>
      <c r="M395" s="9" t="s">
        <v>209</v>
      </c>
      <c r="N395" s="9" t="s">
        <v>209</v>
      </c>
      <c r="O395" s="9" t="s">
        <v>10</v>
      </c>
      <c r="P395" s="9">
        <v>25</v>
      </c>
      <c r="Q395" s="9" t="s">
        <v>210</v>
      </c>
      <c r="R395" s="47">
        <v>0</v>
      </c>
      <c r="S395" s="31"/>
      <c r="T395" s="31"/>
      <c r="U395" s="31"/>
      <c r="V395" s="31"/>
      <c r="W395" s="31"/>
      <c r="X395" s="31"/>
      <c r="Y395" s="31"/>
      <c r="Z395" s="31"/>
    </row>
    <row r="396" spans="1:26" ht="23.25" customHeight="1" x14ac:dyDescent="0.3">
      <c r="A396" s="39">
        <v>395</v>
      </c>
      <c r="B396" s="40">
        <v>10</v>
      </c>
      <c r="C396" s="9">
        <f t="shared" si="18"/>
        <v>120</v>
      </c>
      <c r="D396" s="9" t="s">
        <v>74</v>
      </c>
      <c r="E396" s="9">
        <v>10</v>
      </c>
      <c r="F396" s="9">
        <f t="shared" si="20"/>
        <v>120</v>
      </c>
      <c r="G396" s="9">
        <v>1</v>
      </c>
      <c r="H396" s="41" t="s">
        <v>86</v>
      </c>
      <c r="I396" s="42">
        <v>1600000</v>
      </c>
      <c r="J396" s="42">
        <v>1600000</v>
      </c>
      <c r="K396" s="43" t="s">
        <v>70</v>
      </c>
      <c r="L396" s="9" t="s">
        <v>87</v>
      </c>
      <c r="M396" s="9" t="s">
        <v>209</v>
      </c>
      <c r="N396" s="9" t="s">
        <v>209</v>
      </c>
      <c r="O396" s="9" t="s">
        <v>72</v>
      </c>
      <c r="P396" s="9">
        <v>26</v>
      </c>
      <c r="Q396" s="9" t="s">
        <v>210</v>
      </c>
      <c r="R396" s="47">
        <v>0</v>
      </c>
      <c r="S396" s="31"/>
      <c r="T396" s="31"/>
      <c r="U396" s="31"/>
      <c r="V396" s="31"/>
      <c r="W396" s="31"/>
      <c r="X396" s="31"/>
      <c r="Y396" s="31"/>
      <c r="Z396" s="31"/>
    </row>
    <row r="397" spans="1:26" ht="23.25" customHeight="1" x14ac:dyDescent="0.3">
      <c r="A397" s="39">
        <v>396</v>
      </c>
      <c r="B397" s="40">
        <v>2</v>
      </c>
      <c r="C397" s="9">
        <f t="shared" si="18"/>
        <v>24</v>
      </c>
      <c r="D397" s="9" t="s">
        <v>95</v>
      </c>
      <c r="E397" s="9">
        <v>2</v>
      </c>
      <c r="F397" s="9">
        <f t="shared" si="20"/>
        <v>24</v>
      </c>
      <c r="G397" s="9">
        <v>1</v>
      </c>
      <c r="H397" s="41" t="s">
        <v>170</v>
      </c>
      <c r="I397" s="42">
        <v>1800000</v>
      </c>
      <c r="J397" s="42">
        <v>1800000</v>
      </c>
      <c r="K397" s="43" t="s">
        <v>70</v>
      </c>
      <c r="L397" s="9" t="s">
        <v>171</v>
      </c>
      <c r="M397" s="9" t="s">
        <v>209</v>
      </c>
      <c r="N397" s="9" t="s">
        <v>209</v>
      </c>
      <c r="O397" s="9" t="s">
        <v>72</v>
      </c>
      <c r="P397" s="9">
        <v>26</v>
      </c>
      <c r="Q397" s="9" t="s">
        <v>210</v>
      </c>
      <c r="R397" s="47">
        <v>0</v>
      </c>
      <c r="S397" s="31"/>
      <c r="T397" s="31"/>
      <c r="U397" s="31"/>
      <c r="V397" s="31"/>
      <c r="W397" s="31"/>
      <c r="X397" s="31"/>
      <c r="Y397" s="31"/>
      <c r="Z397" s="31"/>
    </row>
    <row r="398" spans="1:26" ht="23.25" customHeight="1" x14ac:dyDescent="0.3">
      <c r="A398" s="39">
        <v>397</v>
      </c>
      <c r="B398" s="40">
        <v>5</v>
      </c>
      <c r="C398" s="9">
        <f t="shared" si="18"/>
        <v>60</v>
      </c>
      <c r="D398" s="9" t="s">
        <v>68</v>
      </c>
      <c r="E398" s="9">
        <v>5</v>
      </c>
      <c r="F398" s="9">
        <f t="shared" si="20"/>
        <v>60</v>
      </c>
      <c r="G398" s="9">
        <v>1</v>
      </c>
      <c r="H398" s="35" t="s">
        <v>69</v>
      </c>
      <c r="I398" s="42">
        <v>1000000</v>
      </c>
      <c r="J398" s="42">
        <v>1000000</v>
      </c>
      <c r="K398" s="43" t="s">
        <v>211</v>
      </c>
      <c r="L398" s="9" t="s">
        <v>98</v>
      </c>
      <c r="M398" s="9" t="s">
        <v>209</v>
      </c>
      <c r="N398" s="9" t="s">
        <v>209</v>
      </c>
      <c r="O398" s="9" t="s">
        <v>72</v>
      </c>
      <c r="P398" s="9">
        <v>30</v>
      </c>
      <c r="Q398" s="9" t="s">
        <v>77</v>
      </c>
      <c r="R398" s="47">
        <v>1</v>
      </c>
      <c r="S398" s="31"/>
      <c r="T398" s="31"/>
      <c r="U398" s="31"/>
      <c r="V398" s="31"/>
      <c r="W398" s="31"/>
      <c r="X398" s="31"/>
      <c r="Y398" s="31"/>
      <c r="Z398" s="31"/>
    </row>
    <row r="399" spans="1:26" ht="23.25" customHeight="1" x14ac:dyDescent="0.3">
      <c r="A399" s="39">
        <v>398</v>
      </c>
      <c r="B399" s="40">
        <v>2</v>
      </c>
      <c r="C399" s="9">
        <f t="shared" si="18"/>
        <v>24</v>
      </c>
      <c r="D399" s="9" t="s">
        <v>95</v>
      </c>
      <c r="E399" s="9">
        <v>2</v>
      </c>
      <c r="F399" s="9">
        <f t="shared" si="20"/>
        <v>24</v>
      </c>
      <c r="G399" s="9">
        <v>1</v>
      </c>
      <c r="H399" s="41" t="s">
        <v>274</v>
      </c>
      <c r="I399" s="42">
        <v>1000000</v>
      </c>
      <c r="J399" s="42">
        <v>1000000</v>
      </c>
      <c r="K399" s="43" t="s">
        <v>211</v>
      </c>
      <c r="L399" s="9" t="s">
        <v>98</v>
      </c>
      <c r="M399" s="9" t="s">
        <v>213</v>
      </c>
      <c r="N399" s="9" t="s">
        <v>209</v>
      </c>
      <c r="O399" s="9" t="s">
        <v>72</v>
      </c>
      <c r="P399" s="9">
        <v>26</v>
      </c>
      <c r="Q399" s="9" t="s">
        <v>210</v>
      </c>
      <c r="R399" s="47">
        <v>0</v>
      </c>
      <c r="S399" s="31"/>
      <c r="T399" s="31"/>
      <c r="U399" s="31"/>
      <c r="V399" s="31"/>
      <c r="W399" s="31"/>
      <c r="X399" s="31"/>
      <c r="Y399" s="31"/>
      <c r="Z399" s="31"/>
    </row>
    <row r="400" spans="1:26" ht="23.25" customHeight="1" x14ac:dyDescent="0.3">
      <c r="A400" s="39">
        <v>399</v>
      </c>
      <c r="B400" s="40">
        <v>5</v>
      </c>
      <c r="C400" s="9">
        <f t="shared" si="18"/>
        <v>60</v>
      </c>
      <c r="D400" s="9" t="s">
        <v>95</v>
      </c>
      <c r="E400" s="9">
        <v>5</v>
      </c>
      <c r="F400" s="9">
        <f t="shared" si="20"/>
        <v>60</v>
      </c>
      <c r="G400" s="9">
        <v>1</v>
      </c>
      <c r="H400" s="35" t="s">
        <v>151</v>
      </c>
      <c r="I400" s="42">
        <v>1000000</v>
      </c>
      <c r="J400" s="42">
        <v>3000000</v>
      </c>
      <c r="K400" s="43" t="s">
        <v>70</v>
      </c>
      <c r="L400" s="9" t="s">
        <v>171</v>
      </c>
      <c r="M400" s="9" t="s">
        <v>209</v>
      </c>
      <c r="N400" s="9" t="s">
        <v>209</v>
      </c>
      <c r="O400" s="9" t="s">
        <v>72</v>
      </c>
      <c r="P400" s="9">
        <v>25</v>
      </c>
      <c r="Q400" s="9" t="s">
        <v>80</v>
      </c>
      <c r="R400" s="47">
        <v>1</v>
      </c>
      <c r="S400" s="31"/>
      <c r="T400" s="31"/>
      <c r="U400" s="31"/>
      <c r="V400" s="31"/>
      <c r="W400" s="31"/>
      <c r="X400" s="31"/>
      <c r="Y400" s="31"/>
      <c r="Z400" s="31"/>
    </row>
    <row r="401" spans="1:26" ht="23.25" customHeight="1" x14ac:dyDescent="0.3">
      <c r="A401" s="39">
        <v>400</v>
      </c>
      <c r="B401" s="40">
        <v>1</v>
      </c>
      <c r="C401" s="9">
        <f t="shared" si="18"/>
        <v>12</v>
      </c>
      <c r="D401" s="9" t="s">
        <v>68</v>
      </c>
      <c r="E401" s="9">
        <v>1</v>
      </c>
      <c r="F401" s="9">
        <f t="shared" si="20"/>
        <v>12</v>
      </c>
      <c r="G401" s="9">
        <v>1</v>
      </c>
      <c r="H401" s="35" t="s">
        <v>69</v>
      </c>
      <c r="I401" s="42">
        <v>1000000</v>
      </c>
      <c r="J401" s="42">
        <v>1000000</v>
      </c>
      <c r="K401" s="43" t="s">
        <v>211</v>
      </c>
      <c r="L401" s="9" t="s">
        <v>98</v>
      </c>
      <c r="M401" s="9" t="s">
        <v>209</v>
      </c>
      <c r="N401" s="9" t="s">
        <v>209</v>
      </c>
      <c r="O401" s="9" t="s">
        <v>10</v>
      </c>
      <c r="P401" s="9">
        <v>21</v>
      </c>
      <c r="Q401" s="9" t="s">
        <v>210</v>
      </c>
      <c r="R401" s="47">
        <v>0</v>
      </c>
      <c r="S401" s="31"/>
      <c r="T401" s="31"/>
      <c r="U401" s="31"/>
      <c r="V401" s="31"/>
      <c r="W401" s="31"/>
      <c r="X401" s="31"/>
      <c r="Y401" s="31"/>
      <c r="Z401" s="31"/>
    </row>
    <row r="402" spans="1:26" ht="23.25" customHeight="1" x14ac:dyDescent="0.3">
      <c r="A402" s="39">
        <v>401</v>
      </c>
      <c r="B402" s="40">
        <v>8</v>
      </c>
      <c r="C402" s="9">
        <f t="shared" si="18"/>
        <v>96</v>
      </c>
      <c r="D402" s="9" t="s">
        <v>68</v>
      </c>
      <c r="E402" s="9">
        <v>1</v>
      </c>
      <c r="F402" s="9">
        <f t="shared" si="20"/>
        <v>12</v>
      </c>
      <c r="G402" s="9">
        <v>1</v>
      </c>
      <c r="H402" s="35" t="s">
        <v>69</v>
      </c>
      <c r="I402" s="42">
        <v>800000</v>
      </c>
      <c r="J402" s="42">
        <v>800000</v>
      </c>
      <c r="K402" s="43" t="s">
        <v>207</v>
      </c>
      <c r="L402" s="9" t="s">
        <v>275</v>
      </c>
      <c r="M402" s="9" t="s">
        <v>213</v>
      </c>
      <c r="N402" s="9" t="s">
        <v>209</v>
      </c>
      <c r="O402" s="9" t="s">
        <v>72</v>
      </c>
      <c r="P402" s="9">
        <v>25</v>
      </c>
      <c r="Q402" s="9" t="s">
        <v>210</v>
      </c>
      <c r="R402" s="47">
        <v>0</v>
      </c>
      <c r="S402" s="31"/>
      <c r="T402" s="31"/>
      <c r="U402" s="31"/>
      <c r="V402" s="31"/>
      <c r="W402" s="31"/>
      <c r="X402" s="31"/>
      <c r="Y402" s="31"/>
      <c r="Z402" s="31"/>
    </row>
    <row r="403" spans="1:26" ht="23.25" customHeight="1" x14ac:dyDescent="0.3">
      <c r="A403" s="39">
        <v>402</v>
      </c>
      <c r="B403" s="40">
        <v>5</v>
      </c>
      <c r="C403" s="9">
        <f t="shared" si="18"/>
        <v>60</v>
      </c>
      <c r="D403" s="9" t="s">
        <v>68</v>
      </c>
      <c r="E403" s="9">
        <v>5</v>
      </c>
      <c r="F403" s="9">
        <f t="shared" si="20"/>
        <v>60</v>
      </c>
      <c r="G403" s="9">
        <v>1</v>
      </c>
      <c r="H403" s="35" t="s">
        <v>69</v>
      </c>
      <c r="I403" s="42">
        <v>1000000</v>
      </c>
      <c r="J403" s="42">
        <v>1000000</v>
      </c>
      <c r="K403" s="43" t="s">
        <v>211</v>
      </c>
      <c r="L403" s="9" t="s">
        <v>98</v>
      </c>
      <c r="M403" s="9" t="s">
        <v>209</v>
      </c>
      <c r="N403" s="9" t="s">
        <v>209</v>
      </c>
      <c r="O403" s="9" t="s">
        <v>10</v>
      </c>
      <c r="P403" s="9">
        <v>19</v>
      </c>
      <c r="Q403" s="9" t="s">
        <v>210</v>
      </c>
      <c r="R403" s="47">
        <v>0</v>
      </c>
      <c r="S403" s="31"/>
      <c r="T403" s="31"/>
      <c r="U403" s="31"/>
      <c r="V403" s="31"/>
      <c r="W403" s="31"/>
      <c r="X403" s="31"/>
      <c r="Y403" s="31"/>
      <c r="Z403" s="31"/>
    </row>
    <row r="404" spans="1:26" ht="23.25" customHeight="1" x14ac:dyDescent="0.3">
      <c r="A404" s="39">
        <v>403</v>
      </c>
      <c r="B404" s="40">
        <v>10</v>
      </c>
      <c r="C404" s="9">
        <f t="shared" si="18"/>
        <v>120</v>
      </c>
      <c r="D404" s="9" t="s">
        <v>68</v>
      </c>
      <c r="E404" s="9">
        <v>10</v>
      </c>
      <c r="F404" s="9">
        <f t="shared" si="20"/>
        <v>120</v>
      </c>
      <c r="G404" s="34">
        <v>0</v>
      </c>
      <c r="H404" s="41" t="s">
        <v>89</v>
      </c>
      <c r="I404" s="42">
        <v>1500000</v>
      </c>
      <c r="J404" s="42">
        <v>1500000</v>
      </c>
      <c r="K404" s="43" t="s">
        <v>207</v>
      </c>
      <c r="L404" s="9" t="s">
        <v>107</v>
      </c>
      <c r="M404" s="9" t="s">
        <v>209</v>
      </c>
      <c r="N404" s="9" t="s">
        <v>209</v>
      </c>
      <c r="O404" s="9" t="s">
        <v>10</v>
      </c>
      <c r="P404" s="9">
        <v>25</v>
      </c>
      <c r="Q404" s="9" t="s">
        <v>210</v>
      </c>
      <c r="R404" s="47">
        <v>1</v>
      </c>
      <c r="S404" s="31"/>
      <c r="T404" s="31"/>
      <c r="U404" s="31"/>
      <c r="V404" s="31"/>
      <c r="W404" s="31"/>
      <c r="X404" s="31"/>
      <c r="Y404" s="31"/>
      <c r="Z404" s="31"/>
    </row>
    <row r="405" spans="1:26" ht="21.75" customHeight="1" x14ac:dyDescent="0.3">
      <c r="A405" s="39">
        <v>404</v>
      </c>
      <c r="B405" s="40">
        <v>17</v>
      </c>
      <c r="C405" s="9">
        <f t="shared" si="18"/>
        <v>204</v>
      </c>
      <c r="D405" s="9" t="s">
        <v>102</v>
      </c>
      <c r="E405" s="9">
        <v>2</v>
      </c>
      <c r="F405" s="9">
        <f t="shared" si="20"/>
        <v>24</v>
      </c>
      <c r="G405" s="34">
        <v>0</v>
      </c>
      <c r="H405" s="35" t="s">
        <v>69</v>
      </c>
      <c r="I405" s="42">
        <v>800000</v>
      </c>
      <c r="J405" s="42">
        <v>1500000</v>
      </c>
      <c r="K405" s="43" t="s">
        <v>207</v>
      </c>
      <c r="L405" s="9" t="s">
        <v>117</v>
      </c>
      <c r="M405" s="9" t="s">
        <v>209</v>
      </c>
      <c r="N405" s="9" t="s">
        <v>209</v>
      </c>
      <c r="O405" s="9" t="s">
        <v>10</v>
      </c>
      <c r="P405" s="9">
        <v>30</v>
      </c>
      <c r="Q405" s="9" t="s">
        <v>80</v>
      </c>
      <c r="R405" s="47">
        <v>2</v>
      </c>
      <c r="S405" s="31"/>
      <c r="T405" s="31"/>
      <c r="U405" s="31"/>
      <c r="V405" s="31"/>
      <c r="W405" s="31"/>
      <c r="X405" s="31"/>
      <c r="Y405" s="31"/>
      <c r="Z405" s="31"/>
    </row>
    <row r="406" spans="1:26" ht="31.5" customHeight="1" x14ac:dyDescent="0.3">
      <c r="A406" s="39">
        <v>405</v>
      </c>
      <c r="B406" s="40">
        <v>13</v>
      </c>
      <c r="C406" s="9">
        <f t="shared" si="18"/>
        <v>156</v>
      </c>
      <c r="D406" s="9" t="s">
        <v>74</v>
      </c>
      <c r="E406" s="9">
        <v>2</v>
      </c>
      <c r="F406" s="9">
        <f t="shared" si="20"/>
        <v>24</v>
      </c>
      <c r="G406" s="34">
        <v>0</v>
      </c>
      <c r="H406" s="41" t="s">
        <v>176</v>
      </c>
      <c r="I406" s="42">
        <v>1500000</v>
      </c>
      <c r="J406" s="42">
        <v>2500000</v>
      </c>
      <c r="K406" s="43" t="s">
        <v>70</v>
      </c>
      <c r="L406" s="9" t="s">
        <v>87</v>
      </c>
      <c r="M406" s="9" t="s">
        <v>209</v>
      </c>
      <c r="N406" s="9" t="s">
        <v>209</v>
      </c>
      <c r="O406" s="9" t="s">
        <v>72</v>
      </c>
      <c r="P406" s="9">
        <v>27</v>
      </c>
      <c r="Q406" s="9" t="s">
        <v>210</v>
      </c>
      <c r="R406" s="47">
        <v>1</v>
      </c>
      <c r="S406" s="31"/>
      <c r="T406" s="31"/>
      <c r="U406" s="31"/>
      <c r="V406" s="31"/>
      <c r="W406" s="31"/>
      <c r="X406" s="31"/>
      <c r="Y406" s="31"/>
      <c r="Z406" s="31"/>
    </row>
    <row r="407" spans="1:26" ht="22.5" customHeight="1" x14ac:dyDescent="0.3">
      <c r="A407" s="39">
        <v>406</v>
      </c>
      <c r="B407" s="40">
        <v>20</v>
      </c>
      <c r="C407" s="9">
        <f t="shared" si="18"/>
        <v>240</v>
      </c>
      <c r="D407" s="9" t="s">
        <v>68</v>
      </c>
      <c r="E407" s="9">
        <v>18</v>
      </c>
      <c r="F407" s="9">
        <f t="shared" si="20"/>
        <v>216</v>
      </c>
      <c r="G407" s="34">
        <v>0</v>
      </c>
      <c r="H407" s="41" t="s">
        <v>89</v>
      </c>
      <c r="I407" s="42">
        <v>890000</v>
      </c>
      <c r="J407" s="42">
        <v>3000000</v>
      </c>
      <c r="K407" s="43" t="s">
        <v>70</v>
      </c>
      <c r="L407" s="9" t="s">
        <v>93</v>
      </c>
      <c r="M407" s="9" t="s">
        <v>209</v>
      </c>
      <c r="N407" s="9" t="s">
        <v>209</v>
      </c>
      <c r="O407" s="9" t="s">
        <v>72</v>
      </c>
      <c r="P407" s="9">
        <v>30</v>
      </c>
      <c r="Q407" s="9" t="s">
        <v>77</v>
      </c>
      <c r="R407" s="47">
        <v>0</v>
      </c>
      <c r="S407" s="31"/>
      <c r="T407" s="31"/>
      <c r="U407" s="31"/>
      <c r="V407" s="31"/>
      <c r="W407" s="31"/>
      <c r="X407" s="31"/>
      <c r="Y407" s="31"/>
      <c r="Z407" s="31"/>
    </row>
    <row r="408" spans="1:26" ht="23.25" customHeight="1" x14ac:dyDescent="0.3">
      <c r="A408" s="56"/>
      <c r="B408" s="31"/>
      <c r="C408" s="5"/>
      <c r="D408" s="5"/>
      <c r="E408" s="5"/>
      <c r="F408" s="5"/>
      <c r="G408" s="5"/>
      <c r="H408" s="57"/>
      <c r="I408" s="58"/>
      <c r="J408" s="58"/>
      <c r="K408" s="59"/>
      <c r="L408" s="5"/>
      <c r="M408" s="5"/>
      <c r="N408" s="5"/>
      <c r="O408" s="5"/>
      <c r="P408" s="5"/>
      <c r="Q408" s="5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23.25" customHeight="1" x14ac:dyDescent="0.3">
      <c r="A409" s="56"/>
      <c r="B409" s="31"/>
      <c r="C409" s="5"/>
      <c r="D409" s="5"/>
      <c r="E409" s="5"/>
      <c r="F409" s="5"/>
      <c r="G409" s="5"/>
      <c r="H409" s="57"/>
      <c r="I409" s="58"/>
      <c r="J409" s="58"/>
      <c r="K409" s="59"/>
      <c r="L409" s="5"/>
      <c r="M409" s="5"/>
      <c r="N409" s="5"/>
      <c r="O409" s="5"/>
      <c r="P409" s="5"/>
      <c r="Q409" s="5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23.25" customHeight="1" x14ac:dyDescent="0.3">
      <c r="A410" s="56"/>
      <c r="B410" s="31"/>
      <c r="C410" s="5"/>
      <c r="D410" s="5"/>
      <c r="E410" s="5"/>
      <c r="F410" s="5"/>
      <c r="G410" s="5"/>
      <c r="H410" s="57"/>
      <c r="I410" s="58"/>
      <c r="J410" s="58"/>
      <c r="K410" s="59"/>
      <c r="L410" s="5"/>
      <c r="M410" s="5"/>
      <c r="N410" s="5"/>
      <c r="O410" s="5"/>
      <c r="P410" s="5"/>
      <c r="Q410" s="5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23.25" customHeight="1" x14ac:dyDescent="0.3">
      <c r="A411" s="56"/>
      <c r="B411" s="31"/>
      <c r="C411" s="5"/>
      <c r="D411" s="5"/>
      <c r="E411" s="5"/>
      <c r="F411" s="5"/>
      <c r="G411" s="5"/>
      <c r="H411" s="57"/>
      <c r="I411" s="58"/>
      <c r="J411" s="58"/>
      <c r="K411" s="59"/>
      <c r="L411" s="5"/>
      <c r="M411" s="5"/>
      <c r="N411" s="5"/>
      <c r="O411" s="5"/>
      <c r="P411" s="5"/>
      <c r="Q411" s="5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23.25" customHeight="1" x14ac:dyDescent="0.3">
      <c r="A412" s="56"/>
      <c r="B412" s="31"/>
      <c r="C412" s="5"/>
      <c r="D412" s="5"/>
      <c r="E412" s="5"/>
      <c r="F412" s="5"/>
      <c r="G412" s="5"/>
      <c r="H412" s="57"/>
      <c r="I412" s="58"/>
      <c r="J412" s="58"/>
      <c r="K412" s="59"/>
      <c r="L412" s="5"/>
      <c r="M412" s="5"/>
      <c r="N412" s="5"/>
      <c r="O412" s="5"/>
      <c r="P412" s="5"/>
      <c r="Q412" s="5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23.25" customHeight="1" x14ac:dyDescent="0.3">
      <c r="A413" s="56"/>
      <c r="B413" s="31"/>
      <c r="C413" s="5"/>
      <c r="D413" s="5"/>
      <c r="E413" s="5"/>
      <c r="F413" s="5"/>
      <c r="G413" s="5"/>
      <c r="H413" s="57"/>
      <c r="I413" s="58"/>
      <c r="J413" s="58"/>
      <c r="K413" s="59"/>
      <c r="L413" s="5"/>
      <c r="M413" s="5"/>
      <c r="N413" s="5"/>
      <c r="O413" s="5"/>
      <c r="P413" s="5"/>
      <c r="Q413" s="5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23.25" customHeight="1" x14ac:dyDescent="0.3">
      <c r="A414" s="56"/>
      <c r="B414" s="31"/>
      <c r="C414" s="5"/>
      <c r="D414" s="5"/>
      <c r="E414" s="5"/>
      <c r="F414" s="5"/>
      <c r="G414" s="5"/>
      <c r="H414" s="57"/>
      <c r="I414" s="58"/>
      <c r="J414" s="58"/>
      <c r="K414" s="59"/>
      <c r="L414" s="5"/>
      <c r="M414" s="5"/>
      <c r="N414" s="5"/>
      <c r="O414" s="5"/>
      <c r="P414" s="5"/>
      <c r="Q414" s="5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23.25" customHeight="1" x14ac:dyDescent="0.3">
      <c r="A415" s="56"/>
      <c r="B415" s="31"/>
      <c r="C415" s="5"/>
      <c r="D415" s="5"/>
      <c r="E415" s="5"/>
      <c r="F415" s="5"/>
      <c r="G415" s="5"/>
      <c r="H415" s="57"/>
      <c r="I415" s="58"/>
      <c r="J415" s="58"/>
      <c r="K415" s="59"/>
      <c r="L415" s="5"/>
      <c r="M415" s="5"/>
      <c r="N415" s="5"/>
      <c r="O415" s="5"/>
      <c r="P415" s="5"/>
      <c r="Q415" s="5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23.25" customHeight="1" x14ac:dyDescent="0.3">
      <c r="A416" s="56"/>
      <c r="B416" s="31"/>
      <c r="C416" s="5"/>
      <c r="D416" s="5"/>
      <c r="E416" s="5"/>
      <c r="F416" s="5"/>
      <c r="G416" s="5"/>
      <c r="H416" s="57"/>
      <c r="I416" s="58"/>
      <c r="J416" s="58"/>
      <c r="K416" s="59"/>
      <c r="L416" s="5"/>
      <c r="M416" s="5"/>
      <c r="N416" s="5"/>
      <c r="O416" s="5"/>
      <c r="P416" s="5"/>
      <c r="Q416" s="5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23.25" customHeight="1" x14ac:dyDescent="0.3">
      <c r="A417" s="56"/>
      <c r="B417" s="31"/>
      <c r="C417" s="5"/>
      <c r="D417" s="5"/>
      <c r="E417" s="5"/>
      <c r="F417" s="5"/>
      <c r="G417" s="5"/>
      <c r="H417" s="57"/>
      <c r="I417" s="58"/>
      <c r="J417" s="58"/>
      <c r="K417" s="59"/>
      <c r="L417" s="5"/>
      <c r="M417" s="5"/>
      <c r="N417" s="5"/>
      <c r="O417" s="5"/>
      <c r="P417" s="5"/>
      <c r="Q417" s="5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23.25" customHeight="1" x14ac:dyDescent="0.3">
      <c r="A418" s="56"/>
      <c r="B418" s="31"/>
      <c r="C418" s="5"/>
      <c r="D418" s="5"/>
      <c r="E418" s="5"/>
      <c r="F418" s="5"/>
      <c r="G418" s="5"/>
      <c r="H418" s="57"/>
      <c r="I418" s="58"/>
      <c r="J418" s="58"/>
      <c r="K418" s="59"/>
      <c r="L418" s="5"/>
      <c r="M418" s="5"/>
      <c r="N418" s="5"/>
      <c r="O418" s="5"/>
      <c r="P418" s="5"/>
      <c r="Q418" s="5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23.25" customHeight="1" x14ac:dyDescent="0.3">
      <c r="A419" s="56"/>
      <c r="B419" s="31"/>
      <c r="C419" s="5"/>
      <c r="D419" s="5"/>
      <c r="E419" s="5"/>
      <c r="F419" s="5"/>
      <c r="G419" s="5"/>
      <c r="H419" s="57"/>
      <c r="I419" s="58"/>
      <c r="J419" s="58"/>
      <c r="K419" s="59"/>
      <c r="L419" s="5"/>
      <c r="M419" s="5"/>
      <c r="N419" s="5"/>
      <c r="O419" s="5"/>
      <c r="P419" s="5"/>
      <c r="Q419" s="5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23.25" customHeight="1" x14ac:dyDescent="0.3">
      <c r="A420" s="56"/>
      <c r="B420" s="31"/>
      <c r="C420" s="5"/>
      <c r="D420" s="5"/>
      <c r="E420" s="5"/>
      <c r="F420" s="5"/>
      <c r="G420" s="5"/>
      <c r="H420" s="57"/>
      <c r="I420" s="58"/>
      <c r="J420" s="58"/>
      <c r="K420" s="59"/>
      <c r="L420" s="5"/>
      <c r="M420" s="5"/>
      <c r="N420" s="5"/>
      <c r="O420" s="5"/>
      <c r="P420" s="5"/>
      <c r="Q420" s="5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23.25" customHeight="1" x14ac:dyDescent="0.3">
      <c r="A421" s="56"/>
      <c r="B421" s="31"/>
      <c r="C421" s="5"/>
      <c r="D421" s="5"/>
      <c r="E421" s="5"/>
      <c r="F421" s="5"/>
      <c r="G421" s="5"/>
      <c r="H421" s="57"/>
      <c r="I421" s="58"/>
      <c r="J421" s="58"/>
      <c r="K421" s="59"/>
      <c r="L421" s="5"/>
      <c r="M421" s="5"/>
      <c r="N421" s="5"/>
      <c r="O421" s="5"/>
      <c r="P421" s="5"/>
      <c r="Q421" s="5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23.25" customHeight="1" x14ac:dyDescent="0.3">
      <c r="A422" s="56"/>
      <c r="B422" s="31"/>
      <c r="C422" s="5"/>
      <c r="D422" s="5"/>
      <c r="E422" s="5"/>
      <c r="F422" s="5"/>
      <c r="G422" s="5"/>
      <c r="H422" s="57"/>
      <c r="I422" s="58"/>
      <c r="J422" s="58"/>
      <c r="K422" s="59"/>
      <c r="L422" s="5"/>
      <c r="M422" s="5"/>
      <c r="N422" s="5"/>
      <c r="O422" s="5"/>
      <c r="P422" s="5"/>
      <c r="Q422" s="5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23.25" customHeight="1" x14ac:dyDescent="0.3">
      <c r="A423" s="56"/>
      <c r="B423" s="31"/>
      <c r="C423" s="5"/>
      <c r="D423" s="5"/>
      <c r="E423" s="5"/>
      <c r="F423" s="5"/>
      <c r="G423" s="5"/>
      <c r="H423" s="57"/>
      <c r="I423" s="58"/>
      <c r="J423" s="58"/>
      <c r="K423" s="59"/>
      <c r="L423" s="5"/>
      <c r="M423" s="5"/>
      <c r="N423" s="5"/>
      <c r="O423" s="5"/>
      <c r="P423" s="5"/>
      <c r="Q423" s="5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23.25" customHeight="1" x14ac:dyDescent="0.3">
      <c r="A424" s="56"/>
      <c r="B424" s="31"/>
      <c r="C424" s="5"/>
      <c r="D424" s="5"/>
      <c r="E424" s="5"/>
      <c r="F424" s="5"/>
      <c r="G424" s="5"/>
      <c r="H424" s="57"/>
      <c r="I424" s="58"/>
      <c r="J424" s="58"/>
      <c r="K424" s="59"/>
      <c r="L424" s="5"/>
      <c r="M424" s="5"/>
      <c r="N424" s="5"/>
      <c r="O424" s="5"/>
      <c r="P424" s="5"/>
      <c r="Q424" s="5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23.25" customHeight="1" x14ac:dyDescent="0.3">
      <c r="A425" s="56"/>
      <c r="B425" s="31"/>
      <c r="C425" s="5"/>
      <c r="D425" s="5"/>
      <c r="E425" s="5"/>
      <c r="F425" s="5"/>
      <c r="G425" s="5"/>
      <c r="H425" s="57"/>
      <c r="I425" s="58"/>
      <c r="J425" s="58"/>
      <c r="K425" s="59"/>
      <c r="L425" s="5"/>
      <c r="M425" s="5"/>
      <c r="N425" s="5"/>
      <c r="O425" s="5"/>
      <c r="P425" s="5"/>
      <c r="Q425" s="5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23.25" customHeight="1" x14ac:dyDescent="0.3">
      <c r="A426" s="56"/>
      <c r="B426" s="31"/>
      <c r="C426" s="5"/>
      <c r="D426" s="5"/>
      <c r="E426" s="5"/>
      <c r="F426" s="5"/>
      <c r="G426" s="5"/>
      <c r="H426" s="57"/>
      <c r="I426" s="58"/>
      <c r="J426" s="58"/>
      <c r="K426" s="59"/>
      <c r="L426" s="5"/>
      <c r="M426" s="5"/>
      <c r="N426" s="5"/>
      <c r="O426" s="5"/>
      <c r="P426" s="5"/>
      <c r="Q426" s="5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23.25" customHeight="1" x14ac:dyDescent="0.3">
      <c r="A427" s="56"/>
      <c r="B427" s="31"/>
      <c r="C427" s="5"/>
      <c r="D427" s="5"/>
      <c r="E427" s="5"/>
      <c r="F427" s="5"/>
      <c r="G427" s="5"/>
      <c r="H427" s="57"/>
      <c r="I427" s="58"/>
      <c r="J427" s="58"/>
      <c r="K427" s="59"/>
      <c r="L427" s="5"/>
      <c r="M427" s="5"/>
      <c r="N427" s="5"/>
      <c r="O427" s="5"/>
      <c r="P427" s="5"/>
      <c r="Q427" s="5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23.25" customHeight="1" x14ac:dyDescent="0.3">
      <c r="A428" s="56"/>
      <c r="B428" s="31"/>
      <c r="C428" s="5"/>
      <c r="D428" s="5"/>
      <c r="E428" s="5"/>
      <c r="F428" s="5"/>
      <c r="G428" s="5"/>
      <c r="H428" s="57"/>
      <c r="I428" s="58"/>
      <c r="J428" s="58"/>
      <c r="K428" s="59"/>
      <c r="L428" s="5"/>
      <c r="M428" s="5"/>
      <c r="N428" s="5"/>
      <c r="O428" s="5"/>
      <c r="P428" s="5"/>
      <c r="Q428" s="5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23.25" customHeight="1" x14ac:dyDescent="0.3">
      <c r="A429" s="56"/>
      <c r="B429" s="31"/>
      <c r="C429" s="5"/>
      <c r="D429" s="5"/>
      <c r="E429" s="5"/>
      <c r="F429" s="5"/>
      <c r="G429" s="5"/>
      <c r="H429" s="57"/>
      <c r="I429" s="58"/>
      <c r="J429" s="58"/>
      <c r="K429" s="59"/>
      <c r="L429" s="5"/>
      <c r="M429" s="5"/>
      <c r="N429" s="5"/>
      <c r="O429" s="5"/>
      <c r="P429" s="5"/>
      <c r="Q429" s="5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23.25" customHeight="1" x14ac:dyDescent="0.3">
      <c r="A430" s="56"/>
      <c r="B430" s="31"/>
      <c r="C430" s="5"/>
      <c r="D430" s="5"/>
      <c r="E430" s="5"/>
      <c r="F430" s="5"/>
      <c r="G430" s="5"/>
      <c r="H430" s="57"/>
      <c r="I430" s="58"/>
      <c r="J430" s="58"/>
      <c r="K430" s="59"/>
      <c r="L430" s="5"/>
      <c r="M430" s="5"/>
      <c r="N430" s="5"/>
      <c r="O430" s="5"/>
      <c r="P430" s="5"/>
      <c r="Q430" s="5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23.25" customHeight="1" x14ac:dyDescent="0.3">
      <c r="A431" s="56"/>
      <c r="B431" s="31"/>
      <c r="C431" s="5"/>
      <c r="D431" s="5"/>
      <c r="E431" s="5"/>
      <c r="F431" s="5"/>
      <c r="G431" s="5"/>
      <c r="H431" s="57"/>
      <c r="I431" s="58"/>
      <c r="J431" s="58"/>
      <c r="K431" s="59"/>
      <c r="L431" s="5"/>
      <c r="M431" s="5"/>
      <c r="N431" s="5"/>
      <c r="O431" s="5"/>
      <c r="P431" s="5"/>
      <c r="Q431" s="5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23.25" customHeight="1" x14ac:dyDescent="0.3">
      <c r="A432" s="56"/>
      <c r="B432" s="31"/>
      <c r="C432" s="5"/>
      <c r="D432" s="5"/>
      <c r="E432" s="5"/>
      <c r="F432" s="5"/>
      <c r="G432" s="5"/>
      <c r="H432" s="57"/>
      <c r="I432" s="58"/>
      <c r="J432" s="58"/>
      <c r="K432" s="59"/>
      <c r="L432" s="5"/>
      <c r="M432" s="5"/>
      <c r="N432" s="5"/>
      <c r="O432" s="5"/>
      <c r="P432" s="5"/>
      <c r="Q432" s="5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23.25" customHeight="1" x14ac:dyDescent="0.3">
      <c r="A433" s="56"/>
      <c r="B433" s="31"/>
      <c r="C433" s="5"/>
      <c r="D433" s="5"/>
      <c r="E433" s="5"/>
      <c r="F433" s="5"/>
      <c r="G433" s="5"/>
      <c r="H433" s="57"/>
      <c r="I433" s="58"/>
      <c r="J433" s="58"/>
      <c r="K433" s="59"/>
      <c r="L433" s="5"/>
      <c r="M433" s="5"/>
      <c r="N433" s="5"/>
      <c r="O433" s="5"/>
      <c r="P433" s="5"/>
      <c r="Q433" s="5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23.25" customHeight="1" x14ac:dyDescent="0.3">
      <c r="A434" s="56"/>
      <c r="B434" s="31"/>
      <c r="C434" s="5"/>
      <c r="D434" s="5"/>
      <c r="E434" s="5"/>
      <c r="F434" s="5"/>
      <c r="G434" s="5"/>
      <c r="H434" s="57"/>
      <c r="I434" s="58"/>
      <c r="J434" s="58"/>
      <c r="K434" s="59"/>
      <c r="L434" s="5"/>
      <c r="M434" s="5"/>
      <c r="N434" s="5"/>
      <c r="O434" s="5"/>
      <c r="P434" s="5"/>
      <c r="Q434" s="5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23.25" customHeight="1" x14ac:dyDescent="0.3">
      <c r="A435" s="56"/>
      <c r="B435" s="31"/>
      <c r="C435" s="5"/>
      <c r="D435" s="5"/>
      <c r="E435" s="5"/>
      <c r="F435" s="5"/>
      <c r="G435" s="5"/>
      <c r="H435" s="57"/>
      <c r="I435" s="58"/>
      <c r="J435" s="58"/>
      <c r="K435" s="59"/>
      <c r="L435" s="5"/>
      <c r="M435" s="5"/>
      <c r="N435" s="5"/>
      <c r="O435" s="5"/>
      <c r="P435" s="5"/>
      <c r="Q435" s="5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23.25" customHeight="1" x14ac:dyDescent="0.3">
      <c r="A436" s="56"/>
      <c r="B436" s="31"/>
      <c r="C436" s="5"/>
      <c r="D436" s="5"/>
      <c r="E436" s="5"/>
      <c r="F436" s="5"/>
      <c r="G436" s="5"/>
      <c r="H436" s="57"/>
      <c r="I436" s="58"/>
      <c r="J436" s="58"/>
      <c r="K436" s="59"/>
      <c r="L436" s="5"/>
      <c r="M436" s="5"/>
      <c r="N436" s="5"/>
      <c r="O436" s="5"/>
      <c r="P436" s="5"/>
      <c r="Q436" s="5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23.25" customHeight="1" x14ac:dyDescent="0.3">
      <c r="A437" s="56"/>
      <c r="B437" s="31"/>
      <c r="C437" s="5"/>
      <c r="D437" s="5"/>
      <c r="E437" s="5"/>
      <c r="F437" s="5"/>
      <c r="G437" s="5"/>
      <c r="H437" s="57"/>
      <c r="I437" s="58"/>
      <c r="J437" s="58"/>
      <c r="K437" s="59"/>
      <c r="L437" s="5"/>
      <c r="M437" s="5"/>
      <c r="N437" s="5"/>
      <c r="O437" s="5"/>
      <c r="P437" s="5"/>
      <c r="Q437" s="5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23.25" customHeight="1" x14ac:dyDescent="0.3">
      <c r="A438" s="56"/>
      <c r="B438" s="31"/>
      <c r="C438" s="5"/>
      <c r="D438" s="5"/>
      <c r="E438" s="5"/>
      <c r="F438" s="5"/>
      <c r="G438" s="5"/>
      <c r="H438" s="57"/>
      <c r="I438" s="58"/>
      <c r="J438" s="58"/>
      <c r="K438" s="59"/>
      <c r="L438" s="5"/>
      <c r="M438" s="5"/>
      <c r="N438" s="5"/>
      <c r="O438" s="5"/>
      <c r="P438" s="5"/>
      <c r="Q438" s="5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23.25" customHeight="1" x14ac:dyDescent="0.3">
      <c r="A439" s="56"/>
      <c r="B439" s="31"/>
      <c r="C439" s="5"/>
      <c r="D439" s="5"/>
      <c r="E439" s="5"/>
      <c r="F439" s="5"/>
      <c r="G439" s="5"/>
      <c r="H439" s="57"/>
      <c r="I439" s="58"/>
      <c r="J439" s="58"/>
      <c r="K439" s="59"/>
      <c r="L439" s="5"/>
      <c r="M439" s="5"/>
      <c r="N439" s="5"/>
      <c r="O439" s="5"/>
      <c r="P439" s="5"/>
      <c r="Q439" s="5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23.25" customHeight="1" x14ac:dyDescent="0.3">
      <c r="A440" s="56"/>
      <c r="B440" s="31"/>
      <c r="C440" s="5"/>
      <c r="D440" s="5"/>
      <c r="E440" s="5"/>
      <c r="F440" s="5"/>
      <c r="G440" s="5"/>
      <c r="H440" s="57"/>
      <c r="I440" s="58"/>
      <c r="J440" s="58"/>
      <c r="K440" s="59"/>
      <c r="L440" s="5"/>
      <c r="M440" s="5"/>
      <c r="N440" s="5"/>
      <c r="O440" s="5"/>
      <c r="P440" s="5"/>
      <c r="Q440" s="5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23.25" customHeight="1" x14ac:dyDescent="0.3">
      <c r="A441" s="56"/>
      <c r="B441" s="31"/>
      <c r="C441" s="5"/>
      <c r="D441" s="5"/>
      <c r="E441" s="5"/>
      <c r="F441" s="5"/>
      <c r="G441" s="5"/>
      <c r="H441" s="57"/>
      <c r="I441" s="58"/>
      <c r="J441" s="58"/>
      <c r="K441" s="59"/>
      <c r="L441" s="5"/>
      <c r="M441" s="5"/>
      <c r="N441" s="5"/>
      <c r="O441" s="5"/>
      <c r="P441" s="5"/>
      <c r="Q441" s="5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23.25" customHeight="1" x14ac:dyDescent="0.3">
      <c r="A442" s="56"/>
      <c r="B442" s="31"/>
      <c r="C442" s="5"/>
      <c r="D442" s="5"/>
      <c r="E442" s="5"/>
      <c r="F442" s="5"/>
      <c r="G442" s="5"/>
      <c r="H442" s="57"/>
      <c r="I442" s="58"/>
      <c r="J442" s="58"/>
      <c r="K442" s="59"/>
      <c r="L442" s="5"/>
      <c r="M442" s="5"/>
      <c r="N442" s="5"/>
      <c r="O442" s="5"/>
      <c r="P442" s="5"/>
      <c r="Q442" s="5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23.25" customHeight="1" x14ac:dyDescent="0.3">
      <c r="A443" s="56"/>
      <c r="B443" s="31"/>
      <c r="C443" s="5"/>
      <c r="D443" s="5"/>
      <c r="E443" s="5"/>
      <c r="F443" s="5"/>
      <c r="G443" s="5"/>
      <c r="H443" s="57"/>
      <c r="I443" s="58"/>
      <c r="J443" s="58"/>
      <c r="K443" s="59"/>
      <c r="L443" s="5"/>
      <c r="M443" s="5"/>
      <c r="N443" s="5"/>
      <c r="O443" s="5"/>
      <c r="P443" s="5"/>
      <c r="Q443" s="5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23.25" customHeight="1" x14ac:dyDescent="0.3">
      <c r="A444" s="56"/>
      <c r="B444" s="31"/>
      <c r="C444" s="5"/>
      <c r="D444" s="5"/>
      <c r="E444" s="5"/>
      <c r="F444" s="5"/>
      <c r="G444" s="5"/>
      <c r="H444" s="57"/>
      <c r="I444" s="58"/>
      <c r="J444" s="58"/>
      <c r="K444" s="59"/>
      <c r="L444" s="5"/>
      <c r="M444" s="5"/>
      <c r="N444" s="5"/>
      <c r="O444" s="5"/>
      <c r="P444" s="5"/>
      <c r="Q444" s="5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23.25" customHeight="1" x14ac:dyDescent="0.3">
      <c r="A445" s="56"/>
      <c r="B445" s="31"/>
      <c r="C445" s="5"/>
      <c r="D445" s="5"/>
      <c r="E445" s="5"/>
      <c r="F445" s="5"/>
      <c r="G445" s="5"/>
      <c r="H445" s="57"/>
      <c r="I445" s="58"/>
      <c r="J445" s="58"/>
      <c r="K445" s="59"/>
      <c r="L445" s="5"/>
      <c r="M445" s="5"/>
      <c r="N445" s="5"/>
      <c r="O445" s="5"/>
      <c r="P445" s="5"/>
      <c r="Q445" s="5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23.25" customHeight="1" x14ac:dyDescent="0.3">
      <c r="A446" s="56"/>
      <c r="B446" s="31"/>
      <c r="C446" s="5"/>
      <c r="D446" s="5"/>
      <c r="E446" s="5"/>
      <c r="F446" s="5"/>
      <c r="G446" s="5"/>
      <c r="H446" s="57"/>
      <c r="I446" s="58"/>
      <c r="J446" s="58"/>
      <c r="K446" s="59"/>
      <c r="L446" s="5"/>
      <c r="M446" s="5"/>
      <c r="N446" s="5"/>
      <c r="O446" s="5"/>
      <c r="P446" s="5"/>
      <c r="Q446" s="5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23.25" customHeight="1" x14ac:dyDescent="0.3">
      <c r="A447" s="56"/>
      <c r="B447" s="31"/>
      <c r="C447" s="5"/>
      <c r="D447" s="5"/>
      <c r="E447" s="5"/>
      <c r="F447" s="5"/>
      <c r="G447" s="5"/>
      <c r="H447" s="57"/>
      <c r="I447" s="58"/>
      <c r="J447" s="58"/>
      <c r="K447" s="59"/>
      <c r="L447" s="5"/>
      <c r="M447" s="5"/>
      <c r="N447" s="5"/>
      <c r="O447" s="5"/>
      <c r="P447" s="5"/>
      <c r="Q447" s="5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23.25" customHeight="1" x14ac:dyDescent="0.3">
      <c r="A448" s="56"/>
      <c r="B448" s="31"/>
      <c r="C448" s="5"/>
      <c r="D448" s="5"/>
      <c r="E448" s="5"/>
      <c r="F448" s="5"/>
      <c r="G448" s="5"/>
      <c r="H448" s="57"/>
      <c r="I448" s="58"/>
      <c r="J448" s="58"/>
      <c r="K448" s="59"/>
      <c r="L448" s="5"/>
      <c r="M448" s="5"/>
      <c r="N448" s="5"/>
      <c r="O448" s="5"/>
      <c r="P448" s="5"/>
      <c r="Q448" s="5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23.25" customHeight="1" x14ac:dyDescent="0.3">
      <c r="A449" s="56"/>
      <c r="B449" s="31"/>
      <c r="C449" s="5"/>
      <c r="D449" s="5"/>
      <c r="E449" s="5"/>
      <c r="F449" s="5"/>
      <c r="G449" s="5"/>
      <c r="H449" s="57"/>
      <c r="I449" s="58"/>
      <c r="J449" s="58"/>
      <c r="K449" s="59"/>
      <c r="L449" s="5"/>
      <c r="M449" s="5"/>
      <c r="N449" s="5"/>
      <c r="O449" s="5"/>
      <c r="P449" s="5"/>
      <c r="Q449" s="5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23.25" customHeight="1" x14ac:dyDescent="0.3">
      <c r="A450" s="56"/>
      <c r="B450" s="31"/>
      <c r="C450" s="5"/>
      <c r="D450" s="5"/>
      <c r="E450" s="5"/>
      <c r="F450" s="5"/>
      <c r="G450" s="5"/>
      <c r="H450" s="57"/>
      <c r="I450" s="58"/>
      <c r="J450" s="58"/>
      <c r="K450" s="59"/>
      <c r="L450" s="5"/>
      <c r="M450" s="5"/>
      <c r="N450" s="5"/>
      <c r="O450" s="5"/>
      <c r="P450" s="5"/>
      <c r="Q450" s="5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23.25" customHeight="1" x14ac:dyDescent="0.3">
      <c r="A451" s="56"/>
      <c r="B451" s="31"/>
      <c r="C451" s="5"/>
      <c r="D451" s="5"/>
      <c r="E451" s="5"/>
      <c r="F451" s="5"/>
      <c r="G451" s="5"/>
      <c r="H451" s="57"/>
      <c r="I451" s="58"/>
      <c r="J451" s="58"/>
      <c r="K451" s="59"/>
      <c r="L451" s="5"/>
      <c r="M451" s="5"/>
      <c r="N451" s="5"/>
      <c r="O451" s="5"/>
      <c r="P451" s="5"/>
      <c r="Q451" s="5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23.25" customHeight="1" x14ac:dyDescent="0.3">
      <c r="A452" s="56"/>
      <c r="B452" s="31"/>
      <c r="C452" s="5"/>
      <c r="D452" s="5"/>
      <c r="E452" s="5"/>
      <c r="F452" s="5"/>
      <c r="G452" s="5"/>
      <c r="H452" s="57"/>
      <c r="I452" s="58"/>
      <c r="J452" s="58"/>
      <c r="K452" s="59"/>
      <c r="L452" s="5"/>
      <c r="M452" s="5"/>
      <c r="N452" s="5"/>
      <c r="O452" s="5"/>
      <c r="P452" s="5"/>
      <c r="Q452" s="5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23.25" customHeight="1" x14ac:dyDescent="0.3">
      <c r="A453" s="56"/>
      <c r="B453" s="31"/>
      <c r="C453" s="5"/>
      <c r="D453" s="5"/>
      <c r="E453" s="5"/>
      <c r="F453" s="5"/>
      <c r="G453" s="5"/>
      <c r="H453" s="57"/>
      <c r="I453" s="58"/>
      <c r="J453" s="58"/>
      <c r="K453" s="59"/>
      <c r="L453" s="5"/>
      <c r="M453" s="5"/>
      <c r="N453" s="5"/>
      <c r="O453" s="5"/>
      <c r="P453" s="5"/>
      <c r="Q453" s="5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23.25" customHeight="1" x14ac:dyDescent="0.3">
      <c r="A454" s="56"/>
      <c r="B454" s="31"/>
      <c r="C454" s="5"/>
      <c r="D454" s="5"/>
      <c r="E454" s="5"/>
      <c r="F454" s="5"/>
      <c r="G454" s="5"/>
      <c r="H454" s="57"/>
      <c r="I454" s="58"/>
      <c r="J454" s="58"/>
      <c r="K454" s="59"/>
      <c r="L454" s="5"/>
      <c r="M454" s="5"/>
      <c r="N454" s="5"/>
      <c r="O454" s="5"/>
      <c r="P454" s="5"/>
      <c r="Q454" s="5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23.25" customHeight="1" x14ac:dyDescent="0.3">
      <c r="A455" s="56"/>
      <c r="B455" s="31"/>
      <c r="C455" s="5"/>
      <c r="D455" s="5"/>
      <c r="E455" s="5"/>
      <c r="F455" s="5"/>
      <c r="G455" s="5"/>
      <c r="H455" s="57"/>
      <c r="I455" s="58"/>
      <c r="J455" s="58"/>
      <c r="K455" s="59"/>
      <c r="L455" s="5"/>
      <c r="M455" s="5"/>
      <c r="N455" s="5"/>
      <c r="O455" s="5"/>
      <c r="P455" s="5"/>
      <c r="Q455" s="5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23.25" customHeight="1" x14ac:dyDescent="0.3">
      <c r="A456" s="56"/>
      <c r="B456" s="31"/>
      <c r="C456" s="5"/>
      <c r="D456" s="5"/>
      <c r="E456" s="5"/>
      <c r="F456" s="5"/>
      <c r="G456" s="5"/>
      <c r="H456" s="57"/>
      <c r="I456" s="58"/>
      <c r="J456" s="58"/>
      <c r="K456" s="59"/>
      <c r="L456" s="5"/>
      <c r="M456" s="5"/>
      <c r="N456" s="5"/>
      <c r="O456" s="5"/>
      <c r="P456" s="5"/>
      <c r="Q456" s="5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23.25" customHeight="1" x14ac:dyDescent="0.3">
      <c r="A457" s="56"/>
      <c r="B457" s="31"/>
      <c r="C457" s="5"/>
      <c r="D457" s="5"/>
      <c r="E457" s="5"/>
      <c r="F457" s="5"/>
      <c r="G457" s="5"/>
      <c r="H457" s="57"/>
      <c r="I457" s="58"/>
      <c r="J457" s="58"/>
      <c r="K457" s="59"/>
      <c r="L457" s="5"/>
      <c r="M457" s="5"/>
      <c r="N457" s="5"/>
      <c r="O457" s="5"/>
      <c r="P457" s="5"/>
      <c r="Q457" s="5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23.25" customHeight="1" x14ac:dyDescent="0.3">
      <c r="A458" s="56"/>
      <c r="B458" s="31"/>
      <c r="C458" s="5"/>
      <c r="D458" s="5"/>
      <c r="E458" s="5"/>
      <c r="F458" s="5"/>
      <c r="G458" s="5"/>
      <c r="H458" s="57"/>
      <c r="I458" s="58"/>
      <c r="J458" s="58"/>
      <c r="K458" s="59"/>
      <c r="L458" s="5"/>
      <c r="M458" s="5"/>
      <c r="N458" s="5"/>
      <c r="O458" s="5"/>
      <c r="P458" s="5"/>
      <c r="Q458" s="5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23.25" customHeight="1" x14ac:dyDescent="0.3">
      <c r="A459" s="56"/>
      <c r="B459" s="31"/>
      <c r="C459" s="5"/>
      <c r="D459" s="5"/>
      <c r="E459" s="5"/>
      <c r="F459" s="5"/>
      <c r="G459" s="5"/>
      <c r="H459" s="57"/>
      <c r="I459" s="58"/>
      <c r="J459" s="58"/>
      <c r="K459" s="59"/>
      <c r="L459" s="5"/>
      <c r="M459" s="5"/>
      <c r="N459" s="5"/>
      <c r="O459" s="5"/>
      <c r="P459" s="5"/>
      <c r="Q459" s="5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23.25" customHeight="1" x14ac:dyDescent="0.3">
      <c r="A460" s="56"/>
      <c r="B460" s="31"/>
      <c r="C460" s="5"/>
      <c r="D460" s="5"/>
      <c r="E460" s="5"/>
      <c r="F460" s="5"/>
      <c r="G460" s="5"/>
      <c r="H460" s="57"/>
      <c r="I460" s="58"/>
      <c r="J460" s="58"/>
      <c r="K460" s="59"/>
      <c r="L460" s="5"/>
      <c r="M460" s="5"/>
      <c r="N460" s="5"/>
      <c r="O460" s="5"/>
      <c r="P460" s="5"/>
      <c r="Q460" s="5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23.25" customHeight="1" x14ac:dyDescent="0.3">
      <c r="A461" s="56"/>
      <c r="B461" s="31"/>
      <c r="C461" s="5"/>
      <c r="D461" s="5"/>
      <c r="E461" s="5"/>
      <c r="F461" s="5"/>
      <c r="G461" s="5"/>
      <c r="H461" s="57"/>
      <c r="I461" s="58"/>
      <c r="J461" s="58"/>
      <c r="K461" s="59"/>
      <c r="L461" s="5"/>
      <c r="M461" s="5"/>
      <c r="N461" s="5"/>
      <c r="O461" s="5"/>
      <c r="P461" s="5"/>
      <c r="Q461" s="5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23.25" customHeight="1" x14ac:dyDescent="0.3">
      <c r="A462" s="56"/>
      <c r="B462" s="31"/>
      <c r="C462" s="5"/>
      <c r="D462" s="5"/>
      <c r="E462" s="5"/>
      <c r="F462" s="5"/>
      <c r="G462" s="5"/>
      <c r="H462" s="57"/>
      <c r="I462" s="58"/>
      <c r="J462" s="58"/>
      <c r="K462" s="59"/>
      <c r="L462" s="5"/>
      <c r="M462" s="5"/>
      <c r="N462" s="5"/>
      <c r="O462" s="5"/>
      <c r="P462" s="5"/>
      <c r="Q462" s="5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23.25" customHeight="1" x14ac:dyDescent="0.3">
      <c r="A463" s="56"/>
      <c r="B463" s="31"/>
      <c r="C463" s="5"/>
      <c r="D463" s="5"/>
      <c r="E463" s="5"/>
      <c r="F463" s="5"/>
      <c r="G463" s="5"/>
      <c r="H463" s="57"/>
      <c r="I463" s="58"/>
      <c r="J463" s="58"/>
      <c r="K463" s="59"/>
      <c r="L463" s="5"/>
      <c r="M463" s="5"/>
      <c r="N463" s="5"/>
      <c r="O463" s="5"/>
      <c r="P463" s="5"/>
      <c r="Q463" s="5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23.25" customHeight="1" x14ac:dyDescent="0.3">
      <c r="A464" s="56"/>
      <c r="B464" s="31"/>
      <c r="C464" s="5"/>
      <c r="D464" s="5"/>
      <c r="E464" s="5"/>
      <c r="F464" s="5"/>
      <c r="G464" s="5"/>
      <c r="H464" s="57"/>
      <c r="I464" s="58"/>
      <c r="J464" s="58"/>
      <c r="K464" s="59"/>
      <c r="L464" s="5"/>
      <c r="M464" s="5"/>
      <c r="N464" s="5"/>
      <c r="O464" s="5"/>
      <c r="P464" s="5"/>
      <c r="Q464" s="5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23.25" customHeight="1" x14ac:dyDescent="0.3">
      <c r="A465" s="56"/>
      <c r="B465" s="31"/>
      <c r="C465" s="5"/>
      <c r="D465" s="5"/>
      <c r="E465" s="5"/>
      <c r="F465" s="5"/>
      <c r="G465" s="5"/>
      <c r="H465" s="57"/>
      <c r="I465" s="58"/>
      <c r="J465" s="58"/>
      <c r="K465" s="59"/>
      <c r="L465" s="5"/>
      <c r="M465" s="5"/>
      <c r="N465" s="5"/>
      <c r="O465" s="5"/>
      <c r="P465" s="5"/>
      <c r="Q465" s="5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23.25" customHeight="1" x14ac:dyDescent="0.3">
      <c r="A466" s="56"/>
      <c r="B466" s="31"/>
      <c r="C466" s="5"/>
      <c r="D466" s="5"/>
      <c r="E466" s="5"/>
      <c r="F466" s="5"/>
      <c r="G466" s="5"/>
      <c r="H466" s="57"/>
      <c r="I466" s="58"/>
      <c r="J466" s="58"/>
      <c r="K466" s="59"/>
      <c r="L466" s="5"/>
      <c r="M466" s="5"/>
      <c r="N466" s="5"/>
      <c r="O466" s="5"/>
      <c r="P466" s="5"/>
      <c r="Q466" s="5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23.25" customHeight="1" x14ac:dyDescent="0.3">
      <c r="A467" s="56"/>
      <c r="B467" s="31"/>
      <c r="C467" s="5"/>
      <c r="D467" s="5"/>
      <c r="E467" s="5"/>
      <c r="F467" s="5"/>
      <c r="G467" s="5"/>
      <c r="H467" s="57"/>
      <c r="I467" s="58"/>
      <c r="J467" s="58"/>
      <c r="K467" s="59"/>
      <c r="L467" s="5"/>
      <c r="M467" s="5"/>
      <c r="N467" s="5"/>
      <c r="O467" s="5"/>
      <c r="P467" s="5"/>
      <c r="Q467" s="5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23.25" customHeight="1" x14ac:dyDescent="0.3">
      <c r="A468" s="56"/>
      <c r="B468" s="31"/>
      <c r="C468" s="5"/>
      <c r="D468" s="5"/>
      <c r="E468" s="5"/>
      <c r="F468" s="5"/>
      <c r="G468" s="5"/>
      <c r="H468" s="57"/>
      <c r="I468" s="58"/>
      <c r="J468" s="58"/>
      <c r="K468" s="59"/>
      <c r="L468" s="5"/>
      <c r="M468" s="5"/>
      <c r="N468" s="5"/>
      <c r="O468" s="5"/>
      <c r="P468" s="5"/>
      <c r="Q468" s="5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23.25" customHeight="1" x14ac:dyDescent="0.3">
      <c r="A469" s="56"/>
      <c r="B469" s="31"/>
      <c r="C469" s="5"/>
      <c r="D469" s="5"/>
      <c r="E469" s="5"/>
      <c r="F469" s="5"/>
      <c r="G469" s="5"/>
      <c r="H469" s="57"/>
      <c r="I469" s="58"/>
      <c r="J469" s="58"/>
      <c r="K469" s="59"/>
      <c r="L469" s="5"/>
      <c r="M469" s="5"/>
      <c r="N469" s="5"/>
      <c r="O469" s="5"/>
      <c r="P469" s="5"/>
      <c r="Q469" s="5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23.25" customHeight="1" x14ac:dyDescent="0.3">
      <c r="A470" s="56"/>
      <c r="B470" s="31"/>
      <c r="C470" s="5"/>
      <c r="D470" s="5"/>
      <c r="E470" s="5"/>
      <c r="F470" s="5"/>
      <c r="G470" s="5"/>
      <c r="H470" s="57"/>
      <c r="I470" s="58"/>
      <c r="J470" s="58"/>
      <c r="K470" s="59"/>
      <c r="L470" s="5"/>
      <c r="M470" s="5"/>
      <c r="N470" s="5"/>
      <c r="O470" s="5"/>
      <c r="P470" s="5"/>
      <c r="Q470" s="5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23.25" customHeight="1" x14ac:dyDescent="0.3">
      <c r="A471" s="56"/>
      <c r="B471" s="31"/>
      <c r="C471" s="5"/>
      <c r="D471" s="5"/>
      <c r="E471" s="5"/>
      <c r="F471" s="5"/>
      <c r="G471" s="5"/>
      <c r="H471" s="57"/>
      <c r="I471" s="58"/>
      <c r="J471" s="58"/>
      <c r="K471" s="59"/>
      <c r="L471" s="5"/>
      <c r="M471" s="5"/>
      <c r="N471" s="5"/>
      <c r="O471" s="5"/>
      <c r="P471" s="5"/>
      <c r="Q471" s="5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23.25" customHeight="1" x14ac:dyDescent="0.3">
      <c r="A472" s="56"/>
      <c r="B472" s="31"/>
      <c r="C472" s="5"/>
      <c r="D472" s="5"/>
      <c r="E472" s="5"/>
      <c r="F472" s="5"/>
      <c r="G472" s="5"/>
      <c r="H472" s="57"/>
      <c r="I472" s="58"/>
      <c r="J472" s="58"/>
      <c r="K472" s="59"/>
      <c r="L472" s="5"/>
      <c r="M472" s="5"/>
      <c r="N472" s="5"/>
      <c r="O472" s="5"/>
      <c r="P472" s="5"/>
      <c r="Q472" s="5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23.25" customHeight="1" x14ac:dyDescent="0.3">
      <c r="A473" s="56"/>
      <c r="B473" s="31"/>
      <c r="C473" s="5"/>
      <c r="D473" s="5"/>
      <c r="E473" s="5"/>
      <c r="F473" s="5"/>
      <c r="G473" s="5"/>
      <c r="H473" s="57"/>
      <c r="I473" s="58"/>
      <c r="J473" s="58"/>
      <c r="K473" s="59"/>
      <c r="L473" s="5"/>
      <c r="M473" s="5"/>
      <c r="N473" s="5"/>
      <c r="O473" s="5"/>
      <c r="P473" s="5"/>
      <c r="Q473" s="5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23.25" customHeight="1" x14ac:dyDescent="0.3">
      <c r="A474" s="56"/>
      <c r="B474" s="31"/>
      <c r="C474" s="5"/>
      <c r="D474" s="5"/>
      <c r="E474" s="5"/>
      <c r="F474" s="5"/>
      <c r="G474" s="5"/>
      <c r="H474" s="57"/>
      <c r="I474" s="58"/>
      <c r="J474" s="58"/>
      <c r="K474" s="59"/>
      <c r="L474" s="5"/>
      <c r="M474" s="5"/>
      <c r="N474" s="5"/>
      <c r="O474" s="5"/>
      <c r="P474" s="5"/>
      <c r="Q474" s="5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23.25" customHeight="1" x14ac:dyDescent="0.3">
      <c r="A475" s="56"/>
      <c r="B475" s="31"/>
      <c r="C475" s="5"/>
      <c r="D475" s="5"/>
      <c r="E475" s="5"/>
      <c r="F475" s="5"/>
      <c r="G475" s="5"/>
      <c r="H475" s="57"/>
      <c r="I475" s="58"/>
      <c r="J475" s="58"/>
      <c r="K475" s="59"/>
      <c r="L475" s="5"/>
      <c r="M475" s="5"/>
      <c r="N475" s="5"/>
      <c r="O475" s="5"/>
      <c r="P475" s="5"/>
      <c r="Q475" s="5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23.25" customHeight="1" x14ac:dyDescent="0.3">
      <c r="A476" s="56"/>
      <c r="B476" s="31"/>
      <c r="C476" s="5"/>
      <c r="D476" s="5"/>
      <c r="E476" s="5"/>
      <c r="F476" s="5"/>
      <c r="G476" s="5"/>
      <c r="H476" s="57"/>
      <c r="I476" s="58"/>
      <c r="J476" s="58"/>
      <c r="K476" s="59"/>
      <c r="L476" s="5"/>
      <c r="M476" s="5"/>
      <c r="N476" s="5"/>
      <c r="O476" s="5"/>
      <c r="P476" s="5"/>
      <c r="Q476" s="5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23.25" customHeight="1" x14ac:dyDescent="0.3">
      <c r="A477" s="56"/>
      <c r="B477" s="31"/>
      <c r="C477" s="5"/>
      <c r="D477" s="5"/>
      <c r="E477" s="5"/>
      <c r="F477" s="5"/>
      <c r="G477" s="5"/>
      <c r="H477" s="57"/>
      <c r="I477" s="58"/>
      <c r="J477" s="58"/>
      <c r="K477" s="59"/>
      <c r="L477" s="5"/>
      <c r="M477" s="5"/>
      <c r="N477" s="5"/>
      <c r="O477" s="5"/>
      <c r="P477" s="5"/>
      <c r="Q477" s="5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23.25" customHeight="1" x14ac:dyDescent="0.3">
      <c r="A478" s="56"/>
      <c r="B478" s="31"/>
      <c r="C478" s="5"/>
      <c r="D478" s="5"/>
      <c r="E478" s="5"/>
      <c r="F478" s="5"/>
      <c r="G478" s="5"/>
      <c r="H478" s="57"/>
      <c r="I478" s="58"/>
      <c r="J478" s="58"/>
      <c r="K478" s="59"/>
      <c r="L478" s="5"/>
      <c r="M478" s="5"/>
      <c r="N478" s="5"/>
      <c r="O478" s="5"/>
      <c r="P478" s="5"/>
      <c r="Q478" s="5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23.25" customHeight="1" x14ac:dyDescent="0.3">
      <c r="A479" s="56"/>
      <c r="B479" s="31"/>
      <c r="C479" s="5"/>
      <c r="D479" s="5"/>
      <c r="E479" s="5"/>
      <c r="F479" s="5"/>
      <c r="G479" s="5"/>
      <c r="H479" s="57"/>
      <c r="I479" s="58"/>
      <c r="J479" s="58"/>
      <c r="K479" s="59"/>
      <c r="L479" s="5"/>
      <c r="M479" s="5"/>
      <c r="N479" s="5"/>
      <c r="O479" s="5"/>
      <c r="P479" s="5"/>
      <c r="Q479" s="5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23.25" customHeight="1" x14ac:dyDescent="0.3">
      <c r="A480" s="56"/>
      <c r="B480" s="31"/>
      <c r="C480" s="5"/>
      <c r="D480" s="5"/>
      <c r="E480" s="5"/>
      <c r="F480" s="5"/>
      <c r="G480" s="5"/>
      <c r="H480" s="57"/>
      <c r="I480" s="58"/>
      <c r="J480" s="58"/>
      <c r="K480" s="59"/>
      <c r="L480" s="5"/>
      <c r="M480" s="5"/>
      <c r="N480" s="5"/>
      <c r="O480" s="5"/>
      <c r="P480" s="5"/>
      <c r="Q480" s="5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23.25" customHeight="1" x14ac:dyDescent="0.3">
      <c r="A481" s="56"/>
      <c r="B481" s="31"/>
      <c r="C481" s="5"/>
      <c r="D481" s="5"/>
      <c r="E481" s="5"/>
      <c r="F481" s="5"/>
      <c r="G481" s="5"/>
      <c r="H481" s="57"/>
      <c r="I481" s="58"/>
      <c r="J481" s="58"/>
      <c r="K481" s="59"/>
      <c r="L481" s="5"/>
      <c r="M481" s="5"/>
      <c r="N481" s="5"/>
      <c r="O481" s="5"/>
      <c r="P481" s="5"/>
      <c r="Q481" s="5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23.25" customHeight="1" x14ac:dyDescent="0.3">
      <c r="A482" s="56"/>
      <c r="B482" s="31"/>
      <c r="C482" s="5"/>
      <c r="D482" s="5"/>
      <c r="E482" s="5"/>
      <c r="F482" s="5"/>
      <c r="G482" s="5"/>
      <c r="H482" s="57"/>
      <c r="I482" s="58"/>
      <c r="J482" s="58"/>
      <c r="K482" s="59"/>
      <c r="L482" s="5"/>
      <c r="M482" s="5"/>
      <c r="N482" s="5"/>
      <c r="O482" s="5"/>
      <c r="P482" s="5"/>
      <c r="Q482" s="5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23.25" customHeight="1" x14ac:dyDescent="0.3">
      <c r="A483" s="56"/>
      <c r="B483" s="31"/>
      <c r="C483" s="5"/>
      <c r="D483" s="5"/>
      <c r="E483" s="5"/>
      <c r="F483" s="5"/>
      <c r="G483" s="5"/>
      <c r="H483" s="57"/>
      <c r="I483" s="58"/>
      <c r="J483" s="58"/>
      <c r="K483" s="59"/>
      <c r="L483" s="5"/>
      <c r="M483" s="5"/>
      <c r="N483" s="5"/>
      <c r="O483" s="5"/>
      <c r="P483" s="5"/>
      <c r="Q483" s="5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23.25" customHeight="1" x14ac:dyDescent="0.3">
      <c r="A484" s="56"/>
      <c r="B484" s="31"/>
      <c r="C484" s="5"/>
      <c r="D484" s="5"/>
      <c r="E484" s="5"/>
      <c r="F484" s="5"/>
      <c r="G484" s="5"/>
      <c r="H484" s="57"/>
      <c r="I484" s="58"/>
      <c r="J484" s="58"/>
      <c r="K484" s="59"/>
      <c r="L484" s="5"/>
      <c r="M484" s="5"/>
      <c r="N484" s="5"/>
      <c r="O484" s="5"/>
      <c r="P484" s="5"/>
      <c r="Q484" s="5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23.25" customHeight="1" x14ac:dyDescent="0.3">
      <c r="A485" s="56"/>
      <c r="B485" s="31"/>
      <c r="C485" s="5"/>
      <c r="D485" s="5"/>
      <c r="E485" s="5"/>
      <c r="F485" s="5"/>
      <c r="G485" s="5"/>
      <c r="H485" s="57"/>
      <c r="I485" s="58"/>
      <c r="J485" s="58"/>
      <c r="K485" s="59"/>
      <c r="L485" s="5"/>
      <c r="M485" s="5"/>
      <c r="N485" s="5"/>
      <c r="O485" s="5"/>
      <c r="P485" s="5"/>
      <c r="Q485" s="5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23.25" customHeight="1" x14ac:dyDescent="0.3">
      <c r="A486" s="56"/>
      <c r="B486" s="31"/>
      <c r="C486" s="5"/>
      <c r="D486" s="5"/>
      <c r="E486" s="5"/>
      <c r="F486" s="5"/>
      <c r="G486" s="5"/>
      <c r="H486" s="57"/>
      <c r="I486" s="58"/>
      <c r="J486" s="58"/>
      <c r="K486" s="59"/>
      <c r="L486" s="5"/>
      <c r="M486" s="5"/>
      <c r="N486" s="5"/>
      <c r="O486" s="5"/>
      <c r="P486" s="5"/>
      <c r="Q486" s="5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23.25" customHeight="1" x14ac:dyDescent="0.3">
      <c r="A487" s="56"/>
      <c r="B487" s="31"/>
      <c r="C487" s="5"/>
      <c r="D487" s="5"/>
      <c r="E487" s="5"/>
      <c r="F487" s="5"/>
      <c r="G487" s="5"/>
      <c r="H487" s="57"/>
      <c r="I487" s="58"/>
      <c r="J487" s="58"/>
      <c r="K487" s="59"/>
      <c r="L487" s="5"/>
      <c r="M487" s="5"/>
      <c r="N487" s="5"/>
      <c r="O487" s="5"/>
      <c r="P487" s="5"/>
      <c r="Q487" s="5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23.25" customHeight="1" x14ac:dyDescent="0.3">
      <c r="A488" s="56"/>
      <c r="B488" s="31"/>
      <c r="C488" s="5"/>
      <c r="D488" s="5"/>
      <c r="E488" s="5"/>
      <c r="F488" s="5"/>
      <c r="G488" s="5"/>
      <c r="H488" s="57"/>
      <c r="I488" s="58"/>
      <c r="J488" s="58"/>
      <c r="K488" s="59"/>
      <c r="L488" s="5"/>
      <c r="M488" s="5"/>
      <c r="N488" s="5"/>
      <c r="O488" s="5"/>
      <c r="P488" s="5"/>
      <c r="Q488" s="5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23.25" customHeight="1" x14ac:dyDescent="0.3">
      <c r="A489" s="56"/>
      <c r="B489" s="31"/>
      <c r="C489" s="5"/>
      <c r="D489" s="5"/>
      <c r="E489" s="5"/>
      <c r="F489" s="5"/>
      <c r="G489" s="5"/>
      <c r="H489" s="57"/>
      <c r="I489" s="58"/>
      <c r="J489" s="58"/>
      <c r="K489" s="59"/>
      <c r="L489" s="5"/>
      <c r="M489" s="5"/>
      <c r="N489" s="5"/>
      <c r="O489" s="5"/>
      <c r="P489" s="5"/>
      <c r="Q489" s="5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23.25" customHeight="1" x14ac:dyDescent="0.3">
      <c r="A490" s="56"/>
      <c r="B490" s="31"/>
      <c r="C490" s="5"/>
      <c r="D490" s="5"/>
      <c r="E490" s="5"/>
      <c r="F490" s="5"/>
      <c r="G490" s="5"/>
      <c r="H490" s="57"/>
      <c r="I490" s="58"/>
      <c r="J490" s="58"/>
      <c r="K490" s="59"/>
      <c r="L490" s="5"/>
      <c r="M490" s="5"/>
      <c r="N490" s="5"/>
      <c r="O490" s="5"/>
      <c r="P490" s="5"/>
      <c r="Q490" s="5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23.25" customHeight="1" x14ac:dyDescent="0.3">
      <c r="A491" s="56"/>
      <c r="B491" s="31"/>
      <c r="C491" s="5"/>
      <c r="D491" s="5"/>
      <c r="E491" s="5"/>
      <c r="F491" s="5"/>
      <c r="G491" s="5"/>
      <c r="H491" s="57"/>
      <c r="I491" s="58"/>
      <c r="J491" s="58"/>
      <c r="K491" s="59"/>
      <c r="L491" s="5"/>
      <c r="M491" s="5"/>
      <c r="N491" s="5"/>
      <c r="O491" s="5"/>
      <c r="P491" s="5"/>
      <c r="Q491" s="5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23.25" customHeight="1" x14ac:dyDescent="0.3">
      <c r="A492" s="56"/>
      <c r="B492" s="31"/>
      <c r="C492" s="5"/>
      <c r="D492" s="5"/>
      <c r="E492" s="5"/>
      <c r="F492" s="5"/>
      <c r="G492" s="5"/>
      <c r="H492" s="57"/>
      <c r="I492" s="58"/>
      <c r="J492" s="58"/>
      <c r="K492" s="59"/>
      <c r="L492" s="5"/>
      <c r="M492" s="5"/>
      <c r="N492" s="5"/>
      <c r="O492" s="5"/>
      <c r="P492" s="5"/>
      <c r="Q492" s="5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23.25" customHeight="1" x14ac:dyDescent="0.3">
      <c r="A493" s="56"/>
      <c r="B493" s="31"/>
      <c r="C493" s="5"/>
      <c r="D493" s="5"/>
      <c r="E493" s="5"/>
      <c r="F493" s="5"/>
      <c r="G493" s="5"/>
      <c r="H493" s="57"/>
      <c r="I493" s="58"/>
      <c r="J493" s="58"/>
      <c r="K493" s="59"/>
      <c r="L493" s="5"/>
      <c r="M493" s="5"/>
      <c r="N493" s="5"/>
      <c r="O493" s="5"/>
      <c r="P493" s="5"/>
      <c r="Q493" s="5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23.25" customHeight="1" x14ac:dyDescent="0.3">
      <c r="A494" s="56"/>
      <c r="B494" s="31"/>
      <c r="C494" s="5"/>
      <c r="D494" s="5"/>
      <c r="E494" s="5"/>
      <c r="F494" s="5"/>
      <c r="G494" s="5"/>
      <c r="H494" s="57"/>
      <c r="I494" s="58"/>
      <c r="J494" s="58"/>
      <c r="K494" s="59"/>
      <c r="L494" s="5"/>
      <c r="M494" s="5"/>
      <c r="N494" s="5"/>
      <c r="O494" s="5"/>
      <c r="P494" s="5"/>
      <c r="Q494" s="5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23.25" customHeight="1" x14ac:dyDescent="0.3">
      <c r="A495" s="56"/>
      <c r="B495" s="31"/>
      <c r="C495" s="5"/>
      <c r="D495" s="5"/>
      <c r="E495" s="5"/>
      <c r="F495" s="5"/>
      <c r="G495" s="5"/>
      <c r="H495" s="57"/>
      <c r="I495" s="58"/>
      <c r="J495" s="58"/>
      <c r="K495" s="59"/>
      <c r="L495" s="5"/>
      <c r="M495" s="5"/>
      <c r="N495" s="5"/>
      <c r="O495" s="5"/>
      <c r="P495" s="5"/>
      <c r="Q495" s="5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23.25" customHeight="1" x14ac:dyDescent="0.3">
      <c r="A496" s="56"/>
      <c r="B496" s="31"/>
      <c r="C496" s="5"/>
      <c r="D496" s="5"/>
      <c r="E496" s="5"/>
      <c r="F496" s="5"/>
      <c r="G496" s="5"/>
      <c r="H496" s="57"/>
      <c r="I496" s="58"/>
      <c r="J496" s="58"/>
      <c r="K496" s="59"/>
      <c r="L496" s="5"/>
      <c r="M496" s="5"/>
      <c r="N496" s="5"/>
      <c r="O496" s="5"/>
      <c r="P496" s="5"/>
      <c r="Q496" s="5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23.25" customHeight="1" x14ac:dyDescent="0.3">
      <c r="A497" s="56"/>
      <c r="B497" s="31"/>
      <c r="C497" s="5"/>
      <c r="D497" s="5"/>
      <c r="E497" s="5"/>
      <c r="F497" s="5"/>
      <c r="G497" s="5"/>
      <c r="H497" s="57"/>
      <c r="I497" s="58"/>
      <c r="J497" s="58"/>
      <c r="K497" s="59"/>
      <c r="L497" s="5"/>
      <c r="M497" s="5"/>
      <c r="N497" s="5"/>
      <c r="O497" s="5"/>
      <c r="P497" s="5"/>
      <c r="Q497" s="5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23.25" customHeight="1" x14ac:dyDescent="0.3">
      <c r="A498" s="56"/>
      <c r="B498" s="31"/>
      <c r="C498" s="5"/>
      <c r="D498" s="5"/>
      <c r="E498" s="5"/>
      <c r="F498" s="5"/>
      <c r="G498" s="5"/>
      <c r="H498" s="57"/>
      <c r="I498" s="58"/>
      <c r="J498" s="58"/>
      <c r="K498" s="59"/>
      <c r="L498" s="5"/>
      <c r="M498" s="5"/>
      <c r="N498" s="5"/>
      <c r="O498" s="5"/>
      <c r="P498" s="5"/>
      <c r="Q498" s="5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23.25" customHeight="1" x14ac:dyDescent="0.3">
      <c r="A499" s="56"/>
      <c r="B499" s="31"/>
      <c r="C499" s="5"/>
      <c r="D499" s="5"/>
      <c r="E499" s="5"/>
      <c r="F499" s="5"/>
      <c r="G499" s="5"/>
      <c r="H499" s="57"/>
      <c r="I499" s="58"/>
      <c r="J499" s="58"/>
      <c r="K499" s="59"/>
      <c r="L499" s="5"/>
      <c r="M499" s="5"/>
      <c r="N499" s="5"/>
      <c r="O499" s="5"/>
      <c r="P499" s="5"/>
      <c r="Q499" s="5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23.25" customHeight="1" x14ac:dyDescent="0.3">
      <c r="A500" s="56"/>
      <c r="B500" s="31"/>
      <c r="C500" s="5"/>
      <c r="D500" s="5"/>
      <c r="E500" s="5"/>
      <c r="F500" s="5"/>
      <c r="G500" s="5"/>
      <c r="H500" s="57"/>
      <c r="I500" s="58"/>
      <c r="J500" s="58"/>
      <c r="K500" s="59"/>
      <c r="L500" s="5"/>
      <c r="M500" s="5"/>
      <c r="N500" s="5"/>
      <c r="O500" s="5"/>
      <c r="P500" s="5"/>
      <c r="Q500" s="5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23.25" customHeight="1" x14ac:dyDescent="0.3">
      <c r="A501" s="56"/>
      <c r="B501" s="31"/>
      <c r="C501" s="5"/>
      <c r="D501" s="5"/>
      <c r="E501" s="5"/>
      <c r="F501" s="5"/>
      <c r="G501" s="5"/>
      <c r="H501" s="57"/>
      <c r="I501" s="58"/>
      <c r="J501" s="58"/>
      <c r="K501" s="59"/>
      <c r="L501" s="5"/>
      <c r="M501" s="5"/>
      <c r="N501" s="5"/>
      <c r="O501" s="5"/>
      <c r="P501" s="5"/>
      <c r="Q501" s="5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23.25" customHeight="1" x14ac:dyDescent="0.3">
      <c r="A502" s="56"/>
      <c r="B502" s="31"/>
      <c r="C502" s="5"/>
      <c r="D502" s="5"/>
      <c r="E502" s="5"/>
      <c r="F502" s="5"/>
      <c r="G502" s="5"/>
      <c r="H502" s="57"/>
      <c r="I502" s="58"/>
      <c r="J502" s="58"/>
      <c r="K502" s="59"/>
      <c r="L502" s="5"/>
      <c r="M502" s="5"/>
      <c r="N502" s="5"/>
      <c r="O502" s="5"/>
      <c r="P502" s="5"/>
      <c r="Q502" s="5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23.25" customHeight="1" x14ac:dyDescent="0.3">
      <c r="A503" s="56"/>
      <c r="B503" s="31"/>
      <c r="C503" s="5"/>
      <c r="D503" s="5"/>
      <c r="E503" s="5"/>
      <c r="F503" s="5"/>
      <c r="G503" s="5"/>
      <c r="H503" s="57"/>
      <c r="I503" s="58"/>
      <c r="J503" s="58"/>
      <c r="K503" s="59"/>
      <c r="L503" s="5"/>
      <c r="M503" s="5"/>
      <c r="N503" s="5"/>
      <c r="O503" s="5"/>
      <c r="P503" s="5"/>
      <c r="Q503" s="5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23.25" customHeight="1" x14ac:dyDescent="0.3">
      <c r="A504" s="56"/>
      <c r="B504" s="31"/>
      <c r="C504" s="5"/>
      <c r="D504" s="5"/>
      <c r="E504" s="5"/>
      <c r="F504" s="5"/>
      <c r="G504" s="5"/>
      <c r="H504" s="57"/>
      <c r="I504" s="58"/>
      <c r="J504" s="58"/>
      <c r="K504" s="59"/>
      <c r="L504" s="5"/>
      <c r="M504" s="5"/>
      <c r="N504" s="5"/>
      <c r="O504" s="5"/>
      <c r="P504" s="5"/>
      <c r="Q504" s="5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23.25" customHeight="1" x14ac:dyDescent="0.3">
      <c r="A505" s="56"/>
      <c r="B505" s="31"/>
      <c r="C505" s="5"/>
      <c r="D505" s="5"/>
      <c r="E505" s="5"/>
      <c r="F505" s="5"/>
      <c r="G505" s="5"/>
      <c r="H505" s="57"/>
      <c r="I505" s="58"/>
      <c r="J505" s="58"/>
      <c r="K505" s="59"/>
      <c r="L505" s="5"/>
      <c r="M505" s="5"/>
      <c r="N505" s="5"/>
      <c r="O505" s="5"/>
      <c r="P505" s="5"/>
      <c r="Q505" s="5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23.25" customHeight="1" x14ac:dyDescent="0.3">
      <c r="A506" s="56"/>
      <c r="B506" s="31"/>
      <c r="C506" s="5"/>
      <c r="D506" s="5"/>
      <c r="E506" s="5"/>
      <c r="F506" s="5"/>
      <c r="G506" s="5"/>
      <c r="H506" s="57"/>
      <c r="I506" s="58"/>
      <c r="J506" s="58"/>
      <c r="K506" s="59"/>
      <c r="L506" s="5"/>
      <c r="M506" s="5"/>
      <c r="N506" s="5"/>
      <c r="O506" s="5"/>
      <c r="P506" s="5"/>
      <c r="Q506" s="5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23.25" customHeight="1" x14ac:dyDescent="0.3">
      <c r="A507" s="56"/>
      <c r="B507" s="31"/>
      <c r="C507" s="5"/>
      <c r="D507" s="5"/>
      <c r="E507" s="5"/>
      <c r="F507" s="5"/>
      <c r="G507" s="5"/>
      <c r="H507" s="57"/>
      <c r="I507" s="58"/>
      <c r="J507" s="58"/>
      <c r="K507" s="59"/>
      <c r="L507" s="5"/>
      <c r="M507" s="5"/>
      <c r="N507" s="5"/>
      <c r="O507" s="5"/>
      <c r="P507" s="5"/>
      <c r="Q507" s="5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23.25" customHeight="1" x14ac:dyDescent="0.3">
      <c r="A508" s="56"/>
      <c r="B508" s="31"/>
      <c r="C508" s="5"/>
      <c r="D508" s="5"/>
      <c r="E508" s="5"/>
      <c r="F508" s="5"/>
      <c r="G508" s="5"/>
      <c r="H508" s="57"/>
      <c r="I508" s="58"/>
      <c r="J508" s="58"/>
      <c r="K508" s="59"/>
      <c r="L508" s="5"/>
      <c r="M508" s="5"/>
      <c r="N508" s="5"/>
      <c r="O508" s="5"/>
      <c r="P508" s="5"/>
      <c r="Q508" s="5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23.25" customHeight="1" x14ac:dyDescent="0.3">
      <c r="A509" s="56"/>
      <c r="B509" s="31"/>
      <c r="C509" s="5"/>
      <c r="D509" s="5"/>
      <c r="E509" s="5"/>
      <c r="F509" s="5"/>
      <c r="G509" s="5"/>
      <c r="H509" s="57"/>
      <c r="I509" s="58"/>
      <c r="J509" s="58"/>
      <c r="K509" s="59"/>
      <c r="L509" s="5"/>
      <c r="M509" s="5"/>
      <c r="N509" s="5"/>
      <c r="O509" s="5"/>
      <c r="P509" s="5"/>
      <c r="Q509" s="5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23.25" customHeight="1" x14ac:dyDescent="0.3">
      <c r="A510" s="56"/>
      <c r="B510" s="31"/>
      <c r="C510" s="5"/>
      <c r="D510" s="5"/>
      <c r="E510" s="5"/>
      <c r="F510" s="5"/>
      <c r="G510" s="5"/>
      <c r="H510" s="57"/>
      <c r="I510" s="58"/>
      <c r="J510" s="58"/>
      <c r="K510" s="59"/>
      <c r="L510" s="5"/>
      <c r="M510" s="5"/>
      <c r="N510" s="5"/>
      <c r="O510" s="5"/>
      <c r="P510" s="5"/>
      <c r="Q510" s="5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23.25" customHeight="1" x14ac:dyDescent="0.3">
      <c r="A511" s="56"/>
      <c r="B511" s="31"/>
      <c r="C511" s="5"/>
      <c r="D511" s="5"/>
      <c r="E511" s="5"/>
      <c r="F511" s="5"/>
      <c r="G511" s="5"/>
      <c r="H511" s="57"/>
      <c r="I511" s="58"/>
      <c r="J511" s="58"/>
      <c r="K511" s="59"/>
      <c r="L511" s="5"/>
      <c r="M511" s="5"/>
      <c r="N511" s="5"/>
      <c r="O511" s="5"/>
      <c r="P511" s="5"/>
      <c r="Q511" s="5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23.25" customHeight="1" x14ac:dyDescent="0.3">
      <c r="A512" s="56"/>
      <c r="B512" s="31"/>
      <c r="C512" s="5"/>
      <c r="D512" s="5"/>
      <c r="E512" s="5"/>
      <c r="F512" s="5"/>
      <c r="G512" s="5"/>
      <c r="H512" s="57"/>
      <c r="I512" s="58"/>
      <c r="J512" s="58"/>
      <c r="K512" s="59"/>
      <c r="L512" s="5"/>
      <c r="M512" s="5"/>
      <c r="N512" s="5"/>
      <c r="O512" s="5"/>
      <c r="P512" s="5"/>
      <c r="Q512" s="5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23.25" customHeight="1" x14ac:dyDescent="0.3">
      <c r="A513" s="56"/>
      <c r="B513" s="31"/>
      <c r="C513" s="5"/>
      <c r="D513" s="5"/>
      <c r="E513" s="5"/>
      <c r="F513" s="5"/>
      <c r="G513" s="5"/>
      <c r="H513" s="57"/>
      <c r="I513" s="58"/>
      <c r="J513" s="58"/>
      <c r="K513" s="59"/>
      <c r="L513" s="5"/>
      <c r="M513" s="5"/>
      <c r="N513" s="5"/>
      <c r="O513" s="5"/>
      <c r="P513" s="5"/>
      <c r="Q513" s="5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23.25" customHeight="1" x14ac:dyDescent="0.3">
      <c r="A514" s="56"/>
      <c r="B514" s="31"/>
      <c r="C514" s="5"/>
      <c r="D514" s="5"/>
      <c r="E514" s="5"/>
      <c r="F514" s="5"/>
      <c r="G514" s="5"/>
      <c r="H514" s="57"/>
      <c r="I514" s="58"/>
      <c r="J514" s="58"/>
      <c r="K514" s="59"/>
      <c r="L514" s="5"/>
      <c r="M514" s="5"/>
      <c r="N514" s="5"/>
      <c r="O514" s="5"/>
      <c r="P514" s="5"/>
      <c r="Q514" s="5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23.25" customHeight="1" x14ac:dyDescent="0.3">
      <c r="A515" s="56"/>
      <c r="B515" s="31"/>
      <c r="C515" s="5"/>
      <c r="D515" s="5"/>
      <c r="E515" s="5"/>
      <c r="F515" s="5"/>
      <c r="G515" s="5"/>
      <c r="H515" s="57"/>
      <c r="I515" s="58"/>
      <c r="J515" s="58"/>
      <c r="K515" s="59"/>
      <c r="L515" s="5"/>
      <c r="M515" s="5"/>
      <c r="N515" s="5"/>
      <c r="O515" s="5"/>
      <c r="P515" s="5"/>
      <c r="Q515" s="5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23.25" customHeight="1" x14ac:dyDescent="0.3">
      <c r="A516" s="56"/>
      <c r="B516" s="31"/>
      <c r="C516" s="5"/>
      <c r="D516" s="5"/>
      <c r="E516" s="5"/>
      <c r="F516" s="5"/>
      <c r="G516" s="5"/>
      <c r="H516" s="57"/>
      <c r="I516" s="58"/>
      <c r="J516" s="58"/>
      <c r="K516" s="59"/>
      <c r="L516" s="5"/>
      <c r="M516" s="5"/>
      <c r="N516" s="5"/>
      <c r="O516" s="5"/>
      <c r="P516" s="5"/>
      <c r="Q516" s="5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23.25" customHeight="1" x14ac:dyDescent="0.3">
      <c r="A517" s="56"/>
      <c r="B517" s="31"/>
      <c r="C517" s="5"/>
      <c r="D517" s="5"/>
      <c r="E517" s="5"/>
      <c r="F517" s="5"/>
      <c r="G517" s="5"/>
      <c r="H517" s="57"/>
      <c r="I517" s="58"/>
      <c r="J517" s="58"/>
      <c r="K517" s="59"/>
      <c r="L517" s="5"/>
      <c r="M517" s="5"/>
      <c r="N517" s="5"/>
      <c r="O517" s="5"/>
      <c r="P517" s="5"/>
      <c r="Q517" s="5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23.25" customHeight="1" x14ac:dyDescent="0.3">
      <c r="A518" s="56"/>
      <c r="B518" s="31"/>
      <c r="C518" s="5"/>
      <c r="D518" s="5"/>
      <c r="E518" s="5"/>
      <c r="F518" s="5"/>
      <c r="G518" s="5"/>
      <c r="H518" s="57"/>
      <c r="I518" s="58"/>
      <c r="J518" s="58"/>
      <c r="K518" s="59"/>
      <c r="L518" s="5"/>
      <c r="M518" s="5"/>
      <c r="N518" s="5"/>
      <c r="O518" s="5"/>
      <c r="P518" s="5"/>
      <c r="Q518" s="5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23.25" customHeight="1" x14ac:dyDescent="0.3">
      <c r="A519" s="56"/>
      <c r="B519" s="31"/>
      <c r="C519" s="5"/>
      <c r="D519" s="5"/>
      <c r="E519" s="5"/>
      <c r="F519" s="5"/>
      <c r="G519" s="5"/>
      <c r="H519" s="57"/>
      <c r="I519" s="58"/>
      <c r="J519" s="58"/>
      <c r="K519" s="59"/>
      <c r="L519" s="5"/>
      <c r="M519" s="5"/>
      <c r="N519" s="5"/>
      <c r="O519" s="5"/>
      <c r="P519" s="5"/>
      <c r="Q519" s="5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23.25" customHeight="1" x14ac:dyDescent="0.3">
      <c r="A520" s="56"/>
      <c r="B520" s="31"/>
      <c r="C520" s="5"/>
      <c r="D520" s="5"/>
      <c r="E520" s="5"/>
      <c r="F520" s="5"/>
      <c r="G520" s="5"/>
      <c r="H520" s="57"/>
      <c r="I520" s="58"/>
      <c r="J520" s="58"/>
      <c r="K520" s="59"/>
      <c r="L520" s="5"/>
      <c r="M520" s="5"/>
      <c r="N520" s="5"/>
      <c r="O520" s="5"/>
      <c r="P520" s="5"/>
      <c r="Q520" s="5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23.25" customHeight="1" x14ac:dyDescent="0.3">
      <c r="A521" s="56"/>
      <c r="B521" s="31"/>
      <c r="C521" s="5"/>
      <c r="D521" s="5"/>
      <c r="E521" s="5"/>
      <c r="F521" s="5"/>
      <c r="G521" s="5"/>
      <c r="H521" s="57"/>
      <c r="I521" s="58"/>
      <c r="J521" s="58"/>
      <c r="K521" s="59"/>
      <c r="L521" s="5"/>
      <c r="M521" s="5"/>
      <c r="N521" s="5"/>
      <c r="O521" s="5"/>
      <c r="P521" s="5"/>
      <c r="Q521" s="5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23.25" customHeight="1" x14ac:dyDescent="0.3">
      <c r="A522" s="56"/>
      <c r="B522" s="31"/>
      <c r="C522" s="5"/>
      <c r="D522" s="5"/>
      <c r="E522" s="5"/>
      <c r="F522" s="5"/>
      <c r="G522" s="5"/>
      <c r="H522" s="57"/>
      <c r="I522" s="58"/>
      <c r="J522" s="58"/>
      <c r="K522" s="59"/>
      <c r="L522" s="5"/>
      <c r="M522" s="5"/>
      <c r="N522" s="5"/>
      <c r="O522" s="5"/>
      <c r="P522" s="5"/>
      <c r="Q522" s="5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23.25" customHeight="1" x14ac:dyDescent="0.3">
      <c r="A523" s="56"/>
      <c r="B523" s="31"/>
      <c r="C523" s="5"/>
      <c r="D523" s="5"/>
      <c r="E523" s="5"/>
      <c r="F523" s="5"/>
      <c r="G523" s="5"/>
      <c r="H523" s="57"/>
      <c r="I523" s="58"/>
      <c r="J523" s="58"/>
      <c r="K523" s="59"/>
      <c r="L523" s="5"/>
      <c r="M523" s="5"/>
      <c r="N523" s="5"/>
      <c r="O523" s="5"/>
      <c r="P523" s="5"/>
      <c r="Q523" s="5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23.25" customHeight="1" x14ac:dyDescent="0.3">
      <c r="A524" s="56"/>
      <c r="B524" s="31"/>
      <c r="C524" s="5"/>
      <c r="D524" s="5"/>
      <c r="E524" s="5"/>
      <c r="F524" s="5"/>
      <c r="G524" s="5"/>
      <c r="H524" s="57"/>
      <c r="I524" s="58"/>
      <c r="J524" s="58"/>
      <c r="K524" s="59"/>
      <c r="L524" s="5"/>
      <c r="M524" s="5"/>
      <c r="N524" s="5"/>
      <c r="O524" s="5"/>
      <c r="P524" s="5"/>
      <c r="Q524" s="5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23.25" customHeight="1" x14ac:dyDescent="0.3">
      <c r="A525" s="56"/>
      <c r="B525" s="31"/>
      <c r="C525" s="5"/>
      <c r="D525" s="5"/>
      <c r="E525" s="5"/>
      <c r="F525" s="5"/>
      <c r="G525" s="5"/>
      <c r="H525" s="57"/>
      <c r="I525" s="58"/>
      <c r="J525" s="58"/>
      <c r="K525" s="59"/>
      <c r="L525" s="5"/>
      <c r="M525" s="5"/>
      <c r="N525" s="5"/>
      <c r="O525" s="5"/>
      <c r="P525" s="5"/>
      <c r="Q525" s="5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23.25" customHeight="1" x14ac:dyDescent="0.3">
      <c r="A526" s="56"/>
      <c r="B526" s="31"/>
      <c r="C526" s="5"/>
      <c r="D526" s="5"/>
      <c r="E526" s="5"/>
      <c r="F526" s="5"/>
      <c r="G526" s="5"/>
      <c r="H526" s="57"/>
      <c r="I526" s="58"/>
      <c r="J526" s="58"/>
      <c r="K526" s="59"/>
      <c r="L526" s="5"/>
      <c r="M526" s="5"/>
      <c r="N526" s="5"/>
      <c r="O526" s="5"/>
      <c r="P526" s="5"/>
      <c r="Q526" s="5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23.25" customHeight="1" x14ac:dyDescent="0.3">
      <c r="A527" s="56"/>
      <c r="B527" s="31"/>
      <c r="C527" s="5"/>
      <c r="D527" s="5"/>
      <c r="E527" s="5"/>
      <c r="F527" s="5"/>
      <c r="G527" s="5"/>
      <c r="H527" s="57"/>
      <c r="I527" s="58"/>
      <c r="J527" s="58"/>
      <c r="K527" s="59"/>
      <c r="L527" s="5"/>
      <c r="M527" s="5"/>
      <c r="N527" s="5"/>
      <c r="O527" s="5"/>
      <c r="P527" s="5"/>
      <c r="Q527" s="5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23.25" customHeight="1" x14ac:dyDescent="0.3">
      <c r="A528" s="56"/>
      <c r="B528" s="31"/>
      <c r="C528" s="5"/>
      <c r="D528" s="5"/>
      <c r="E528" s="5"/>
      <c r="F528" s="5"/>
      <c r="G528" s="5"/>
      <c r="H528" s="57"/>
      <c r="I528" s="58"/>
      <c r="J528" s="58"/>
      <c r="K528" s="59"/>
      <c r="L528" s="5"/>
      <c r="M528" s="5"/>
      <c r="N528" s="5"/>
      <c r="O528" s="5"/>
      <c r="P528" s="5"/>
      <c r="Q528" s="5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23.25" customHeight="1" x14ac:dyDescent="0.3">
      <c r="A529" s="56"/>
      <c r="B529" s="31"/>
      <c r="C529" s="5"/>
      <c r="D529" s="5"/>
      <c r="E529" s="5"/>
      <c r="F529" s="5"/>
      <c r="G529" s="5"/>
      <c r="H529" s="57"/>
      <c r="I529" s="58"/>
      <c r="J529" s="58"/>
      <c r="K529" s="59"/>
      <c r="L529" s="5"/>
      <c r="M529" s="5"/>
      <c r="N529" s="5"/>
      <c r="O529" s="5"/>
      <c r="P529" s="5"/>
      <c r="Q529" s="5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23.25" customHeight="1" x14ac:dyDescent="0.3">
      <c r="A530" s="56"/>
      <c r="B530" s="31"/>
      <c r="C530" s="5"/>
      <c r="D530" s="5"/>
      <c r="E530" s="5"/>
      <c r="F530" s="5"/>
      <c r="G530" s="5"/>
      <c r="H530" s="57"/>
      <c r="I530" s="58"/>
      <c r="J530" s="58"/>
      <c r="K530" s="59"/>
      <c r="L530" s="5"/>
      <c r="M530" s="5"/>
      <c r="N530" s="5"/>
      <c r="O530" s="5"/>
      <c r="P530" s="5"/>
      <c r="Q530" s="5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23.25" customHeight="1" x14ac:dyDescent="0.3">
      <c r="A531" s="56"/>
      <c r="B531" s="31"/>
      <c r="C531" s="5"/>
      <c r="D531" s="5"/>
      <c r="E531" s="5"/>
      <c r="F531" s="5"/>
      <c r="G531" s="5"/>
      <c r="H531" s="57"/>
      <c r="I531" s="58"/>
      <c r="J531" s="58"/>
      <c r="K531" s="59"/>
      <c r="L531" s="5"/>
      <c r="M531" s="5"/>
      <c r="N531" s="5"/>
      <c r="O531" s="5"/>
      <c r="P531" s="5"/>
      <c r="Q531" s="5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23.25" customHeight="1" x14ac:dyDescent="0.3">
      <c r="A532" s="56"/>
      <c r="B532" s="31"/>
      <c r="C532" s="5"/>
      <c r="D532" s="5"/>
      <c r="E532" s="5"/>
      <c r="F532" s="5"/>
      <c r="G532" s="5"/>
      <c r="H532" s="57"/>
      <c r="I532" s="58"/>
      <c r="J532" s="58"/>
      <c r="K532" s="59"/>
      <c r="L532" s="5"/>
      <c r="M532" s="5"/>
      <c r="N532" s="5"/>
      <c r="O532" s="5"/>
      <c r="P532" s="5"/>
      <c r="Q532" s="5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23.25" customHeight="1" x14ac:dyDescent="0.3">
      <c r="A533" s="56"/>
      <c r="B533" s="31"/>
      <c r="C533" s="5"/>
      <c r="D533" s="5"/>
      <c r="E533" s="5"/>
      <c r="F533" s="5"/>
      <c r="G533" s="5"/>
      <c r="H533" s="57"/>
      <c r="I533" s="58"/>
      <c r="J533" s="58"/>
      <c r="K533" s="59"/>
      <c r="L533" s="5"/>
      <c r="M533" s="5"/>
      <c r="N533" s="5"/>
      <c r="O533" s="5"/>
      <c r="P533" s="5"/>
      <c r="Q533" s="5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23.25" customHeight="1" x14ac:dyDescent="0.3">
      <c r="A534" s="56"/>
      <c r="B534" s="31"/>
      <c r="C534" s="5"/>
      <c r="D534" s="5"/>
      <c r="E534" s="5"/>
      <c r="F534" s="5"/>
      <c r="G534" s="5"/>
      <c r="H534" s="57"/>
      <c r="I534" s="58"/>
      <c r="J534" s="58"/>
      <c r="K534" s="59"/>
      <c r="L534" s="5"/>
      <c r="M534" s="5"/>
      <c r="N534" s="5"/>
      <c r="O534" s="5"/>
      <c r="P534" s="5"/>
      <c r="Q534" s="5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23.25" customHeight="1" x14ac:dyDescent="0.3">
      <c r="A535" s="56"/>
      <c r="B535" s="31"/>
      <c r="C535" s="5"/>
      <c r="D535" s="5"/>
      <c r="E535" s="5"/>
      <c r="F535" s="5"/>
      <c r="G535" s="5"/>
      <c r="H535" s="57"/>
      <c r="I535" s="58"/>
      <c r="J535" s="58"/>
      <c r="K535" s="59"/>
      <c r="L535" s="5"/>
      <c r="M535" s="5"/>
      <c r="N535" s="5"/>
      <c r="O535" s="5"/>
      <c r="P535" s="5"/>
      <c r="Q535" s="5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23.25" customHeight="1" x14ac:dyDescent="0.3">
      <c r="A536" s="56"/>
      <c r="B536" s="31"/>
      <c r="C536" s="5"/>
      <c r="D536" s="5"/>
      <c r="E536" s="5"/>
      <c r="F536" s="5"/>
      <c r="G536" s="5"/>
      <c r="H536" s="57"/>
      <c r="I536" s="58"/>
      <c r="J536" s="58"/>
      <c r="K536" s="59"/>
      <c r="L536" s="5"/>
      <c r="M536" s="5"/>
      <c r="N536" s="5"/>
      <c r="O536" s="5"/>
      <c r="P536" s="5"/>
      <c r="Q536" s="5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23.25" customHeight="1" x14ac:dyDescent="0.3">
      <c r="A537" s="56"/>
      <c r="B537" s="31"/>
      <c r="C537" s="5"/>
      <c r="D537" s="5"/>
      <c r="E537" s="5"/>
      <c r="F537" s="5"/>
      <c r="G537" s="5"/>
      <c r="H537" s="57"/>
      <c r="I537" s="58"/>
      <c r="J537" s="58"/>
      <c r="K537" s="59"/>
      <c r="L537" s="5"/>
      <c r="M537" s="5"/>
      <c r="N537" s="5"/>
      <c r="O537" s="5"/>
      <c r="P537" s="5"/>
      <c r="Q537" s="5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23.25" customHeight="1" x14ac:dyDescent="0.3">
      <c r="A538" s="56"/>
      <c r="B538" s="31"/>
      <c r="C538" s="5"/>
      <c r="D538" s="5"/>
      <c r="E538" s="5"/>
      <c r="F538" s="5"/>
      <c r="G538" s="5"/>
      <c r="H538" s="57"/>
      <c r="I538" s="58"/>
      <c r="J538" s="58"/>
      <c r="K538" s="59"/>
      <c r="L538" s="5"/>
      <c r="M538" s="5"/>
      <c r="N538" s="5"/>
      <c r="O538" s="5"/>
      <c r="P538" s="5"/>
      <c r="Q538" s="5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23.25" customHeight="1" x14ac:dyDescent="0.3">
      <c r="A539" s="56"/>
      <c r="B539" s="31"/>
      <c r="C539" s="5"/>
      <c r="D539" s="5"/>
      <c r="E539" s="5"/>
      <c r="F539" s="5"/>
      <c r="G539" s="5"/>
      <c r="H539" s="57"/>
      <c r="I539" s="58"/>
      <c r="J539" s="58"/>
      <c r="K539" s="59"/>
      <c r="L539" s="5"/>
      <c r="M539" s="5"/>
      <c r="N539" s="5"/>
      <c r="O539" s="5"/>
      <c r="P539" s="5"/>
      <c r="Q539" s="5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23.25" customHeight="1" x14ac:dyDescent="0.3">
      <c r="A540" s="56"/>
      <c r="B540" s="31"/>
      <c r="C540" s="5"/>
      <c r="D540" s="5"/>
      <c r="E540" s="5"/>
      <c r="F540" s="5"/>
      <c r="G540" s="5"/>
      <c r="H540" s="57"/>
      <c r="I540" s="58"/>
      <c r="J540" s="58"/>
      <c r="K540" s="59"/>
      <c r="L540" s="5"/>
      <c r="M540" s="5"/>
      <c r="N540" s="5"/>
      <c r="O540" s="5"/>
      <c r="P540" s="5"/>
      <c r="Q540" s="5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23.25" customHeight="1" x14ac:dyDescent="0.3">
      <c r="A541" s="56"/>
      <c r="B541" s="31"/>
      <c r="C541" s="5"/>
      <c r="D541" s="5"/>
      <c r="E541" s="5"/>
      <c r="F541" s="5"/>
      <c r="G541" s="5"/>
      <c r="H541" s="57"/>
      <c r="I541" s="58"/>
      <c r="J541" s="58"/>
      <c r="K541" s="59"/>
      <c r="L541" s="5"/>
      <c r="M541" s="5"/>
      <c r="N541" s="5"/>
      <c r="O541" s="5"/>
      <c r="P541" s="5"/>
      <c r="Q541" s="5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23.25" customHeight="1" x14ac:dyDescent="0.3">
      <c r="A542" s="56"/>
      <c r="B542" s="31"/>
      <c r="C542" s="5"/>
      <c r="D542" s="5"/>
      <c r="E542" s="5"/>
      <c r="F542" s="5"/>
      <c r="G542" s="5"/>
      <c r="H542" s="57"/>
      <c r="I542" s="58"/>
      <c r="J542" s="58"/>
      <c r="K542" s="59"/>
      <c r="L542" s="5"/>
      <c r="M542" s="5"/>
      <c r="N542" s="5"/>
      <c r="O542" s="5"/>
      <c r="P542" s="5"/>
      <c r="Q542" s="5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23.25" customHeight="1" x14ac:dyDescent="0.3">
      <c r="A543" s="56"/>
      <c r="B543" s="31"/>
      <c r="C543" s="5"/>
      <c r="D543" s="5"/>
      <c r="E543" s="5"/>
      <c r="F543" s="5"/>
      <c r="G543" s="5"/>
      <c r="H543" s="57"/>
      <c r="I543" s="58"/>
      <c r="J543" s="58"/>
      <c r="K543" s="59"/>
      <c r="L543" s="5"/>
      <c r="M543" s="5"/>
      <c r="N543" s="5"/>
      <c r="O543" s="5"/>
      <c r="P543" s="5"/>
      <c r="Q543" s="5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23.25" customHeight="1" x14ac:dyDescent="0.3">
      <c r="A544" s="56"/>
      <c r="B544" s="31"/>
      <c r="C544" s="5"/>
      <c r="D544" s="5"/>
      <c r="E544" s="5"/>
      <c r="F544" s="5"/>
      <c r="G544" s="5"/>
      <c r="H544" s="57"/>
      <c r="I544" s="58"/>
      <c r="J544" s="58"/>
      <c r="K544" s="59"/>
      <c r="L544" s="5"/>
      <c r="M544" s="5"/>
      <c r="N544" s="5"/>
      <c r="O544" s="5"/>
      <c r="P544" s="5"/>
      <c r="Q544" s="5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23.25" customHeight="1" x14ac:dyDescent="0.3">
      <c r="A545" s="56"/>
      <c r="B545" s="31"/>
      <c r="C545" s="5"/>
      <c r="D545" s="5"/>
      <c r="E545" s="5"/>
      <c r="F545" s="5"/>
      <c r="G545" s="5"/>
      <c r="H545" s="57"/>
      <c r="I545" s="58"/>
      <c r="J545" s="58"/>
      <c r="K545" s="59"/>
      <c r="L545" s="5"/>
      <c r="M545" s="5"/>
      <c r="N545" s="5"/>
      <c r="O545" s="5"/>
      <c r="P545" s="5"/>
      <c r="Q545" s="5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23.25" customHeight="1" x14ac:dyDescent="0.3">
      <c r="A546" s="56"/>
      <c r="B546" s="31"/>
      <c r="C546" s="5"/>
      <c r="D546" s="5"/>
      <c r="E546" s="5"/>
      <c r="F546" s="5"/>
      <c r="G546" s="5"/>
      <c r="H546" s="57"/>
      <c r="I546" s="58"/>
      <c r="J546" s="58"/>
      <c r="K546" s="59"/>
      <c r="L546" s="5"/>
      <c r="M546" s="5"/>
      <c r="N546" s="5"/>
      <c r="O546" s="5"/>
      <c r="P546" s="5"/>
      <c r="Q546" s="5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23.25" customHeight="1" x14ac:dyDescent="0.3">
      <c r="A547" s="56"/>
      <c r="B547" s="31"/>
      <c r="C547" s="5"/>
      <c r="D547" s="5"/>
      <c r="E547" s="5"/>
      <c r="F547" s="5"/>
      <c r="G547" s="5"/>
      <c r="H547" s="57"/>
      <c r="I547" s="58"/>
      <c r="J547" s="58"/>
      <c r="K547" s="59"/>
      <c r="L547" s="5"/>
      <c r="M547" s="5"/>
      <c r="N547" s="5"/>
      <c r="O547" s="5"/>
      <c r="P547" s="5"/>
      <c r="Q547" s="5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23.25" customHeight="1" x14ac:dyDescent="0.3">
      <c r="A548" s="56"/>
      <c r="B548" s="31"/>
      <c r="C548" s="5"/>
      <c r="D548" s="5"/>
      <c r="E548" s="5"/>
      <c r="F548" s="5"/>
      <c r="G548" s="5"/>
      <c r="H548" s="57"/>
      <c r="I548" s="58"/>
      <c r="J548" s="58"/>
      <c r="K548" s="59"/>
      <c r="L548" s="5"/>
      <c r="M548" s="5"/>
      <c r="N548" s="5"/>
      <c r="O548" s="5"/>
      <c r="P548" s="5"/>
      <c r="Q548" s="5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23.25" customHeight="1" x14ac:dyDescent="0.3">
      <c r="A549" s="56"/>
      <c r="B549" s="31"/>
      <c r="C549" s="5"/>
      <c r="D549" s="5"/>
      <c r="E549" s="5"/>
      <c r="F549" s="5"/>
      <c r="G549" s="5"/>
      <c r="H549" s="57"/>
      <c r="I549" s="58"/>
      <c r="J549" s="58"/>
      <c r="K549" s="59"/>
      <c r="L549" s="5"/>
      <c r="M549" s="5"/>
      <c r="N549" s="5"/>
      <c r="O549" s="5"/>
      <c r="P549" s="5"/>
      <c r="Q549" s="5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23.25" customHeight="1" x14ac:dyDescent="0.3">
      <c r="A550" s="56"/>
      <c r="B550" s="31"/>
      <c r="C550" s="5"/>
      <c r="D550" s="5"/>
      <c r="E550" s="5"/>
      <c r="F550" s="5"/>
      <c r="G550" s="5"/>
      <c r="H550" s="57"/>
      <c r="I550" s="58"/>
      <c r="J550" s="58"/>
      <c r="K550" s="59"/>
      <c r="L550" s="5"/>
      <c r="M550" s="5"/>
      <c r="N550" s="5"/>
      <c r="O550" s="5"/>
      <c r="P550" s="5"/>
      <c r="Q550" s="5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23.25" customHeight="1" x14ac:dyDescent="0.3">
      <c r="A551" s="56"/>
      <c r="B551" s="31"/>
      <c r="C551" s="5"/>
      <c r="D551" s="5"/>
      <c r="E551" s="5"/>
      <c r="F551" s="5"/>
      <c r="G551" s="5"/>
      <c r="H551" s="57"/>
      <c r="I551" s="58"/>
      <c r="J551" s="58"/>
      <c r="K551" s="59"/>
      <c r="L551" s="5"/>
      <c r="M551" s="5"/>
      <c r="N551" s="5"/>
      <c r="O551" s="5"/>
      <c r="P551" s="5"/>
      <c r="Q551" s="5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23.25" customHeight="1" x14ac:dyDescent="0.3">
      <c r="A552" s="56"/>
      <c r="B552" s="31"/>
      <c r="C552" s="5"/>
      <c r="D552" s="5"/>
      <c r="E552" s="5"/>
      <c r="F552" s="5"/>
      <c r="G552" s="5"/>
      <c r="H552" s="57"/>
      <c r="I552" s="58"/>
      <c r="J552" s="58"/>
      <c r="K552" s="59"/>
      <c r="L552" s="5"/>
      <c r="M552" s="5"/>
      <c r="N552" s="5"/>
      <c r="O552" s="5"/>
      <c r="P552" s="5"/>
      <c r="Q552" s="5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23.25" customHeight="1" x14ac:dyDescent="0.3">
      <c r="A553" s="56"/>
      <c r="B553" s="31"/>
      <c r="C553" s="5"/>
      <c r="D553" s="5"/>
      <c r="E553" s="5"/>
      <c r="F553" s="5"/>
      <c r="G553" s="5"/>
      <c r="H553" s="57"/>
      <c r="I553" s="58"/>
      <c r="J553" s="58"/>
      <c r="K553" s="59"/>
      <c r="L553" s="5"/>
      <c r="M553" s="5"/>
      <c r="N553" s="5"/>
      <c r="O553" s="5"/>
      <c r="P553" s="5"/>
      <c r="Q553" s="5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23.25" customHeight="1" x14ac:dyDescent="0.3">
      <c r="A554" s="56"/>
      <c r="B554" s="31"/>
      <c r="C554" s="5"/>
      <c r="D554" s="5"/>
      <c r="E554" s="5"/>
      <c r="F554" s="5"/>
      <c r="G554" s="5"/>
      <c r="H554" s="57"/>
      <c r="I554" s="58"/>
      <c r="J554" s="58"/>
      <c r="K554" s="59"/>
      <c r="L554" s="5"/>
      <c r="M554" s="5"/>
      <c r="N554" s="5"/>
      <c r="O554" s="5"/>
      <c r="P554" s="5"/>
      <c r="Q554" s="5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23.25" customHeight="1" x14ac:dyDescent="0.3">
      <c r="A555" s="56"/>
      <c r="B555" s="31"/>
      <c r="C555" s="5"/>
      <c r="D555" s="5"/>
      <c r="E555" s="5"/>
      <c r="F555" s="5"/>
      <c r="G555" s="5"/>
      <c r="H555" s="57"/>
      <c r="I555" s="58"/>
      <c r="J555" s="58"/>
      <c r="K555" s="59"/>
      <c r="L555" s="5"/>
      <c r="M555" s="5"/>
      <c r="N555" s="5"/>
      <c r="O555" s="5"/>
      <c r="P555" s="5"/>
      <c r="Q555" s="5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23.25" customHeight="1" x14ac:dyDescent="0.3">
      <c r="A556" s="56"/>
      <c r="B556" s="31"/>
      <c r="C556" s="5"/>
      <c r="D556" s="5"/>
      <c r="E556" s="5"/>
      <c r="F556" s="5"/>
      <c r="G556" s="5"/>
      <c r="H556" s="57"/>
      <c r="I556" s="58"/>
      <c r="J556" s="58"/>
      <c r="K556" s="59"/>
      <c r="L556" s="5"/>
      <c r="M556" s="5"/>
      <c r="N556" s="5"/>
      <c r="O556" s="5"/>
      <c r="P556" s="5"/>
      <c r="Q556" s="5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23.25" customHeight="1" x14ac:dyDescent="0.3">
      <c r="A557" s="56"/>
      <c r="B557" s="31"/>
      <c r="C557" s="5"/>
      <c r="D557" s="5"/>
      <c r="E557" s="5"/>
      <c r="F557" s="5"/>
      <c r="G557" s="5"/>
      <c r="H557" s="57"/>
      <c r="I557" s="58"/>
      <c r="J557" s="58"/>
      <c r="K557" s="59"/>
      <c r="L557" s="5"/>
      <c r="M557" s="5"/>
      <c r="N557" s="5"/>
      <c r="O557" s="5"/>
      <c r="P557" s="5"/>
      <c r="Q557" s="5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23.25" customHeight="1" x14ac:dyDescent="0.3">
      <c r="A558" s="56"/>
      <c r="B558" s="31"/>
      <c r="C558" s="5"/>
      <c r="D558" s="5"/>
      <c r="E558" s="5"/>
      <c r="F558" s="5"/>
      <c r="G558" s="5"/>
      <c r="H558" s="57"/>
      <c r="I558" s="58"/>
      <c r="J558" s="58"/>
      <c r="K558" s="59"/>
      <c r="L558" s="5"/>
      <c r="M558" s="5"/>
      <c r="N558" s="5"/>
      <c r="O558" s="5"/>
      <c r="P558" s="5"/>
      <c r="Q558" s="5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23.25" customHeight="1" x14ac:dyDescent="0.3">
      <c r="A559" s="56"/>
      <c r="B559" s="31"/>
      <c r="C559" s="5"/>
      <c r="D559" s="5"/>
      <c r="E559" s="5"/>
      <c r="F559" s="5"/>
      <c r="G559" s="5"/>
      <c r="H559" s="57"/>
      <c r="I559" s="58"/>
      <c r="J559" s="58"/>
      <c r="K559" s="59"/>
      <c r="L559" s="5"/>
      <c r="M559" s="5"/>
      <c r="N559" s="5"/>
      <c r="O559" s="5"/>
      <c r="P559" s="5"/>
      <c r="Q559" s="5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23.25" customHeight="1" x14ac:dyDescent="0.3">
      <c r="A560" s="56"/>
      <c r="B560" s="31"/>
      <c r="C560" s="5"/>
      <c r="D560" s="5"/>
      <c r="E560" s="5"/>
      <c r="F560" s="5"/>
      <c r="G560" s="5"/>
      <c r="H560" s="57"/>
      <c r="I560" s="58"/>
      <c r="J560" s="58"/>
      <c r="K560" s="59"/>
      <c r="L560" s="5"/>
      <c r="M560" s="5"/>
      <c r="N560" s="5"/>
      <c r="O560" s="5"/>
      <c r="P560" s="5"/>
      <c r="Q560" s="5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23.25" customHeight="1" x14ac:dyDescent="0.3">
      <c r="A561" s="56"/>
      <c r="B561" s="31"/>
      <c r="C561" s="5"/>
      <c r="D561" s="5"/>
      <c r="E561" s="5"/>
      <c r="F561" s="5"/>
      <c r="G561" s="5"/>
      <c r="H561" s="57"/>
      <c r="I561" s="58"/>
      <c r="J561" s="58"/>
      <c r="K561" s="59"/>
      <c r="L561" s="5"/>
      <c r="M561" s="5"/>
      <c r="N561" s="5"/>
      <c r="O561" s="5"/>
      <c r="P561" s="5"/>
      <c r="Q561" s="5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23.25" customHeight="1" x14ac:dyDescent="0.3">
      <c r="A562" s="56"/>
      <c r="B562" s="31"/>
      <c r="C562" s="5"/>
      <c r="D562" s="5"/>
      <c r="E562" s="5"/>
      <c r="F562" s="5"/>
      <c r="G562" s="5"/>
      <c r="H562" s="57"/>
      <c r="I562" s="58"/>
      <c r="J562" s="58"/>
      <c r="K562" s="59"/>
      <c r="L562" s="5"/>
      <c r="M562" s="5"/>
      <c r="N562" s="5"/>
      <c r="O562" s="5"/>
      <c r="P562" s="5"/>
      <c r="Q562" s="5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23.25" customHeight="1" x14ac:dyDescent="0.3">
      <c r="A563" s="56"/>
      <c r="B563" s="31"/>
      <c r="C563" s="5"/>
      <c r="D563" s="5"/>
      <c r="E563" s="5"/>
      <c r="F563" s="5"/>
      <c r="G563" s="5"/>
      <c r="H563" s="57"/>
      <c r="I563" s="58"/>
      <c r="J563" s="58"/>
      <c r="K563" s="59"/>
      <c r="L563" s="5"/>
      <c r="M563" s="5"/>
      <c r="N563" s="5"/>
      <c r="O563" s="5"/>
      <c r="P563" s="5"/>
      <c r="Q563" s="5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23.25" customHeight="1" x14ac:dyDescent="0.3">
      <c r="A564" s="56"/>
      <c r="B564" s="31"/>
      <c r="C564" s="5"/>
      <c r="D564" s="5"/>
      <c r="E564" s="5"/>
      <c r="F564" s="5"/>
      <c r="G564" s="5"/>
      <c r="H564" s="57"/>
      <c r="I564" s="58"/>
      <c r="J564" s="58"/>
      <c r="K564" s="59"/>
      <c r="L564" s="5"/>
      <c r="M564" s="5"/>
      <c r="N564" s="5"/>
      <c r="O564" s="5"/>
      <c r="P564" s="5"/>
      <c r="Q564" s="5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23.25" customHeight="1" x14ac:dyDescent="0.3">
      <c r="A565" s="56"/>
      <c r="B565" s="31"/>
      <c r="C565" s="5"/>
      <c r="D565" s="5"/>
      <c r="E565" s="5"/>
      <c r="F565" s="5"/>
      <c r="G565" s="5"/>
      <c r="H565" s="57"/>
      <c r="I565" s="58"/>
      <c r="J565" s="58"/>
      <c r="K565" s="59"/>
      <c r="L565" s="5"/>
      <c r="M565" s="5"/>
      <c r="N565" s="5"/>
      <c r="O565" s="5"/>
      <c r="P565" s="5"/>
      <c r="Q565" s="5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23.25" customHeight="1" x14ac:dyDescent="0.3">
      <c r="A566" s="56"/>
      <c r="B566" s="31"/>
      <c r="C566" s="5"/>
      <c r="D566" s="5"/>
      <c r="E566" s="5"/>
      <c r="F566" s="5"/>
      <c r="G566" s="5"/>
      <c r="H566" s="57"/>
      <c r="I566" s="58"/>
      <c r="J566" s="58"/>
      <c r="K566" s="59"/>
      <c r="L566" s="5"/>
      <c r="M566" s="5"/>
      <c r="N566" s="5"/>
      <c r="O566" s="5"/>
      <c r="P566" s="5"/>
      <c r="Q566" s="5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23.25" customHeight="1" x14ac:dyDescent="0.3">
      <c r="A567" s="56"/>
      <c r="B567" s="31"/>
      <c r="C567" s="5"/>
      <c r="D567" s="5"/>
      <c r="E567" s="5"/>
      <c r="F567" s="5"/>
      <c r="G567" s="5"/>
      <c r="H567" s="57"/>
      <c r="I567" s="58"/>
      <c r="J567" s="58"/>
      <c r="K567" s="59"/>
      <c r="L567" s="5"/>
      <c r="M567" s="5"/>
      <c r="N567" s="5"/>
      <c r="O567" s="5"/>
      <c r="P567" s="5"/>
      <c r="Q567" s="5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23.25" customHeight="1" x14ac:dyDescent="0.3">
      <c r="A568" s="56"/>
      <c r="B568" s="31"/>
      <c r="C568" s="5"/>
      <c r="D568" s="5"/>
      <c r="E568" s="5"/>
      <c r="F568" s="5"/>
      <c r="G568" s="5"/>
      <c r="H568" s="57"/>
      <c r="I568" s="58"/>
      <c r="J568" s="58"/>
      <c r="K568" s="59"/>
      <c r="L568" s="5"/>
      <c r="M568" s="5"/>
      <c r="N568" s="5"/>
      <c r="O568" s="5"/>
      <c r="P568" s="5"/>
      <c r="Q568" s="5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23.25" customHeight="1" x14ac:dyDescent="0.3">
      <c r="A569" s="56"/>
      <c r="B569" s="31"/>
      <c r="C569" s="5"/>
      <c r="D569" s="5"/>
      <c r="E569" s="5"/>
      <c r="F569" s="5"/>
      <c r="G569" s="5"/>
      <c r="H569" s="57"/>
      <c r="I569" s="58"/>
      <c r="J569" s="58"/>
      <c r="K569" s="59"/>
      <c r="L569" s="5"/>
      <c r="M569" s="5"/>
      <c r="N569" s="5"/>
      <c r="O569" s="5"/>
      <c r="P569" s="5"/>
      <c r="Q569" s="5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23.25" customHeight="1" x14ac:dyDescent="0.3">
      <c r="A570" s="56"/>
      <c r="B570" s="31"/>
      <c r="C570" s="5"/>
      <c r="D570" s="5"/>
      <c r="E570" s="5"/>
      <c r="F570" s="5"/>
      <c r="G570" s="5"/>
      <c r="H570" s="57"/>
      <c r="I570" s="58"/>
      <c r="J570" s="58"/>
      <c r="K570" s="59"/>
      <c r="L570" s="5"/>
      <c r="M570" s="5"/>
      <c r="N570" s="5"/>
      <c r="O570" s="5"/>
      <c r="P570" s="5"/>
      <c r="Q570" s="5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23.25" customHeight="1" x14ac:dyDescent="0.3">
      <c r="A571" s="56"/>
      <c r="B571" s="31"/>
      <c r="C571" s="5"/>
      <c r="D571" s="5"/>
      <c r="E571" s="5"/>
      <c r="F571" s="5"/>
      <c r="G571" s="5"/>
      <c r="H571" s="57"/>
      <c r="I571" s="58"/>
      <c r="J571" s="58"/>
      <c r="K571" s="59"/>
      <c r="L571" s="5"/>
      <c r="M571" s="5"/>
      <c r="N571" s="5"/>
      <c r="O571" s="5"/>
      <c r="P571" s="5"/>
      <c r="Q571" s="5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23.25" customHeight="1" x14ac:dyDescent="0.3">
      <c r="A572" s="56"/>
      <c r="B572" s="31"/>
      <c r="C572" s="5"/>
      <c r="D572" s="5"/>
      <c r="E572" s="5"/>
      <c r="F572" s="5"/>
      <c r="G572" s="5"/>
      <c r="H572" s="57"/>
      <c r="I572" s="58"/>
      <c r="J572" s="58"/>
      <c r="K572" s="59"/>
      <c r="L572" s="5"/>
      <c r="M572" s="5"/>
      <c r="N572" s="5"/>
      <c r="O572" s="5"/>
      <c r="P572" s="5"/>
      <c r="Q572" s="5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23.25" customHeight="1" x14ac:dyDescent="0.3">
      <c r="A573" s="56"/>
      <c r="B573" s="31"/>
      <c r="C573" s="5"/>
      <c r="D573" s="5"/>
      <c r="E573" s="5"/>
      <c r="F573" s="5"/>
      <c r="G573" s="5"/>
      <c r="H573" s="57"/>
      <c r="I573" s="58"/>
      <c r="J573" s="58"/>
      <c r="K573" s="59"/>
      <c r="L573" s="5"/>
      <c r="M573" s="5"/>
      <c r="N573" s="5"/>
      <c r="O573" s="5"/>
      <c r="P573" s="5"/>
      <c r="Q573" s="5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23.25" customHeight="1" x14ac:dyDescent="0.3">
      <c r="A574" s="56"/>
      <c r="B574" s="31"/>
      <c r="C574" s="5"/>
      <c r="D574" s="5"/>
      <c r="E574" s="5"/>
      <c r="F574" s="5"/>
      <c r="G574" s="5"/>
      <c r="H574" s="57"/>
      <c r="I574" s="58"/>
      <c r="J574" s="58"/>
      <c r="K574" s="59"/>
      <c r="L574" s="5"/>
      <c r="M574" s="5"/>
      <c r="N574" s="5"/>
      <c r="O574" s="5"/>
      <c r="P574" s="5"/>
      <c r="Q574" s="5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23.25" customHeight="1" x14ac:dyDescent="0.3">
      <c r="A575" s="56"/>
      <c r="B575" s="31"/>
      <c r="C575" s="5"/>
      <c r="D575" s="5"/>
      <c r="E575" s="5"/>
      <c r="F575" s="5"/>
      <c r="G575" s="5"/>
      <c r="H575" s="57"/>
      <c r="I575" s="58"/>
      <c r="J575" s="58"/>
      <c r="K575" s="59"/>
      <c r="L575" s="5"/>
      <c r="M575" s="5"/>
      <c r="N575" s="5"/>
      <c r="O575" s="5"/>
      <c r="P575" s="5"/>
      <c r="Q575" s="5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23.25" customHeight="1" x14ac:dyDescent="0.3">
      <c r="A576" s="56"/>
      <c r="B576" s="31"/>
      <c r="C576" s="5"/>
      <c r="D576" s="5"/>
      <c r="E576" s="5"/>
      <c r="F576" s="5"/>
      <c r="G576" s="5"/>
      <c r="H576" s="57"/>
      <c r="I576" s="58"/>
      <c r="J576" s="58"/>
      <c r="K576" s="59"/>
      <c r="L576" s="5"/>
      <c r="M576" s="5"/>
      <c r="N576" s="5"/>
      <c r="O576" s="5"/>
      <c r="P576" s="5"/>
      <c r="Q576" s="5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23.25" customHeight="1" x14ac:dyDescent="0.3">
      <c r="A577" s="56"/>
      <c r="B577" s="31"/>
      <c r="C577" s="5"/>
      <c r="D577" s="5"/>
      <c r="E577" s="5"/>
      <c r="F577" s="5"/>
      <c r="G577" s="5"/>
      <c r="H577" s="57"/>
      <c r="I577" s="58"/>
      <c r="J577" s="58"/>
      <c r="K577" s="59"/>
      <c r="L577" s="5"/>
      <c r="M577" s="5"/>
      <c r="N577" s="5"/>
      <c r="O577" s="5"/>
      <c r="P577" s="5"/>
      <c r="Q577" s="5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23.25" customHeight="1" x14ac:dyDescent="0.3">
      <c r="A578" s="56"/>
      <c r="B578" s="31"/>
      <c r="C578" s="5"/>
      <c r="D578" s="5"/>
      <c r="E578" s="5"/>
      <c r="F578" s="5"/>
      <c r="G578" s="5"/>
      <c r="H578" s="57"/>
      <c r="I578" s="58"/>
      <c r="J578" s="58"/>
      <c r="K578" s="59"/>
      <c r="L578" s="5"/>
      <c r="M578" s="5"/>
      <c r="N578" s="5"/>
      <c r="O578" s="5"/>
      <c r="P578" s="5"/>
      <c r="Q578" s="5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23.25" customHeight="1" x14ac:dyDescent="0.3">
      <c r="A579" s="56"/>
      <c r="B579" s="31"/>
      <c r="C579" s="5"/>
      <c r="D579" s="5"/>
      <c r="E579" s="5"/>
      <c r="F579" s="5"/>
      <c r="G579" s="5"/>
      <c r="H579" s="57"/>
      <c r="I579" s="58"/>
      <c r="J579" s="58"/>
      <c r="K579" s="59"/>
      <c r="L579" s="5"/>
      <c r="M579" s="5"/>
      <c r="N579" s="5"/>
      <c r="O579" s="5"/>
      <c r="P579" s="5"/>
      <c r="Q579" s="5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23.25" customHeight="1" x14ac:dyDescent="0.3">
      <c r="A580" s="56"/>
      <c r="B580" s="31"/>
      <c r="C580" s="5"/>
      <c r="D580" s="5"/>
      <c r="E580" s="5"/>
      <c r="F580" s="5"/>
      <c r="G580" s="5"/>
      <c r="H580" s="57"/>
      <c r="I580" s="58"/>
      <c r="J580" s="58"/>
      <c r="K580" s="59"/>
      <c r="L580" s="5"/>
      <c r="M580" s="5"/>
      <c r="N580" s="5"/>
      <c r="O580" s="5"/>
      <c r="P580" s="5"/>
      <c r="Q580" s="5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23.25" customHeight="1" x14ac:dyDescent="0.3">
      <c r="A581" s="56"/>
      <c r="B581" s="31"/>
      <c r="C581" s="5"/>
      <c r="D581" s="5"/>
      <c r="E581" s="5"/>
      <c r="F581" s="5"/>
      <c r="G581" s="5"/>
      <c r="H581" s="57"/>
      <c r="I581" s="58"/>
      <c r="J581" s="58"/>
      <c r="K581" s="59"/>
      <c r="L581" s="5"/>
      <c r="M581" s="5"/>
      <c r="N581" s="5"/>
      <c r="O581" s="5"/>
      <c r="P581" s="5"/>
      <c r="Q581" s="5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23.25" customHeight="1" x14ac:dyDescent="0.3">
      <c r="A582" s="56"/>
      <c r="B582" s="31"/>
      <c r="C582" s="5"/>
      <c r="D582" s="5"/>
      <c r="E582" s="5"/>
      <c r="F582" s="5"/>
      <c r="G582" s="5"/>
      <c r="H582" s="57"/>
      <c r="I582" s="58"/>
      <c r="J582" s="58"/>
      <c r="K582" s="59"/>
      <c r="L582" s="5"/>
      <c r="M582" s="5"/>
      <c r="N582" s="5"/>
      <c r="O582" s="5"/>
      <c r="P582" s="5"/>
      <c r="Q582" s="5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23.25" customHeight="1" x14ac:dyDescent="0.3">
      <c r="A583" s="56"/>
      <c r="B583" s="31"/>
      <c r="C583" s="5"/>
      <c r="D583" s="5"/>
      <c r="E583" s="5"/>
      <c r="F583" s="5"/>
      <c r="G583" s="5"/>
      <c r="H583" s="57"/>
      <c r="I583" s="58"/>
      <c r="J583" s="58"/>
      <c r="K583" s="59"/>
      <c r="L583" s="5"/>
      <c r="M583" s="5"/>
      <c r="N583" s="5"/>
      <c r="O583" s="5"/>
      <c r="P583" s="5"/>
      <c r="Q583" s="5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23.25" customHeight="1" x14ac:dyDescent="0.3">
      <c r="A584" s="56"/>
      <c r="B584" s="31"/>
      <c r="C584" s="5"/>
      <c r="D584" s="5"/>
      <c r="E584" s="5"/>
      <c r="F584" s="5"/>
      <c r="G584" s="5"/>
      <c r="H584" s="57"/>
      <c r="I584" s="58"/>
      <c r="J584" s="58"/>
      <c r="K584" s="59"/>
      <c r="L584" s="5"/>
      <c r="M584" s="5"/>
      <c r="N584" s="5"/>
      <c r="O584" s="5"/>
      <c r="P584" s="5"/>
      <c r="Q584" s="5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23.25" customHeight="1" x14ac:dyDescent="0.3">
      <c r="A585" s="56"/>
      <c r="B585" s="31"/>
      <c r="C585" s="5"/>
      <c r="D585" s="5"/>
      <c r="E585" s="5"/>
      <c r="F585" s="5"/>
      <c r="G585" s="5"/>
      <c r="H585" s="57"/>
      <c r="I585" s="58"/>
      <c r="J585" s="58"/>
      <c r="K585" s="59"/>
      <c r="L585" s="5"/>
      <c r="M585" s="5"/>
      <c r="N585" s="5"/>
      <c r="O585" s="5"/>
      <c r="P585" s="5"/>
      <c r="Q585" s="5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23.25" customHeight="1" x14ac:dyDescent="0.3">
      <c r="A586" s="56"/>
      <c r="B586" s="31"/>
      <c r="C586" s="5"/>
      <c r="D586" s="5"/>
      <c r="E586" s="5"/>
      <c r="F586" s="5"/>
      <c r="G586" s="5"/>
      <c r="H586" s="57"/>
      <c r="I586" s="58"/>
      <c r="J586" s="58"/>
      <c r="K586" s="59"/>
      <c r="L586" s="5"/>
      <c r="M586" s="5"/>
      <c r="N586" s="5"/>
      <c r="O586" s="5"/>
      <c r="P586" s="5"/>
      <c r="Q586" s="5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23.25" customHeight="1" x14ac:dyDescent="0.3">
      <c r="A587" s="56"/>
      <c r="B587" s="31"/>
      <c r="C587" s="5"/>
      <c r="D587" s="5"/>
      <c r="E587" s="5"/>
      <c r="F587" s="5"/>
      <c r="G587" s="5"/>
      <c r="H587" s="57"/>
      <c r="I587" s="58"/>
      <c r="J587" s="58"/>
      <c r="K587" s="59"/>
      <c r="L587" s="5"/>
      <c r="M587" s="5"/>
      <c r="N587" s="5"/>
      <c r="O587" s="5"/>
      <c r="P587" s="5"/>
      <c r="Q587" s="5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23.25" customHeight="1" x14ac:dyDescent="0.3">
      <c r="A588" s="56"/>
      <c r="B588" s="31"/>
      <c r="C588" s="5"/>
      <c r="D588" s="5"/>
      <c r="E588" s="5"/>
      <c r="F588" s="5"/>
      <c r="G588" s="5"/>
      <c r="H588" s="57"/>
      <c r="I588" s="58"/>
      <c r="J588" s="58"/>
      <c r="K588" s="59"/>
      <c r="L588" s="5"/>
      <c r="M588" s="5"/>
      <c r="N588" s="5"/>
      <c r="O588" s="5"/>
      <c r="P588" s="5"/>
      <c r="Q588" s="5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23.25" customHeight="1" x14ac:dyDescent="0.3">
      <c r="A589" s="56"/>
      <c r="B589" s="31"/>
      <c r="C589" s="5"/>
      <c r="D589" s="5"/>
      <c r="E589" s="5"/>
      <c r="F589" s="5"/>
      <c r="G589" s="5"/>
      <c r="H589" s="57"/>
      <c r="I589" s="58"/>
      <c r="J589" s="58"/>
      <c r="K589" s="59"/>
      <c r="L589" s="5"/>
      <c r="M589" s="5"/>
      <c r="N589" s="5"/>
      <c r="O589" s="5"/>
      <c r="P589" s="5"/>
      <c r="Q589" s="5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23.25" customHeight="1" x14ac:dyDescent="0.3">
      <c r="A590" s="56"/>
      <c r="B590" s="31"/>
      <c r="C590" s="5"/>
      <c r="D590" s="5"/>
      <c r="E590" s="5"/>
      <c r="F590" s="5"/>
      <c r="G590" s="5"/>
      <c r="H590" s="57"/>
      <c r="I590" s="58"/>
      <c r="J590" s="58"/>
      <c r="K590" s="59"/>
      <c r="L590" s="5"/>
      <c r="M590" s="5"/>
      <c r="N590" s="5"/>
      <c r="O590" s="5"/>
      <c r="P590" s="5"/>
      <c r="Q590" s="5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23.25" customHeight="1" x14ac:dyDescent="0.3">
      <c r="A591" s="56"/>
      <c r="B591" s="31"/>
      <c r="C591" s="5"/>
      <c r="D591" s="5"/>
      <c r="E591" s="5"/>
      <c r="F591" s="5"/>
      <c r="G591" s="5"/>
      <c r="H591" s="57"/>
      <c r="I591" s="58"/>
      <c r="J591" s="58"/>
      <c r="K591" s="59"/>
      <c r="L591" s="5"/>
      <c r="M591" s="5"/>
      <c r="N591" s="5"/>
      <c r="O591" s="5"/>
      <c r="P591" s="5"/>
      <c r="Q591" s="5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23.25" customHeight="1" x14ac:dyDescent="0.3">
      <c r="A592" s="56"/>
      <c r="B592" s="31"/>
      <c r="C592" s="5"/>
      <c r="D592" s="5"/>
      <c r="E592" s="5"/>
      <c r="F592" s="5"/>
      <c r="G592" s="5"/>
      <c r="H592" s="57"/>
      <c r="I592" s="58"/>
      <c r="J592" s="58"/>
      <c r="K592" s="59"/>
      <c r="L592" s="5"/>
      <c r="M592" s="5"/>
      <c r="N592" s="5"/>
      <c r="O592" s="5"/>
      <c r="P592" s="5"/>
      <c r="Q592" s="5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23.25" customHeight="1" x14ac:dyDescent="0.3">
      <c r="A593" s="56"/>
      <c r="B593" s="31"/>
      <c r="C593" s="5"/>
      <c r="D593" s="5"/>
      <c r="E593" s="5"/>
      <c r="F593" s="5"/>
      <c r="G593" s="5"/>
      <c r="H593" s="57"/>
      <c r="I593" s="58"/>
      <c r="J593" s="58"/>
      <c r="K593" s="59"/>
      <c r="L593" s="5"/>
      <c r="M593" s="5"/>
      <c r="N593" s="5"/>
      <c r="O593" s="5"/>
      <c r="P593" s="5"/>
      <c r="Q593" s="5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23.25" customHeight="1" x14ac:dyDescent="0.3">
      <c r="A594" s="56"/>
      <c r="B594" s="31"/>
      <c r="C594" s="5"/>
      <c r="D594" s="5"/>
      <c r="E594" s="5"/>
      <c r="F594" s="5"/>
      <c r="G594" s="5"/>
      <c r="H594" s="57"/>
      <c r="I594" s="58"/>
      <c r="J594" s="58"/>
      <c r="K594" s="59"/>
      <c r="L594" s="5"/>
      <c r="M594" s="5"/>
      <c r="N594" s="5"/>
      <c r="O594" s="5"/>
      <c r="P594" s="5"/>
      <c r="Q594" s="5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23.25" customHeight="1" x14ac:dyDescent="0.3">
      <c r="A595" s="56"/>
      <c r="B595" s="31"/>
      <c r="C595" s="5"/>
      <c r="D595" s="5"/>
      <c r="E595" s="5"/>
      <c r="F595" s="5"/>
      <c r="G595" s="5"/>
      <c r="H595" s="57"/>
      <c r="I595" s="58"/>
      <c r="J595" s="58"/>
      <c r="K595" s="59"/>
      <c r="L595" s="5"/>
      <c r="M595" s="5"/>
      <c r="N595" s="5"/>
      <c r="O595" s="5"/>
      <c r="P595" s="5"/>
      <c r="Q595" s="5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23.25" customHeight="1" x14ac:dyDescent="0.3">
      <c r="A596" s="56"/>
      <c r="B596" s="31"/>
      <c r="C596" s="5"/>
      <c r="D596" s="5"/>
      <c r="E596" s="5"/>
      <c r="F596" s="5"/>
      <c r="G596" s="5"/>
      <c r="H596" s="57"/>
      <c r="I596" s="58"/>
      <c r="J596" s="58"/>
      <c r="K596" s="59"/>
      <c r="L596" s="5"/>
      <c r="M596" s="5"/>
      <c r="N596" s="5"/>
      <c r="O596" s="5"/>
      <c r="P596" s="5"/>
      <c r="Q596" s="5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23.25" customHeight="1" x14ac:dyDescent="0.3">
      <c r="A597" s="56"/>
      <c r="B597" s="31"/>
      <c r="C597" s="5"/>
      <c r="D597" s="5"/>
      <c r="E597" s="5"/>
      <c r="F597" s="5"/>
      <c r="G597" s="5"/>
      <c r="H597" s="57"/>
      <c r="I597" s="58"/>
      <c r="J597" s="58"/>
      <c r="K597" s="59"/>
      <c r="L597" s="5"/>
      <c r="M597" s="5"/>
      <c r="N597" s="5"/>
      <c r="O597" s="5"/>
      <c r="P597" s="5"/>
      <c r="Q597" s="5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23.25" customHeight="1" x14ac:dyDescent="0.3">
      <c r="A598" s="56"/>
      <c r="B598" s="31"/>
      <c r="C598" s="5"/>
      <c r="D598" s="5"/>
      <c r="E598" s="5"/>
      <c r="F598" s="5"/>
      <c r="G598" s="5"/>
      <c r="H598" s="57"/>
      <c r="I598" s="58"/>
      <c r="J598" s="58"/>
      <c r="K598" s="59"/>
      <c r="L598" s="5"/>
      <c r="M598" s="5"/>
      <c r="N598" s="5"/>
      <c r="O598" s="5"/>
      <c r="P598" s="5"/>
      <c r="Q598" s="5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23.25" customHeight="1" x14ac:dyDescent="0.3">
      <c r="A599" s="56"/>
      <c r="B599" s="31"/>
      <c r="C599" s="5"/>
      <c r="D599" s="5"/>
      <c r="E599" s="5"/>
      <c r="F599" s="5"/>
      <c r="G599" s="5"/>
      <c r="H599" s="57"/>
      <c r="I599" s="58"/>
      <c r="J599" s="58"/>
      <c r="K599" s="59"/>
      <c r="L599" s="5"/>
      <c r="M599" s="5"/>
      <c r="N599" s="5"/>
      <c r="O599" s="5"/>
      <c r="P599" s="5"/>
      <c r="Q599" s="5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23.25" customHeight="1" x14ac:dyDescent="0.3">
      <c r="A600" s="56"/>
      <c r="B600" s="31"/>
      <c r="C600" s="5"/>
      <c r="D600" s="5"/>
      <c r="E600" s="5"/>
      <c r="F600" s="5"/>
      <c r="G600" s="5"/>
      <c r="H600" s="57"/>
      <c r="I600" s="58"/>
      <c r="J600" s="58"/>
      <c r="K600" s="59"/>
      <c r="L600" s="5"/>
      <c r="M600" s="5"/>
      <c r="N600" s="5"/>
      <c r="O600" s="5"/>
      <c r="P600" s="5"/>
      <c r="Q600" s="5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23.25" customHeight="1" x14ac:dyDescent="0.3">
      <c r="A601" s="56"/>
      <c r="B601" s="31"/>
      <c r="C601" s="5"/>
      <c r="D601" s="5"/>
      <c r="E601" s="5"/>
      <c r="F601" s="5"/>
      <c r="G601" s="5"/>
      <c r="H601" s="57"/>
      <c r="I601" s="58"/>
      <c r="J601" s="58"/>
      <c r="K601" s="59"/>
      <c r="L601" s="5"/>
      <c r="M601" s="5"/>
      <c r="N601" s="5"/>
      <c r="O601" s="5"/>
      <c r="P601" s="5"/>
      <c r="Q601" s="5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23.25" customHeight="1" x14ac:dyDescent="0.3">
      <c r="A602" s="56"/>
      <c r="B602" s="31"/>
      <c r="C602" s="5"/>
      <c r="D602" s="5"/>
      <c r="E602" s="5"/>
      <c r="F602" s="5"/>
      <c r="G602" s="5"/>
      <c r="H602" s="57"/>
      <c r="I602" s="58"/>
      <c r="J602" s="58"/>
      <c r="K602" s="59"/>
      <c r="L602" s="5"/>
      <c r="M602" s="5"/>
      <c r="N602" s="5"/>
      <c r="O602" s="5"/>
      <c r="P602" s="5"/>
      <c r="Q602" s="5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23.25" customHeight="1" x14ac:dyDescent="0.3">
      <c r="A603" s="56"/>
      <c r="B603" s="31"/>
      <c r="C603" s="5"/>
      <c r="D603" s="5"/>
      <c r="E603" s="5"/>
      <c r="F603" s="5"/>
      <c r="G603" s="5"/>
      <c r="H603" s="57"/>
      <c r="I603" s="58"/>
      <c r="J603" s="58"/>
      <c r="K603" s="59"/>
      <c r="L603" s="5"/>
      <c r="M603" s="5"/>
      <c r="N603" s="5"/>
      <c r="O603" s="5"/>
      <c r="P603" s="5"/>
      <c r="Q603" s="5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23.25" customHeight="1" x14ac:dyDescent="0.3">
      <c r="A604" s="56"/>
      <c r="B604" s="31"/>
      <c r="C604" s="5"/>
      <c r="D604" s="5"/>
      <c r="E604" s="5"/>
      <c r="F604" s="5"/>
      <c r="G604" s="5"/>
      <c r="H604" s="57"/>
      <c r="I604" s="58"/>
      <c r="J604" s="58"/>
      <c r="K604" s="59"/>
      <c r="L604" s="5"/>
      <c r="M604" s="5"/>
      <c r="N604" s="5"/>
      <c r="O604" s="5"/>
      <c r="P604" s="5"/>
      <c r="Q604" s="5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23.25" customHeight="1" x14ac:dyDescent="0.3">
      <c r="A605" s="56"/>
      <c r="B605" s="31"/>
      <c r="C605" s="5"/>
      <c r="D605" s="5"/>
      <c r="E605" s="5"/>
      <c r="F605" s="5"/>
      <c r="G605" s="5"/>
      <c r="H605" s="57"/>
      <c r="I605" s="58"/>
      <c r="J605" s="58"/>
      <c r="K605" s="59"/>
      <c r="L605" s="5"/>
      <c r="M605" s="5"/>
      <c r="N605" s="5"/>
      <c r="O605" s="5"/>
      <c r="P605" s="5"/>
      <c r="Q605" s="5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23.25" customHeight="1" x14ac:dyDescent="0.3">
      <c r="A606" s="56"/>
      <c r="B606" s="31"/>
      <c r="C606" s="5"/>
      <c r="D606" s="5"/>
      <c r="E606" s="5"/>
      <c r="F606" s="5"/>
      <c r="G606" s="5"/>
      <c r="H606" s="57"/>
      <c r="I606" s="58"/>
      <c r="J606" s="58"/>
      <c r="K606" s="59"/>
      <c r="L606" s="5"/>
      <c r="M606" s="5"/>
      <c r="N606" s="5"/>
      <c r="O606" s="5"/>
      <c r="P606" s="5"/>
      <c r="Q606" s="5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23.25" customHeight="1" x14ac:dyDescent="0.3">
      <c r="A607" s="56"/>
      <c r="B607" s="31"/>
      <c r="C607" s="5"/>
      <c r="D607" s="5"/>
      <c r="E607" s="5"/>
      <c r="F607" s="5"/>
      <c r="G607" s="5"/>
      <c r="H607" s="57"/>
      <c r="I607" s="58"/>
      <c r="J607" s="58"/>
      <c r="K607" s="59"/>
      <c r="L607" s="5"/>
      <c r="M607" s="5"/>
      <c r="N607" s="5"/>
      <c r="O607" s="5"/>
      <c r="P607" s="5"/>
      <c r="Q607" s="5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23.25" customHeight="1" x14ac:dyDescent="0.3">
      <c r="A608" s="56"/>
      <c r="B608" s="31"/>
      <c r="C608" s="5"/>
      <c r="D608" s="5"/>
      <c r="E608" s="5"/>
      <c r="F608" s="5"/>
      <c r="G608" s="5"/>
      <c r="H608" s="57"/>
      <c r="I608" s="58"/>
      <c r="J608" s="58"/>
      <c r="K608" s="59"/>
      <c r="L608" s="5"/>
      <c r="M608" s="5"/>
      <c r="N608" s="5"/>
      <c r="O608" s="5"/>
      <c r="P608" s="5"/>
      <c r="Q608" s="5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23.25" customHeight="1" x14ac:dyDescent="0.3">
      <c r="A609" s="56"/>
      <c r="B609" s="31"/>
      <c r="C609" s="5"/>
      <c r="D609" s="5"/>
      <c r="E609" s="5"/>
      <c r="F609" s="5"/>
      <c r="G609" s="5"/>
      <c r="H609" s="57"/>
      <c r="I609" s="58"/>
      <c r="J609" s="58"/>
      <c r="K609" s="59"/>
      <c r="L609" s="5"/>
      <c r="M609" s="5"/>
      <c r="N609" s="5"/>
      <c r="O609" s="5"/>
      <c r="P609" s="5"/>
      <c r="Q609" s="5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23.25" customHeight="1" x14ac:dyDescent="0.3">
      <c r="A610" s="56"/>
      <c r="B610" s="31"/>
      <c r="C610" s="5"/>
      <c r="D610" s="5"/>
      <c r="E610" s="5"/>
      <c r="F610" s="5"/>
      <c r="G610" s="5"/>
      <c r="H610" s="57"/>
      <c r="I610" s="58"/>
      <c r="J610" s="58"/>
      <c r="K610" s="59"/>
      <c r="L610" s="5"/>
      <c r="M610" s="5"/>
      <c r="N610" s="5"/>
      <c r="O610" s="5"/>
      <c r="P610" s="5"/>
      <c r="Q610" s="5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23.25" customHeight="1" x14ac:dyDescent="0.3">
      <c r="A611" s="56"/>
      <c r="B611" s="31"/>
      <c r="C611" s="5"/>
      <c r="D611" s="5"/>
      <c r="E611" s="5"/>
      <c r="F611" s="5"/>
      <c r="G611" s="5"/>
      <c r="H611" s="57"/>
      <c r="I611" s="58"/>
      <c r="J611" s="58"/>
      <c r="K611" s="59"/>
      <c r="L611" s="5"/>
      <c r="M611" s="5"/>
      <c r="N611" s="5"/>
      <c r="O611" s="5"/>
      <c r="P611" s="5"/>
      <c r="Q611" s="5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23.25" customHeight="1" x14ac:dyDescent="0.3">
      <c r="A612" s="56"/>
      <c r="B612" s="31"/>
      <c r="C612" s="5"/>
      <c r="D612" s="5"/>
      <c r="E612" s="5"/>
      <c r="F612" s="5"/>
      <c r="G612" s="5"/>
      <c r="H612" s="57"/>
      <c r="I612" s="58"/>
      <c r="J612" s="58"/>
      <c r="K612" s="59"/>
      <c r="L612" s="5"/>
      <c r="M612" s="5"/>
      <c r="N612" s="5"/>
      <c r="O612" s="5"/>
      <c r="P612" s="5"/>
      <c r="Q612" s="5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23.25" customHeight="1" x14ac:dyDescent="0.3">
      <c r="A613" s="56"/>
      <c r="B613" s="31"/>
      <c r="C613" s="5"/>
      <c r="D613" s="5"/>
      <c r="E613" s="5"/>
      <c r="F613" s="5"/>
      <c r="G613" s="5"/>
      <c r="H613" s="57"/>
      <c r="I613" s="58"/>
      <c r="J613" s="58"/>
      <c r="K613" s="59"/>
      <c r="L613" s="5"/>
      <c r="M613" s="5"/>
      <c r="N613" s="5"/>
      <c r="O613" s="5"/>
      <c r="P613" s="5"/>
      <c r="Q613" s="5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23.25" customHeight="1" x14ac:dyDescent="0.3">
      <c r="A614" s="56"/>
      <c r="B614" s="31"/>
      <c r="C614" s="5"/>
      <c r="D614" s="5"/>
      <c r="E614" s="5"/>
      <c r="F614" s="5"/>
      <c r="G614" s="5"/>
      <c r="H614" s="57"/>
      <c r="I614" s="58"/>
      <c r="J614" s="58"/>
      <c r="K614" s="59"/>
      <c r="L614" s="5"/>
      <c r="M614" s="5"/>
      <c r="N614" s="5"/>
      <c r="O614" s="5"/>
      <c r="P614" s="5"/>
      <c r="Q614" s="5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23.25" customHeight="1" x14ac:dyDescent="0.3">
      <c r="A615" s="56"/>
      <c r="B615" s="31"/>
      <c r="C615" s="5"/>
      <c r="D615" s="5"/>
      <c r="E615" s="5"/>
      <c r="F615" s="5"/>
      <c r="G615" s="5"/>
      <c r="H615" s="57"/>
      <c r="I615" s="58"/>
      <c r="J615" s="58"/>
      <c r="K615" s="59"/>
      <c r="L615" s="5"/>
      <c r="M615" s="5"/>
      <c r="N615" s="5"/>
      <c r="O615" s="5"/>
      <c r="P615" s="5"/>
      <c r="Q615" s="5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23.25" customHeight="1" x14ac:dyDescent="0.3">
      <c r="A616" s="56"/>
      <c r="B616" s="31"/>
      <c r="C616" s="5"/>
      <c r="D616" s="5"/>
      <c r="E616" s="5"/>
      <c r="F616" s="5"/>
      <c r="G616" s="5"/>
      <c r="H616" s="57"/>
      <c r="I616" s="58"/>
      <c r="J616" s="58"/>
      <c r="K616" s="59"/>
      <c r="L616" s="5"/>
      <c r="M616" s="5"/>
      <c r="N616" s="5"/>
      <c r="O616" s="5"/>
      <c r="P616" s="5"/>
      <c r="Q616" s="5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23.25" customHeight="1" x14ac:dyDescent="0.3">
      <c r="A617" s="56"/>
      <c r="B617" s="31"/>
      <c r="C617" s="5"/>
      <c r="D617" s="5"/>
      <c r="E617" s="5"/>
      <c r="F617" s="5"/>
      <c r="G617" s="5"/>
      <c r="H617" s="57"/>
      <c r="I617" s="58"/>
      <c r="J617" s="58"/>
      <c r="K617" s="59"/>
      <c r="L617" s="5"/>
      <c r="M617" s="5"/>
      <c r="N617" s="5"/>
      <c r="O617" s="5"/>
      <c r="P617" s="5"/>
      <c r="Q617" s="5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23.25" customHeight="1" x14ac:dyDescent="0.3">
      <c r="A618" s="56"/>
      <c r="B618" s="31"/>
      <c r="C618" s="5"/>
      <c r="D618" s="5"/>
      <c r="E618" s="5"/>
      <c r="F618" s="5"/>
      <c r="G618" s="5"/>
      <c r="H618" s="57"/>
      <c r="I618" s="58"/>
      <c r="J618" s="58"/>
      <c r="K618" s="59"/>
      <c r="L618" s="5"/>
      <c r="M618" s="5"/>
      <c r="N618" s="5"/>
      <c r="O618" s="5"/>
      <c r="P618" s="5"/>
      <c r="Q618" s="5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23.25" customHeight="1" x14ac:dyDescent="0.3">
      <c r="A619" s="56"/>
      <c r="B619" s="31"/>
      <c r="C619" s="5"/>
      <c r="D619" s="5"/>
      <c r="E619" s="5"/>
      <c r="F619" s="5"/>
      <c r="G619" s="5"/>
      <c r="H619" s="57"/>
      <c r="I619" s="58"/>
      <c r="J619" s="58"/>
      <c r="K619" s="59"/>
      <c r="L619" s="5"/>
      <c r="M619" s="5"/>
      <c r="N619" s="5"/>
      <c r="O619" s="5"/>
      <c r="P619" s="5"/>
      <c r="Q619" s="5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23.25" customHeight="1" x14ac:dyDescent="0.3">
      <c r="A620" s="56"/>
      <c r="B620" s="31"/>
      <c r="C620" s="5"/>
      <c r="D620" s="5"/>
      <c r="E620" s="5"/>
      <c r="F620" s="5"/>
      <c r="G620" s="5"/>
      <c r="H620" s="57"/>
      <c r="I620" s="58"/>
      <c r="J620" s="58"/>
      <c r="K620" s="59"/>
      <c r="L620" s="5"/>
      <c r="M620" s="5"/>
      <c r="N620" s="5"/>
      <c r="O620" s="5"/>
      <c r="P620" s="5"/>
      <c r="Q620" s="5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23.25" customHeight="1" x14ac:dyDescent="0.3">
      <c r="A621" s="56"/>
      <c r="B621" s="31"/>
      <c r="C621" s="5"/>
      <c r="D621" s="5"/>
      <c r="E621" s="5"/>
      <c r="F621" s="5"/>
      <c r="G621" s="5"/>
      <c r="H621" s="57"/>
      <c r="I621" s="58"/>
      <c r="J621" s="58"/>
      <c r="K621" s="59"/>
      <c r="L621" s="5"/>
      <c r="M621" s="5"/>
      <c r="N621" s="5"/>
      <c r="O621" s="5"/>
      <c r="P621" s="5"/>
      <c r="Q621" s="5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23.25" customHeight="1" x14ac:dyDescent="0.3">
      <c r="A622" s="56"/>
      <c r="B622" s="31"/>
      <c r="C622" s="5"/>
      <c r="D622" s="5"/>
      <c r="E622" s="5"/>
      <c r="F622" s="5"/>
      <c r="G622" s="5"/>
      <c r="H622" s="57"/>
      <c r="I622" s="58"/>
      <c r="J622" s="58"/>
      <c r="K622" s="59"/>
      <c r="L622" s="5"/>
      <c r="M622" s="5"/>
      <c r="N622" s="5"/>
      <c r="O622" s="5"/>
      <c r="P622" s="5"/>
      <c r="Q622" s="5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23.25" customHeight="1" x14ac:dyDescent="0.3">
      <c r="A623" s="56"/>
      <c r="B623" s="31"/>
      <c r="C623" s="5"/>
      <c r="D623" s="5"/>
      <c r="E623" s="5"/>
      <c r="F623" s="5"/>
      <c r="G623" s="5"/>
      <c r="H623" s="57"/>
      <c r="I623" s="58"/>
      <c r="J623" s="58"/>
      <c r="K623" s="59"/>
      <c r="L623" s="5"/>
      <c r="M623" s="5"/>
      <c r="N623" s="5"/>
      <c r="O623" s="5"/>
      <c r="P623" s="5"/>
      <c r="Q623" s="5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23.25" customHeight="1" x14ac:dyDescent="0.3">
      <c r="A624" s="56"/>
      <c r="B624" s="31"/>
      <c r="C624" s="5"/>
      <c r="D624" s="5"/>
      <c r="E624" s="5"/>
      <c r="F624" s="5"/>
      <c r="G624" s="5"/>
      <c r="H624" s="57"/>
      <c r="I624" s="58"/>
      <c r="J624" s="58"/>
      <c r="K624" s="59"/>
      <c r="L624" s="5"/>
      <c r="M624" s="5"/>
      <c r="N624" s="5"/>
      <c r="O624" s="5"/>
      <c r="P624" s="5"/>
      <c r="Q624" s="5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23.25" customHeight="1" x14ac:dyDescent="0.3">
      <c r="A625" s="56"/>
      <c r="B625" s="31"/>
      <c r="C625" s="5"/>
      <c r="D625" s="5"/>
      <c r="E625" s="5"/>
      <c r="F625" s="5"/>
      <c r="G625" s="5"/>
      <c r="H625" s="57"/>
      <c r="I625" s="58"/>
      <c r="J625" s="58"/>
      <c r="K625" s="59"/>
      <c r="L625" s="5"/>
      <c r="M625" s="5"/>
      <c r="N625" s="5"/>
      <c r="O625" s="5"/>
      <c r="P625" s="5"/>
      <c r="Q625" s="5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23.25" customHeight="1" x14ac:dyDescent="0.3">
      <c r="A626" s="56"/>
      <c r="B626" s="31"/>
      <c r="C626" s="5"/>
      <c r="D626" s="5"/>
      <c r="E626" s="5"/>
      <c r="F626" s="5"/>
      <c r="G626" s="5"/>
      <c r="H626" s="57"/>
      <c r="I626" s="58"/>
      <c r="J626" s="58"/>
      <c r="K626" s="59"/>
      <c r="L626" s="5"/>
      <c r="M626" s="5"/>
      <c r="N626" s="5"/>
      <c r="O626" s="5"/>
      <c r="P626" s="5"/>
      <c r="Q626" s="5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23.25" customHeight="1" x14ac:dyDescent="0.3">
      <c r="A627" s="56"/>
      <c r="B627" s="31"/>
      <c r="C627" s="5"/>
      <c r="D627" s="5"/>
      <c r="E627" s="5"/>
      <c r="F627" s="5"/>
      <c r="G627" s="5"/>
      <c r="H627" s="57"/>
      <c r="I627" s="58"/>
      <c r="J627" s="58"/>
      <c r="K627" s="59"/>
      <c r="L627" s="5"/>
      <c r="M627" s="5"/>
      <c r="N627" s="5"/>
      <c r="O627" s="5"/>
      <c r="P627" s="5"/>
      <c r="Q627" s="5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23.25" customHeight="1" x14ac:dyDescent="0.3">
      <c r="A628" s="56"/>
      <c r="B628" s="31"/>
      <c r="C628" s="5"/>
      <c r="D628" s="5"/>
      <c r="E628" s="5"/>
      <c r="F628" s="5"/>
      <c r="G628" s="5"/>
      <c r="H628" s="57"/>
      <c r="I628" s="58"/>
      <c r="J628" s="58"/>
      <c r="K628" s="59"/>
      <c r="L628" s="5"/>
      <c r="M628" s="5"/>
      <c r="N628" s="5"/>
      <c r="O628" s="5"/>
      <c r="P628" s="5"/>
      <c r="Q628" s="5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23.25" customHeight="1" x14ac:dyDescent="0.3">
      <c r="A629" s="56"/>
      <c r="B629" s="31"/>
      <c r="C629" s="5"/>
      <c r="D629" s="5"/>
      <c r="E629" s="5"/>
      <c r="F629" s="5"/>
      <c r="G629" s="5"/>
      <c r="H629" s="57"/>
      <c r="I629" s="58"/>
      <c r="J629" s="58"/>
      <c r="K629" s="59"/>
      <c r="L629" s="5"/>
      <c r="M629" s="5"/>
      <c r="N629" s="5"/>
      <c r="O629" s="5"/>
      <c r="P629" s="5"/>
      <c r="Q629" s="5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23.25" customHeight="1" x14ac:dyDescent="0.3">
      <c r="A630" s="56"/>
      <c r="B630" s="31"/>
      <c r="C630" s="5"/>
      <c r="D630" s="5"/>
      <c r="E630" s="5"/>
      <c r="F630" s="5"/>
      <c r="G630" s="5"/>
      <c r="H630" s="57"/>
      <c r="I630" s="58"/>
      <c r="J630" s="58"/>
      <c r="K630" s="59"/>
      <c r="L630" s="5"/>
      <c r="M630" s="5"/>
      <c r="N630" s="5"/>
      <c r="O630" s="5"/>
      <c r="P630" s="5"/>
      <c r="Q630" s="5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23.25" customHeight="1" x14ac:dyDescent="0.3">
      <c r="A631" s="56"/>
      <c r="B631" s="31"/>
      <c r="C631" s="5"/>
      <c r="D631" s="5"/>
      <c r="E631" s="5"/>
      <c r="F631" s="5"/>
      <c r="G631" s="5"/>
      <c r="H631" s="57"/>
      <c r="I631" s="58"/>
      <c r="J631" s="58"/>
      <c r="K631" s="59"/>
      <c r="L631" s="5"/>
      <c r="M631" s="5"/>
      <c r="N631" s="5"/>
      <c r="O631" s="5"/>
      <c r="P631" s="5"/>
      <c r="Q631" s="5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23.25" customHeight="1" x14ac:dyDescent="0.3">
      <c r="A632" s="56"/>
      <c r="B632" s="31"/>
      <c r="C632" s="5"/>
      <c r="D632" s="5"/>
      <c r="E632" s="5"/>
      <c r="F632" s="5"/>
      <c r="G632" s="5"/>
      <c r="H632" s="57"/>
      <c r="I632" s="58"/>
      <c r="J632" s="58"/>
      <c r="K632" s="59"/>
      <c r="L632" s="5"/>
      <c r="M632" s="5"/>
      <c r="N632" s="5"/>
      <c r="O632" s="5"/>
      <c r="P632" s="5"/>
      <c r="Q632" s="5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23.25" customHeight="1" x14ac:dyDescent="0.3">
      <c r="A633" s="56"/>
      <c r="B633" s="31"/>
      <c r="C633" s="5"/>
      <c r="D633" s="5"/>
      <c r="E633" s="5"/>
      <c r="F633" s="5"/>
      <c r="G633" s="5"/>
      <c r="H633" s="57"/>
      <c r="I633" s="58"/>
      <c r="J633" s="58"/>
      <c r="K633" s="59"/>
      <c r="L633" s="5"/>
      <c r="M633" s="5"/>
      <c r="N633" s="5"/>
      <c r="O633" s="5"/>
      <c r="P633" s="5"/>
      <c r="Q633" s="5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23.25" customHeight="1" x14ac:dyDescent="0.3">
      <c r="A634" s="56"/>
      <c r="B634" s="31"/>
      <c r="C634" s="5"/>
      <c r="D634" s="5"/>
      <c r="E634" s="5"/>
      <c r="F634" s="5"/>
      <c r="G634" s="5"/>
      <c r="H634" s="57"/>
      <c r="I634" s="58"/>
      <c r="J634" s="58"/>
      <c r="K634" s="59"/>
      <c r="L634" s="5"/>
      <c r="M634" s="5"/>
      <c r="N634" s="5"/>
      <c r="O634" s="5"/>
      <c r="P634" s="5"/>
      <c r="Q634" s="5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23.25" customHeight="1" x14ac:dyDescent="0.3">
      <c r="A635" s="56"/>
      <c r="B635" s="31"/>
      <c r="C635" s="5"/>
      <c r="D635" s="5"/>
      <c r="E635" s="5"/>
      <c r="F635" s="5"/>
      <c r="G635" s="5"/>
      <c r="H635" s="57"/>
      <c r="I635" s="58"/>
      <c r="J635" s="58"/>
      <c r="K635" s="59"/>
      <c r="L635" s="5"/>
      <c r="M635" s="5"/>
      <c r="N635" s="5"/>
      <c r="O635" s="5"/>
      <c r="P635" s="5"/>
      <c r="Q635" s="5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23.25" customHeight="1" x14ac:dyDescent="0.3">
      <c r="A636" s="56"/>
      <c r="B636" s="31"/>
      <c r="C636" s="5"/>
      <c r="D636" s="5"/>
      <c r="E636" s="5"/>
      <c r="F636" s="5"/>
      <c r="G636" s="5"/>
      <c r="H636" s="57"/>
      <c r="I636" s="58"/>
      <c r="J636" s="58"/>
      <c r="K636" s="59"/>
      <c r="L636" s="5"/>
      <c r="M636" s="5"/>
      <c r="N636" s="5"/>
      <c r="O636" s="5"/>
      <c r="P636" s="5"/>
      <c r="Q636" s="5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23.25" customHeight="1" x14ac:dyDescent="0.3">
      <c r="A637" s="56"/>
      <c r="B637" s="31"/>
      <c r="C637" s="5"/>
      <c r="D637" s="5"/>
      <c r="E637" s="5"/>
      <c r="F637" s="5"/>
      <c r="G637" s="5"/>
      <c r="H637" s="57"/>
      <c r="I637" s="58"/>
      <c r="J637" s="58"/>
      <c r="K637" s="59"/>
      <c r="L637" s="5"/>
      <c r="M637" s="5"/>
      <c r="N637" s="5"/>
      <c r="O637" s="5"/>
      <c r="P637" s="5"/>
      <c r="Q637" s="5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23.25" customHeight="1" x14ac:dyDescent="0.3">
      <c r="A638" s="56"/>
      <c r="B638" s="31"/>
      <c r="C638" s="5"/>
      <c r="D638" s="5"/>
      <c r="E638" s="5"/>
      <c r="F638" s="5"/>
      <c r="G638" s="5"/>
      <c r="H638" s="57"/>
      <c r="I638" s="58"/>
      <c r="J638" s="58"/>
      <c r="K638" s="59"/>
      <c r="L638" s="5"/>
      <c r="M638" s="5"/>
      <c r="N638" s="5"/>
      <c r="O638" s="5"/>
      <c r="P638" s="5"/>
      <c r="Q638" s="5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23.25" customHeight="1" x14ac:dyDescent="0.3">
      <c r="A639" s="56"/>
      <c r="B639" s="31"/>
      <c r="C639" s="5"/>
      <c r="D639" s="5"/>
      <c r="E639" s="5"/>
      <c r="F639" s="5"/>
      <c r="G639" s="5"/>
      <c r="H639" s="57"/>
      <c r="I639" s="58"/>
      <c r="J639" s="58"/>
      <c r="K639" s="59"/>
      <c r="L639" s="5"/>
      <c r="M639" s="5"/>
      <c r="N639" s="5"/>
      <c r="O639" s="5"/>
      <c r="P639" s="5"/>
      <c r="Q639" s="5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23.25" customHeight="1" x14ac:dyDescent="0.3">
      <c r="A640" s="56"/>
      <c r="B640" s="31"/>
      <c r="C640" s="5"/>
      <c r="D640" s="5"/>
      <c r="E640" s="5"/>
      <c r="F640" s="5"/>
      <c r="G640" s="5"/>
      <c r="H640" s="57"/>
      <c r="I640" s="58"/>
      <c r="J640" s="58"/>
      <c r="K640" s="59"/>
      <c r="L640" s="5"/>
      <c r="M640" s="5"/>
      <c r="N640" s="5"/>
      <c r="O640" s="5"/>
      <c r="P640" s="5"/>
      <c r="Q640" s="5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23.25" customHeight="1" x14ac:dyDescent="0.3">
      <c r="A641" s="56"/>
      <c r="B641" s="31"/>
      <c r="C641" s="5"/>
      <c r="D641" s="5"/>
      <c r="E641" s="5"/>
      <c r="F641" s="5"/>
      <c r="G641" s="5"/>
      <c r="H641" s="57"/>
      <c r="I641" s="58"/>
      <c r="J641" s="58"/>
      <c r="K641" s="59"/>
      <c r="L641" s="5"/>
      <c r="M641" s="5"/>
      <c r="N641" s="5"/>
      <c r="O641" s="5"/>
      <c r="P641" s="5"/>
      <c r="Q641" s="5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23.25" customHeight="1" x14ac:dyDescent="0.3">
      <c r="A642" s="56"/>
      <c r="B642" s="31"/>
      <c r="C642" s="5"/>
      <c r="D642" s="5"/>
      <c r="E642" s="5"/>
      <c r="F642" s="5"/>
      <c r="G642" s="5"/>
      <c r="H642" s="57"/>
      <c r="I642" s="58"/>
      <c r="J642" s="58"/>
      <c r="K642" s="59"/>
      <c r="L642" s="5"/>
      <c r="M642" s="5"/>
      <c r="N642" s="5"/>
      <c r="O642" s="5"/>
      <c r="P642" s="5"/>
      <c r="Q642" s="5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23.25" customHeight="1" x14ac:dyDescent="0.3">
      <c r="A643" s="56"/>
      <c r="B643" s="31"/>
      <c r="C643" s="5"/>
      <c r="D643" s="5"/>
      <c r="E643" s="5"/>
      <c r="F643" s="5"/>
      <c r="G643" s="5"/>
      <c r="H643" s="57"/>
      <c r="I643" s="58"/>
      <c r="J643" s="58"/>
      <c r="K643" s="59"/>
      <c r="L643" s="5"/>
      <c r="M643" s="5"/>
      <c r="N643" s="5"/>
      <c r="O643" s="5"/>
      <c r="P643" s="5"/>
      <c r="Q643" s="5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23.25" customHeight="1" x14ac:dyDescent="0.3">
      <c r="A644" s="56"/>
      <c r="B644" s="31"/>
      <c r="C644" s="5"/>
      <c r="D644" s="5"/>
      <c r="E644" s="5"/>
      <c r="F644" s="5"/>
      <c r="G644" s="5"/>
      <c r="H644" s="57"/>
      <c r="I644" s="58"/>
      <c r="J644" s="58"/>
      <c r="K644" s="59"/>
      <c r="L644" s="5"/>
      <c r="M644" s="5"/>
      <c r="N644" s="5"/>
      <c r="O644" s="5"/>
      <c r="P644" s="5"/>
      <c r="Q644" s="5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23.25" customHeight="1" x14ac:dyDescent="0.3">
      <c r="A645" s="56"/>
      <c r="B645" s="31"/>
      <c r="C645" s="5"/>
      <c r="D645" s="5"/>
      <c r="E645" s="5"/>
      <c r="F645" s="5"/>
      <c r="G645" s="5"/>
      <c r="H645" s="57"/>
      <c r="I645" s="58"/>
      <c r="J645" s="58"/>
      <c r="K645" s="59"/>
      <c r="L645" s="5"/>
      <c r="M645" s="5"/>
      <c r="N645" s="5"/>
      <c r="O645" s="5"/>
      <c r="P645" s="5"/>
      <c r="Q645" s="5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23.25" customHeight="1" x14ac:dyDescent="0.3">
      <c r="A646" s="56"/>
      <c r="B646" s="31"/>
      <c r="C646" s="5"/>
      <c r="D646" s="5"/>
      <c r="E646" s="5"/>
      <c r="F646" s="5"/>
      <c r="G646" s="5"/>
      <c r="H646" s="57"/>
      <c r="I646" s="58"/>
      <c r="J646" s="58"/>
      <c r="K646" s="59"/>
      <c r="L646" s="5"/>
      <c r="M646" s="5"/>
      <c r="N646" s="5"/>
      <c r="O646" s="5"/>
      <c r="P646" s="5"/>
      <c r="Q646" s="5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23.25" customHeight="1" x14ac:dyDescent="0.3">
      <c r="A647" s="56"/>
      <c r="B647" s="31"/>
      <c r="C647" s="5"/>
      <c r="D647" s="5"/>
      <c r="E647" s="5"/>
      <c r="F647" s="5"/>
      <c r="G647" s="5"/>
      <c r="H647" s="57"/>
      <c r="I647" s="58"/>
      <c r="J647" s="58"/>
      <c r="K647" s="59"/>
      <c r="L647" s="5"/>
      <c r="M647" s="5"/>
      <c r="N647" s="5"/>
      <c r="O647" s="5"/>
      <c r="P647" s="5"/>
      <c r="Q647" s="5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23.25" customHeight="1" x14ac:dyDescent="0.3">
      <c r="A648" s="56"/>
      <c r="B648" s="31"/>
      <c r="C648" s="5"/>
      <c r="D648" s="5"/>
      <c r="E648" s="5"/>
      <c r="F648" s="5"/>
      <c r="G648" s="5"/>
      <c r="H648" s="57"/>
      <c r="I648" s="58"/>
      <c r="J648" s="58"/>
      <c r="K648" s="59"/>
      <c r="L648" s="5"/>
      <c r="M648" s="5"/>
      <c r="N648" s="5"/>
      <c r="O648" s="5"/>
      <c r="P648" s="5"/>
      <c r="Q648" s="5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23.25" customHeight="1" x14ac:dyDescent="0.3">
      <c r="A649" s="56"/>
      <c r="B649" s="31"/>
      <c r="C649" s="5"/>
      <c r="D649" s="5"/>
      <c r="E649" s="5"/>
      <c r="F649" s="5"/>
      <c r="G649" s="5"/>
      <c r="H649" s="57"/>
      <c r="I649" s="58"/>
      <c r="J649" s="58"/>
      <c r="K649" s="59"/>
      <c r="L649" s="5"/>
      <c r="M649" s="5"/>
      <c r="N649" s="5"/>
      <c r="O649" s="5"/>
      <c r="P649" s="5"/>
      <c r="Q649" s="5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23.25" customHeight="1" x14ac:dyDescent="0.3">
      <c r="A650" s="56"/>
      <c r="B650" s="31"/>
      <c r="C650" s="5"/>
      <c r="D650" s="5"/>
      <c r="E650" s="5"/>
      <c r="F650" s="5"/>
      <c r="G650" s="5"/>
      <c r="H650" s="57"/>
      <c r="I650" s="58"/>
      <c r="J650" s="58"/>
      <c r="K650" s="59"/>
      <c r="L650" s="5"/>
      <c r="M650" s="5"/>
      <c r="N650" s="5"/>
      <c r="O650" s="5"/>
      <c r="P650" s="5"/>
      <c r="Q650" s="5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23.25" customHeight="1" x14ac:dyDescent="0.3">
      <c r="A651" s="56"/>
      <c r="B651" s="31"/>
      <c r="C651" s="5"/>
      <c r="D651" s="5"/>
      <c r="E651" s="5"/>
      <c r="F651" s="5"/>
      <c r="G651" s="5"/>
      <c r="H651" s="57"/>
      <c r="I651" s="58"/>
      <c r="J651" s="58"/>
      <c r="K651" s="59"/>
      <c r="L651" s="5"/>
      <c r="M651" s="5"/>
      <c r="N651" s="5"/>
      <c r="O651" s="5"/>
      <c r="P651" s="5"/>
      <c r="Q651" s="5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23.25" customHeight="1" x14ac:dyDescent="0.3">
      <c r="A652" s="56"/>
      <c r="B652" s="31"/>
      <c r="C652" s="5"/>
      <c r="D652" s="5"/>
      <c r="E652" s="5"/>
      <c r="F652" s="5"/>
      <c r="G652" s="5"/>
      <c r="H652" s="57"/>
      <c r="I652" s="58"/>
      <c r="J652" s="58"/>
      <c r="K652" s="59"/>
      <c r="L652" s="5"/>
      <c r="M652" s="5"/>
      <c r="N652" s="5"/>
      <c r="O652" s="5"/>
      <c r="P652" s="5"/>
      <c r="Q652" s="5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23.25" customHeight="1" x14ac:dyDescent="0.3">
      <c r="A653" s="56"/>
      <c r="B653" s="31"/>
      <c r="C653" s="5"/>
      <c r="D653" s="5"/>
      <c r="E653" s="5"/>
      <c r="F653" s="5"/>
      <c r="G653" s="5"/>
      <c r="H653" s="57"/>
      <c r="I653" s="58"/>
      <c r="J653" s="58"/>
      <c r="K653" s="59"/>
      <c r="L653" s="5"/>
      <c r="M653" s="5"/>
      <c r="N653" s="5"/>
      <c r="O653" s="5"/>
      <c r="P653" s="5"/>
      <c r="Q653" s="5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23.25" customHeight="1" x14ac:dyDescent="0.3">
      <c r="A654" s="56"/>
      <c r="B654" s="31"/>
      <c r="C654" s="5"/>
      <c r="D654" s="5"/>
      <c r="E654" s="5"/>
      <c r="F654" s="5"/>
      <c r="G654" s="5"/>
      <c r="H654" s="57"/>
      <c r="I654" s="58"/>
      <c r="J654" s="58"/>
      <c r="K654" s="59"/>
      <c r="L654" s="5"/>
      <c r="M654" s="5"/>
      <c r="N654" s="5"/>
      <c r="O654" s="5"/>
      <c r="P654" s="5"/>
      <c r="Q654" s="5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23.25" customHeight="1" x14ac:dyDescent="0.3">
      <c r="A655" s="56"/>
      <c r="B655" s="31"/>
      <c r="C655" s="5"/>
      <c r="D655" s="5"/>
      <c r="E655" s="5"/>
      <c r="F655" s="5"/>
      <c r="G655" s="5"/>
      <c r="H655" s="57"/>
      <c r="I655" s="58"/>
      <c r="J655" s="58"/>
      <c r="K655" s="59"/>
      <c r="L655" s="5"/>
      <c r="M655" s="5"/>
      <c r="N655" s="5"/>
      <c r="O655" s="5"/>
      <c r="P655" s="5"/>
      <c r="Q655" s="5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23.25" customHeight="1" x14ac:dyDescent="0.3">
      <c r="A656" s="56"/>
      <c r="B656" s="31"/>
      <c r="C656" s="5"/>
      <c r="D656" s="5"/>
      <c r="E656" s="5"/>
      <c r="F656" s="5"/>
      <c r="G656" s="5"/>
      <c r="H656" s="57"/>
      <c r="I656" s="58"/>
      <c r="J656" s="58"/>
      <c r="K656" s="59"/>
      <c r="L656" s="5"/>
      <c r="M656" s="5"/>
      <c r="N656" s="5"/>
      <c r="O656" s="5"/>
      <c r="P656" s="5"/>
      <c r="Q656" s="5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23.25" customHeight="1" x14ac:dyDescent="0.3">
      <c r="A657" s="56"/>
      <c r="B657" s="31"/>
      <c r="C657" s="5"/>
      <c r="D657" s="5"/>
      <c r="E657" s="5"/>
      <c r="F657" s="5"/>
      <c r="G657" s="5"/>
      <c r="H657" s="57"/>
      <c r="I657" s="58"/>
      <c r="J657" s="58"/>
      <c r="K657" s="59"/>
      <c r="L657" s="5"/>
      <c r="M657" s="5"/>
      <c r="N657" s="5"/>
      <c r="O657" s="5"/>
      <c r="P657" s="5"/>
      <c r="Q657" s="5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23.25" customHeight="1" x14ac:dyDescent="0.3">
      <c r="A658" s="56"/>
      <c r="B658" s="31"/>
      <c r="C658" s="5"/>
      <c r="D658" s="5"/>
      <c r="E658" s="5"/>
      <c r="F658" s="5"/>
      <c r="G658" s="5"/>
      <c r="H658" s="57"/>
      <c r="I658" s="58"/>
      <c r="J658" s="58"/>
      <c r="K658" s="59"/>
      <c r="L658" s="5"/>
      <c r="M658" s="5"/>
      <c r="N658" s="5"/>
      <c r="O658" s="5"/>
      <c r="P658" s="5"/>
      <c r="Q658" s="5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23.25" customHeight="1" x14ac:dyDescent="0.3">
      <c r="A659" s="56"/>
      <c r="B659" s="31"/>
      <c r="C659" s="5"/>
      <c r="D659" s="5"/>
      <c r="E659" s="5"/>
      <c r="F659" s="5"/>
      <c r="G659" s="5"/>
      <c r="H659" s="57"/>
      <c r="I659" s="58"/>
      <c r="J659" s="58"/>
      <c r="K659" s="59"/>
      <c r="L659" s="5"/>
      <c r="M659" s="5"/>
      <c r="N659" s="5"/>
      <c r="O659" s="5"/>
      <c r="P659" s="5"/>
      <c r="Q659" s="5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23.25" customHeight="1" x14ac:dyDescent="0.3">
      <c r="A660" s="56"/>
      <c r="B660" s="31"/>
      <c r="C660" s="5"/>
      <c r="D660" s="5"/>
      <c r="E660" s="5"/>
      <c r="F660" s="5"/>
      <c r="G660" s="5"/>
      <c r="H660" s="57"/>
      <c r="I660" s="58"/>
      <c r="J660" s="58"/>
      <c r="K660" s="59"/>
      <c r="L660" s="5"/>
      <c r="M660" s="5"/>
      <c r="N660" s="5"/>
      <c r="O660" s="5"/>
      <c r="P660" s="5"/>
      <c r="Q660" s="5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23.25" customHeight="1" x14ac:dyDescent="0.3">
      <c r="A661" s="56"/>
      <c r="B661" s="31"/>
      <c r="C661" s="5"/>
      <c r="D661" s="5"/>
      <c r="E661" s="5"/>
      <c r="F661" s="5"/>
      <c r="G661" s="5"/>
      <c r="H661" s="57"/>
      <c r="I661" s="58"/>
      <c r="J661" s="58"/>
      <c r="K661" s="59"/>
      <c r="L661" s="5"/>
      <c r="M661" s="5"/>
      <c r="N661" s="5"/>
      <c r="O661" s="5"/>
      <c r="P661" s="5"/>
      <c r="Q661" s="5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23.25" customHeight="1" x14ac:dyDescent="0.3">
      <c r="A662" s="56"/>
      <c r="B662" s="31"/>
      <c r="C662" s="5"/>
      <c r="D662" s="5"/>
      <c r="E662" s="5"/>
      <c r="F662" s="5"/>
      <c r="G662" s="5"/>
      <c r="H662" s="57"/>
      <c r="I662" s="58"/>
      <c r="J662" s="58"/>
      <c r="K662" s="59"/>
      <c r="L662" s="5"/>
      <c r="M662" s="5"/>
      <c r="N662" s="5"/>
      <c r="O662" s="5"/>
      <c r="P662" s="5"/>
      <c r="Q662" s="5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23.25" customHeight="1" x14ac:dyDescent="0.3">
      <c r="A663" s="56"/>
      <c r="B663" s="31"/>
      <c r="C663" s="5"/>
      <c r="D663" s="5"/>
      <c r="E663" s="5"/>
      <c r="F663" s="5"/>
      <c r="G663" s="5"/>
      <c r="H663" s="57"/>
      <c r="I663" s="58"/>
      <c r="J663" s="58"/>
      <c r="K663" s="59"/>
      <c r="L663" s="5"/>
      <c r="M663" s="5"/>
      <c r="N663" s="5"/>
      <c r="O663" s="5"/>
      <c r="P663" s="5"/>
      <c r="Q663" s="5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23.25" customHeight="1" x14ac:dyDescent="0.3">
      <c r="A664" s="56"/>
      <c r="B664" s="31"/>
      <c r="C664" s="5"/>
      <c r="D664" s="5"/>
      <c r="E664" s="5"/>
      <c r="F664" s="5"/>
      <c r="G664" s="5"/>
      <c r="H664" s="57"/>
      <c r="I664" s="58"/>
      <c r="J664" s="58"/>
      <c r="K664" s="59"/>
      <c r="L664" s="5"/>
      <c r="M664" s="5"/>
      <c r="N664" s="5"/>
      <c r="O664" s="5"/>
      <c r="P664" s="5"/>
      <c r="Q664" s="5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23.25" customHeight="1" x14ac:dyDescent="0.3">
      <c r="A665" s="56"/>
      <c r="B665" s="31"/>
      <c r="C665" s="5"/>
      <c r="D665" s="5"/>
      <c r="E665" s="5"/>
      <c r="F665" s="5"/>
      <c r="G665" s="5"/>
      <c r="H665" s="57"/>
      <c r="I665" s="58"/>
      <c r="J665" s="58"/>
      <c r="K665" s="59"/>
      <c r="L665" s="5"/>
      <c r="M665" s="5"/>
      <c r="N665" s="5"/>
      <c r="O665" s="5"/>
      <c r="P665" s="5"/>
      <c r="Q665" s="5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23.25" customHeight="1" x14ac:dyDescent="0.3">
      <c r="A666" s="56"/>
      <c r="B666" s="31"/>
      <c r="C666" s="5"/>
      <c r="D666" s="5"/>
      <c r="E666" s="5"/>
      <c r="F666" s="5"/>
      <c r="G666" s="5"/>
      <c r="H666" s="57"/>
      <c r="I666" s="58"/>
      <c r="J666" s="58"/>
      <c r="K666" s="59"/>
      <c r="L666" s="5"/>
      <c r="M666" s="5"/>
      <c r="N666" s="5"/>
      <c r="O666" s="5"/>
      <c r="P666" s="5"/>
      <c r="Q666" s="5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23.25" customHeight="1" x14ac:dyDescent="0.3">
      <c r="A667" s="56"/>
      <c r="B667" s="31"/>
      <c r="C667" s="5"/>
      <c r="D667" s="5"/>
      <c r="E667" s="5"/>
      <c r="F667" s="5"/>
      <c r="G667" s="5"/>
      <c r="H667" s="57"/>
      <c r="I667" s="58"/>
      <c r="J667" s="58"/>
      <c r="K667" s="59"/>
      <c r="L667" s="5"/>
      <c r="M667" s="5"/>
      <c r="N667" s="5"/>
      <c r="O667" s="5"/>
      <c r="P667" s="5"/>
      <c r="Q667" s="5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23.25" customHeight="1" x14ac:dyDescent="0.3">
      <c r="A668" s="56"/>
      <c r="B668" s="31"/>
      <c r="C668" s="5"/>
      <c r="D668" s="5"/>
      <c r="E668" s="5"/>
      <c r="F668" s="5"/>
      <c r="G668" s="5"/>
      <c r="H668" s="57"/>
      <c r="I668" s="58"/>
      <c r="J668" s="58"/>
      <c r="K668" s="59"/>
      <c r="L668" s="5"/>
      <c r="M668" s="5"/>
      <c r="N668" s="5"/>
      <c r="O668" s="5"/>
      <c r="P668" s="5"/>
      <c r="Q668" s="5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23.25" customHeight="1" x14ac:dyDescent="0.3">
      <c r="A669" s="56"/>
      <c r="B669" s="31"/>
      <c r="C669" s="5"/>
      <c r="D669" s="5"/>
      <c r="E669" s="5"/>
      <c r="F669" s="5"/>
      <c r="G669" s="5"/>
      <c r="H669" s="57"/>
      <c r="I669" s="58"/>
      <c r="J669" s="58"/>
      <c r="K669" s="59"/>
      <c r="L669" s="5"/>
      <c r="M669" s="5"/>
      <c r="N669" s="5"/>
      <c r="O669" s="5"/>
      <c r="P669" s="5"/>
      <c r="Q669" s="5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23.25" customHeight="1" x14ac:dyDescent="0.3">
      <c r="A670" s="56"/>
      <c r="B670" s="31"/>
      <c r="C670" s="5"/>
      <c r="D670" s="5"/>
      <c r="E670" s="5"/>
      <c r="F670" s="5"/>
      <c r="G670" s="5"/>
      <c r="H670" s="57"/>
      <c r="I670" s="58"/>
      <c r="J670" s="58"/>
      <c r="K670" s="59"/>
      <c r="L670" s="5"/>
      <c r="M670" s="5"/>
      <c r="N670" s="5"/>
      <c r="O670" s="5"/>
      <c r="P670" s="5"/>
      <c r="Q670" s="5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23.25" customHeight="1" x14ac:dyDescent="0.3">
      <c r="A671" s="56"/>
      <c r="B671" s="31"/>
      <c r="C671" s="5"/>
      <c r="D671" s="5"/>
      <c r="E671" s="5"/>
      <c r="F671" s="5"/>
      <c r="G671" s="5"/>
      <c r="H671" s="57"/>
      <c r="I671" s="58"/>
      <c r="J671" s="58"/>
      <c r="K671" s="59"/>
      <c r="L671" s="5"/>
      <c r="M671" s="5"/>
      <c r="N671" s="5"/>
      <c r="O671" s="5"/>
      <c r="P671" s="5"/>
      <c r="Q671" s="5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23.25" customHeight="1" x14ac:dyDescent="0.3">
      <c r="A672" s="56"/>
      <c r="B672" s="31"/>
      <c r="C672" s="5"/>
      <c r="D672" s="5"/>
      <c r="E672" s="5"/>
      <c r="F672" s="5"/>
      <c r="G672" s="5"/>
      <c r="H672" s="57"/>
      <c r="I672" s="58"/>
      <c r="J672" s="58"/>
      <c r="K672" s="59"/>
      <c r="L672" s="5"/>
      <c r="M672" s="5"/>
      <c r="N672" s="5"/>
      <c r="O672" s="5"/>
      <c r="P672" s="5"/>
      <c r="Q672" s="5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23.25" customHeight="1" x14ac:dyDescent="0.3">
      <c r="A673" s="56"/>
      <c r="B673" s="31"/>
      <c r="C673" s="5"/>
      <c r="D673" s="5"/>
      <c r="E673" s="5"/>
      <c r="F673" s="5"/>
      <c r="G673" s="5"/>
      <c r="H673" s="57"/>
      <c r="I673" s="58"/>
      <c r="J673" s="58"/>
      <c r="K673" s="59"/>
      <c r="L673" s="5"/>
      <c r="M673" s="5"/>
      <c r="N673" s="5"/>
      <c r="O673" s="5"/>
      <c r="P673" s="5"/>
      <c r="Q673" s="5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23.25" customHeight="1" x14ac:dyDescent="0.3">
      <c r="A674" s="56"/>
      <c r="B674" s="31"/>
      <c r="C674" s="5"/>
      <c r="D674" s="5"/>
      <c r="E674" s="5"/>
      <c r="F674" s="5"/>
      <c r="G674" s="5"/>
      <c r="H674" s="57"/>
      <c r="I674" s="58"/>
      <c r="J674" s="58"/>
      <c r="K674" s="59"/>
      <c r="L674" s="5"/>
      <c r="M674" s="5"/>
      <c r="N674" s="5"/>
      <c r="O674" s="5"/>
      <c r="P674" s="5"/>
      <c r="Q674" s="5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23.25" customHeight="1" x14ac:dyDescent="0.3">
      <c r="A675" s="56"/>
      <c r="B675" s="31"/>
      <c r="C675" s="5"/>
      <c r="D675" s="5"/>
      <c r="E675" s="5"/>
      <c r="F675" s="5"/>
      <c r="G675" s="5"/>
      <c r="H675" s="57"/>
      <c r="I675" s="58"/>
      <c r="J675" s="58"/>
      <c r="K675" s="59"/>
      <c r="L675" s="5"/>
      <c r="M675" s="5"/>
      <c r="N675" s="5"/>
      <c r="O675" s="5"/>
      <c r="P675" s="5"/>
      <c r="Q675" s="5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23.25" customHeight="1" x14ac:dyDescent="0.3">
      <c r="A676" s="56"/>
      <c r="B676" s="31"/>
      <c r="C676" s="5"/>
      <c r="D676" s="5"/>
      <c r="E676" s="5"/>
      <c r="F676" s="5"/>
      <c r="G676" s="5"/>
      <c r="H676" s="57"/>
      <c r="I676" s="58"/>
      <c r="J676" s="58"/>
      <c r="K676" s="59"/>
      <c r="L676" s="5"/>
      <c r="M676" s="5"/>
      <c r="N676" s="5"/>
      <c r="O676" s="5"/>
      <c r="P676" s="5"/>
      <c r="Q676" s="5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23.25" customHeight="1" x14ac:dyDescent="0.3">
      <c r="A677" s="56"/>
      <c r="B677" s="31"/>
      <c r="C677" s="5"/>
      <c r="D677" s="5"/>
      <c r="E677" s="5"/>
      <c r="F677" s="5"/>
      <c r="G677" s="5"/>
      <c r="H677" s="57"/>
      <c r="I677" s="58"/>
      <c r="J677" s="58"/>
      <c r="K677" s="59"/>
      <c r="L677" s="5"/>
      <c r="M677" s="5"/>
      <c r="N677" s="5"/>
      <c r="O677" s="5"/>
      <c r="P677" s="5"/>
      <c r="Q677" s="5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23.25" customHeight="1" x14ac:dyDescent="0.3">
      <c r="A678" s="56"/>
      <c r="B678" s="31"/>
      <c r="C678" s="5"/>
      <c r="D678" s="5"/>
      <c r="E678" s="5"/>
      <c r="F678" s="5"/>
      <c r="G678" s="5"/>
      <c r="H678" s="57"/>
      <c r="I678" s="58"/>
      <c r="J678" s="58"/>
      <c r="K678" s="59"/>
      <c r="L678" s="5"/>
      <c r="M678" s="5"/>
      <c r="N678" s="5"/>
      <c r="O678" s="5"/>
      <c r="P678" s="5"/>
      <c r="Q678" s="5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23.25" customHeight="1" x14ac:dyDescent="0.3">
      <c r="A679" s="56"/>
      <c r="B679" s="31"/>
      <c r="C679" s="5"/>
      <c r="D679" s="5"/>
      <c r="E679" s="5"/>
      <c r="F679" s="5"/>
      <c r="G679" s="5"/>
      <c r="H679" s="57"/>
      <c r="I679" s="58"/>
      <c r="J679" s="58"/>
      <c r="K679" s="59"/>
      <c r="L679" s="5"/>
      <c r="M679" s="5"/>
      <c r="N679" s="5"/>
      <c r="O679" s="5"/>
      <c r="P679" s="5"/>
      <c r="Q679" s="5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23.25" customHeight="1" x14ac:dyDescent="0.3">
      <c r="A680" s="56"/>
      <c r="B680" s="31"/>
      <c r="C680" s="5"/>
      <c r="D680" s="5"/>
      <c r="E680" s="5"/>
      <c r="F680" s="5"/>
      <c r="G680" s="5"/>
      <c r="H680" s="57"/>
      <c r="I680" s="58"/>
      <c r="J680" s="58"/>
      <c r="K680" s="59"/>
      <c r="L680" s="5"/>
      <c r="M680" s="5"/>
      <c r="N680" s="5"/>
      <c r="O680" s="5"/>
      <c r="P680" s="5"/>
      <c r="Q680" s="5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23.25" customHeight="1" x14ac:dyDescent="0.3">
      <c r="A681" s="56"/>
      <c r="B681" s="31"/>
      <c r="C681" s="5"/>
      <c r="D681" s="5"/>
      <c r="E681" s="5"/>
      <c r="F681" s="5"/>
      <c r="G681" s="5"/>
      <c r="H681" s="57"/>
      <c r="I681" s="58"/>
      <c r="J681" s="58"/>
      <c r="K681" s="59"/>
      <c r="L681" s="5"/>
      <c r="M681" s="5"/>
      <c r="N681" s="5"/>
      <c r="O681" s="5"/>
      <c r="P681" s="5"/>
      <c r="Q681" s="5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23.25" customHeight="1" x14ac:dyDescent="0.3">
      <c r="A682" s="56"/>
      <c r="B682" s="31"/>
      <c r="C682" s="5"/>
      <c r="D682" s="5"/>
      <c r="E682" s="5"/>
      <c r="F682" s="5"/>
      <c r="G682" s="5"/>
      <c r="H682" s="57"/>
      <c r="I682" s="58"/>
      <c r="J682" s="58"/>
      <c r="K682" s="59"/>
      <c r="L682" s="5"/>
      <c r="M682" s="5"/>
      <c r="N682" s="5"/>
      <c r="O682" s="5"/>
      <c r="P682" s="5"/>
      <c r="Q682" s="5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23.25" customHeight="1" x14ac:dyDescent="0.3">
      <c r="A683" s="56"/>
      <c r="B683" s="31"/>
      <c r="C683" s="5"/>
      <c r="D683" s="5"/>
      <c r="E683" s="5"/>
      <c r="F683" s="5"/>
      <c r="G683" s="5"/>
      <c r="H683" s="57"/>
      <c r="I683" s="58"/>
      <c r="J683" s="58"/>
      <c r="K683" s="59"/>
      <c r="L683" s="5"/>
      <c r="M683" s="5"/>
      <c r="N683" s="5"/>
      <c r="O683" s="5"/>
      <c r="P683" s="5"/>
      <c r="Q683" s="5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23.25" customHeight="1" x14ac:dyDescent="0.3">
      <c r="A684" s="56"/>
      <c r="B684" s="31"/>
      <c r="C684" s="5"/>
      <c r="D684" s="5"/>
      <c r="E684" s="5"/>
      <c r="F684" s="5"/>
      <c r="G684" s="5"/>
      <c r="H684" s="57"/>
      <c r="I684" s="58"/>
      <c r="J684" s="58"/>
      <c r="K684" s="59"/>
      <c r="L684" s="5"/>
      <c r="M684" s="5"/>
      <c r="N684" s="5"/>
      <c r="O684" s="5"/>
      <c r="P684" s="5"/>
      <c r="Q684" s="5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23.25" customHeight="1" x14ac:dyDescent="0.3">
      <c r="A685" s="56"/>
      <c r="B685" s="31"/>
      <c r="C685" s="5"/>
      <c r="D685" s="5"/>
      <c r="E685" s="5"/>
      <c r="F685" s="5"/>
      <c r="G685" s="5"/>
      <c r="H685" s="57"/>
      <c r="I685" s="58"/>
      <c r="J685" s="58"/>
      <c r="K685" s="59"/>
      <c r="L685" s="5"/>
      <c r="M685" s="5"/>
      <c r="N685" s="5"/>
      <c r="O685" s="5"/>
      <c r="P685" s="5"/>
      <c r="Q685" s="5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23.25" customHeight="1" x14ac:dyDescent="0.3">
      <c r="A686" s="56"/>
      <c r="B686" s="31"/>
      <c r="C686" s="5"/>
      <c r="D686" s="5"/>
      <c r="E686" s="5"/>
      <c r="F686" s="5"/>
      <c r="G686" s="5"/>
      <c r="H686" s="57"/>
      <c r="I686" s="58"/>
      <c r="J686" s="58"/>
      <c r="K686" s="59"/>
      <c r="L686" s="5"/>
      <c r="M686" s="5"/>
      <c r="N686" s="5"/>
      <c r="O686" s="5"/>
      <c r="P686" s="5"/>
      <c r="Q686" s="5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23.25" customHeight="1" x14ac:dyDescent="0.3">
      <c r="A687" s="56"/>
      <c r="B687" s="31"/>
      <c r="C687" s="5"/>
      <c r="D687" s="5"/>
      <c r="E687" s="5"/>
      <c r="F687" s="5"/>
      <c r="G687" s="5"/>
      <c r="H687" s="57"/>
      <c r="I687" s="58"/>
      <c r="J687" s="58"/>
      <c r="K687" s="59"/>
      <c r="L687" s="5"/>
      <c r="M687" s="5"/>
      <c r="N687" s="5"/>
      <c r="O687" s="5"/>
      <c r="P687" s="5"/>
      <c r="Q687" s="5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23.25" customHeight="1" x14ac:dyDescent="0.3">
      <c r="A688" s="56"/>
      <c r="B688" s="31"/>
      <c r="C688" s="5"/>
      <c r="D688" s="5"/>
      <c r="E688" s="5"/>
      <c r="F688" s="5"/>
      <c r="G688" s="5"/>
      <c r="H688" s="57"/>
      <c r="I688" s="58"/>
      <c r="J688" s="58"/>
      <c r="K688" s="59"/>
      <c r="L688" s="5"/>
      <c r="M688" s="5"/>
      <c r="N688" s="5"/>
      <c r="O688" s="5"/>
      <c r="P688" s="5"/>
      <c r="Q688" s="5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23.25" customHeight="1" x14ac:dyDescent="0.3">
      <c r="A689" s="56"/>
      <c r="B689" s="31"/>
      <c r="C689" s="5"/>
      <c r="D689" s="5"/>
      <c r="E689" s="5"/>
      <c r="F689" s="5"/>
      <c r="G689" s="5"/>
      <c r="H689" s="57"/>
      <c r="I689" s="58"/>
      <c r="J689" s="58"/>
      <c r="K689" s="59"/>
      <c r="L689" s="5"/>
      <c r="M689" s="5"/>
      <c r="N689" s="5"/>
      <c r="O689" s="5"/>
      <c r="P689" s="5"/>
      <c r="Q689" s="5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23.25" customHeight="1" x14ac:dyDescent="0.3">
      <c r="A690" s="56"/>
      <c r="B690" s="31"/>
      <c r="C690" s="5"/>
      <c r="D690" s="5"/>
      <c r="E690" s="5"/>
      <c r="F690" s="5"/>
      <c r="G690" s="5"/>
      <c r="H690" s="57"/>
      <c r="I690" s="58"/>
      <c r="J690" s="58"/>
      <c r="K690" s="59"/>
      <c r="L690" s="5"/>
      <c r="M690" s="5"/>
      <c r="N690" s="5"/>
      <c r="O690" s="5"/>
      <c r="P690" s="5"/>
      <c r="Q690" s="5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23.25" customHeight="1" x14ac:dyDescent="0.3">
      <c r="A691" s="56"/>
      <c r="B691" s="31"/>
      <c r="C691" s="5"/>
      <c r="D691" s="5"/>
      <c r="E691" s="5"/>
      <c r="F691" s="5"/>
      <c r="G691" s="5"/>
      <c r="H691" s="57"/>
      <c r="I691" s="58"/>
      <c r="J691" s="58"/>
      <c r="K691" s="59"/>
      <c r="L691" s="5"/>
      <c r="M691" s="5"/>
      <c r="N691" s="5"/>
      <c r="O691" s="5"/>
      <c r="P691" s="5"/>
      <c r="Q691" s="5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23.25" customHeight="1" x14ac:dyDescent="0.3">
      <c r="A692" s="56"/>
      <c r="B692" s="31"/>
      <c r="C692" s="5"/>
      <c r="D692" s="5"/>
      <c r="E692" s="5"/>
      <c r="F692" s="5"/>
      <c r="G692" s="5"/>
      <c r="H692" s="57"/>
      <c r="I692" s="58"/>
      <c r="J692" s="58"/>
      <c r="K692" s="59"/>
      <c r="L692" s="5"/>
      <c r="M692" s="5"/>
      <c r="N692" s="5"/>
      <c r="O692" s="5"/>
      <c r="P692" s="5"/>
      <c r="Q692" s="5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23.25" customHeight="1" x14ac:dyDescent="0.3">
      <c r="A693" s="56"/>
      <c r="B693" s="31"/>
      <c r="C693" s="5"/>
      <c r="D693" s="5"/>
      <c r="E693" s="5"/>
      <c r="F693" s="5"/>
      <c r="G693" s="5"/>
      <c r="H693" s="57"/>
      <c r="I693" s="58"/>
      <c r="J693" s="58"/>
      <c r="K693" s="59"/>
      <c r="L693" s="5"/>
      <c r="M693" s="5"/>
      <c r="N693" s="5"/>
      <c r="O693" s="5"/>
      <c r="P693" s="5"/>
      <c r="Q693" s="5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23.25" customHeight="1" x14ac:dyDescent="0.3">
      <c r="A694" s="56"/>
      <c r="B694" s="31"/>
      <c r="C694" s="5"/>
      <c r="D694" s="5"/>
      <c r="E694" s="5"/>
      <c r="F694" s="5"/>
      <c r="G694" s="5"/>
      <c r="H694" s="57"/>
      <c r="I694" s="58"/>
      <c r="J694" s="58"/>
      <c r="K694" s="59"/>
      <c r="L694" s="5"/>
      <c r="M694" s="5"/>
      <c r="N694" s="5"/>
      <c r="O694" s="5"/>
      <c r="P694" s="5"/>
      <c r="Q694" s="5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23.25" customHeight="1" x14ac:dyDescent="0.3">
      <c r="A695" s="56"/>
      <c r="B695" s="31"/>
      <c r="C695" s="5"/>
      <c r="D695" s="5"/>
      <c r="E695" s="5"/>
      <c r="F695" s="5"/>
      <c r="G695" s="5"/>
      <c r="H695" s="57"/>
      <c r="I695" s="58"/>
      <c r="J695" s="58"/>
      <c r="K695" s="59"/>
      <c r="L695" s="5"/>
      <c r="M695" s="5"/>
      <c r="N695" s="5"/>
      <c r="O695" s="5"/>
      <c r="P695" s="5"/>
      <c r="Q695" s="5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23.25" customHeight="1" x14ac:dyDescent="0.3">
      <c r="A696" s="56"/>
      <c r="B696" s="31"/>
      <c r="C696" s="5"/>
      <c r="D696" s="5"/>
      <c r="E696" s="5"/>
      <c r="F696" s="5"/>
      <c r="G696" s="5"/>
      <c r="H696" s="57"/>
      <c r="I696" s="58"/>
      <c r="J696" s="58"/>
      <c r="K696" s="59"/>
      <c r="L696" s="5"/>
      <c r="M696" s="5"/>
      <c r="N696" s="5"/>
      <c r="O696" s="5"/>
      <c r="P696" s="5"/>
      <c r="Q696" s="5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23.25" customHeight="1" x14ac:dyDescent="0.3">
      <c r="A697" s="56"/>
      <c r="B697" s="31"/>
      <c r="C697" s="5"/>
      <c r="D697" s="5"/>
      <c r="E697" s="5"/>
      <c r="F697" s="5"/>
      <c r="G697" s="5"/>
      <c r="H697" s="57"/>
      <c r="I697" s="58"/>
      <c r="J697" s="58"/>
      <c r="K697" s="59"/>
      <c r="L697" s="5"/>
      <c r="M697" s="5"/>
      <c r="N697" s="5"/>
      <c r="O697" s="5"/>
      <c r="P697" s="5"/>
      <c r="Q697" s="5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23.25" customHeight="1" x14ac:dyDescent="0.3">
      <c r="A698" s="56"/>
      <c r="B698" s="31"/>
      <c r="C698" s="5"/>
      <c r="D698" s="5"/>
      <c r="E698" s="5"/>
      <c r="F698" s="5"/>
      <c r="G698" s="5"/>
      <c r="H698" s="57"/>
      <c r="I698" s="58"/>
      <c r="J698" s="58"/>
      <c r="K698" s="59"/>
      <c r="L698" s="5"/>
      <c r="M698" s="5"/>
      <c r="N698" s="5"/>
      <c r="O698" s="5"/>
      <c r="P698" s="5"/>
      <c r="Q698" s="5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23.25" customHeight="1" x14ac:dyDescent="0.3">
      <c r="A699" s="56"/>
      <c r="B699" s="31"/>
      <c r="C699" s="5"/>
      <c r="D699" s="5"/>
      <c r="E699" s="5"/>
      <c r="F699" s="5"/>
      <c r="G699" s="5"/>
      <c r="H699" s="57"/>
      <c r="I699" s="58"/>
      <c r="J699" s="58"/>
      <c r="K699" s="59"/>
      <c r="L699" s="5"/>
      <c r="M699" s="5"/>
      <c r="N699" s="5"/>
      <c r="O699" s="5"/>
      <c r="P699" s="5"/>
      <c r="Q699" s="5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23.25" customHeight="1" x14ac:dyDescent="0.3">
      <c r="A700" s="56"/>
      <c r="B700" s="31"/>
      <c r="C700" s="5"/>
      <c r="D700" s="5"/>
      <c r="E700" s="5"/>
      <c r="F700" s="5"/>
      <c r="G700" s="5"/>
      <c r="H700" s="57"/>
      <c r="I700" s="58"/>
      <c r="J700" s="58"/>
      <c r="K700" s="59"/>
      <c r="L700" s="5"/>
      <c r="M700" s="5"/>
      <c r="N700" s="5"/>
      <c r="O700" s="5"/>
      <c r="P700" s="5"/>
      <c r="Q700" s="5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23.25" customHeight="1" x14ac:dyDescent="0.3">
      <c r="A701" s="56"/>
      <c r="B701" s="31"/>
      <c r="C701" s="5"/>
      <c r="D701" s="5"/>
      <c r="E701" s="5"/>
      <c r="F701" s="5"/>
      <c r="G701" s="5"/>
      <c r="H701" s="57"/>
      <c r="I701" s="58"/>
      <c r="J701" s="58"/>
      <c r="K701" s="59"/>
      <c r="L701" s="5"/>
      <c r="M701" s="5"/>
      <c r="N701" s="5"/>
      <c r="O701" s="5"/>
      <c r="P701" s="5"/>
      <c r="Q701" s="5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23.25" customHeight="1" x14ac:dyDescent="0.3">
      <c r="A702" s="56"/>
      <c r="B702" s="31"/>
      <c r="C702" s="5"/>
      <c r="D702" s="5"/>
      <c r="E702" s="5"/>
      <c r="F702" s="5"/>
      <c r="G702" s="5"/>
      <c r="H702" s="57"/>
      <c r="I702" s="58"/>
      <c r="J702" s="58"/>
      <c r="K702" s="59"/>
      <c r="L702" s="5"/>
      <c r="M702" s="5"/>
      <c r="N702" s="5"/>
      <c r="O702" s="5"/>
      <c r="P702" s="5"/>
      <c r="Q702" s="5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23.25" customHeight="1" x14ac:dyDescent="0.3">
      <c r="A703" s="56"/>
      <c r="B703" s="31"/>
      <c r="C703" s="5"/>
      <c r="D703" s="5"/>
      <c r="E703" s="5"/>
      <c r="F703" s="5"/>
      <c r="G703" s="5"/>
      <c r="H703" s="57"/>
      <c r="I703" s="58"/>
      <c r="J703" s="58"/>
      <c r="K703" s="59"/>
      <c r="L703" s="5"/>
      <c r="M703" s="5"/>
      <c r="N703" s="5"/>
      <c r="O703" s="5"/>
      <c r="P703" s="5"/>
      <c r="Q703" s="5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23.25" customHeight="1" x14ac:dyDescent="0.3">
      <c r="A704" s="56"/>
      <c r="B704" s="31"/>
      <c r="C704" s="5"/>
      <c r="D704" s="5"/>
      <c r="E704" s="5"/>
      <c r="F704" s="5"/>
      <c r="G704" s="5"/>
      <c r="H704" s="57"/>
      <c r="I704" s="58"/>
      <c r="J704" s="58"/>
      <c r="K704" s="59"/>
      <c r="L704" s="5"/>
      <c r="M704" s="5"/>
      <c r="N704" s="5"/>
      <c r="O704" s="5"/>
      <c r="P704" s="5"/>
      <c r="Q704" s="5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23.25" customHeight="1" x14ac:dyDescent="0.3">
      <c r="A705" s="56"/>
      <c r="B705" s="31"/>
      <c r="C705" s="5"/>
      <c r="D705" s="5"/>
      <c r="E705" s="5"/>
      <c r="F705" s="5"/>
      <c r="G705" s="5"/>
      <c r="H705" s="57"/>
      <c r="I705" s="58"/>
      <c r="J705" s="58"/>
      <c r="K705" s="59"/>
      <c r="L705" s="5"/>
      <c r="M705" s="5"/>
      <c r="N705" s="5"/>
      <c r="O705" s="5"/>
      <c r="P705" s="5"/>
      <c r="Q705" s="5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23.25" customHeight="1" x14ac:dyDescent="0.3">
      <c r="A706" s="56"/>
      <c r="B706" s="31"/>
      <c r="C706" s="5"/>
      <c r="D706" s="5"/>
      <c r="E706" s="5"/>
      <c r="F706" s="5"/>
      <c r="G706" s="5"/>
      <c r="H706" s="57"/>
      <c r="I706" s="58"/>
      <c r="J706" s="58"/>
      <c r="K706" s="59"/>
      <c r="L706" s="5"/>
      <c r="M706" s="5"/>
      <c r="N706" s="5"/>
      <c r="O706" s="5"/>
      <c r="P706" s="5"/>
      <c r="Q706" s="5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23.25" customHeight="1" x14ac:dyDescent="0.3">
      <c r="A707" s="56"/>
      <c r="B707" s="31"/>
      <c r="C707" s="5"/>
      <c r="D707" s="5"/>
      <c r="E707" s="5"/>
      <c r="F707" s="5"/>
      <c r="G707" s="5"/>
      <c r="H707" s="57"/>
      <c r="I707" s="58"/>
      <c r="J707" s="58"/>
      <c r="K707" s="59"/>
      <c r="L707" s="5"/>
      <c r="M707" s="5"/>
      <c r="N707" s="5"/>
      <c r="O707" s="5"/>
      <c r="P707" s="5"/>
      <c r="Q707" s="5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23.25" customHeight="1" x14ac:dyDescent="0.3">
      <c r="A708" s="56"/>
      <c r="B708" s="31"/>
      <c r="C708" s="5"/>
      <c r="D708" s="5"/>
      <c r="E708" s="5"/>
      <c r="F708" s="5"/>
      <c r="G708" s="5"/>
      <c r="H708" s="57"/>
      <c r="I708" s="58"/>
      <c r="J708" s="58"/>
      <c r="K708" s="59"/>
      <c r="L708" s="5"/>
      <c r="M708" s="5"/>
      <c r="N708" s="5"/>
      <c r="O708" s="5"/>
      <c r="P708" s="5"/>
      <c r="Q708" s="5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23.25" customHeight="1" x14ac:dyDescent="0.3">
      <c r="A709" s="56"/>
      <c r="B709" s="31"/>
      <c r="C709" s="5"/>
      <c r="D709" s="5"/>
      <c r="E709" s="5"/>
      <c r="F709" s="5"/>
      <c r="G709" s="5"/>
      <c r="H709" s="57"/>
      <c r="I709" s="58"/>
      <c r="J709" s="58"/>
      <c r="K709" s="59"/>
      <c r="L709" s="5"/>
      <c r="M709" s="5"/>
      <c r="N709" s="5"/>
      <c r="O709" s="5"/>
      <c r="P709" s="5"/>
      <c r="Q709" s="5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23.25" customHeight="1" x14ac:dyDescent="0.3">
      <c r="A710" s="56"/>
      <c r="B710" s="31"/>
      <c r="C710" s="5"/>
      <c r="D710" s="5"/>
      <c r="E710" s="5"/>
      <c r="F710" s="5"/>
      <c r="G710" s="5"/>
      <c r="H710" s="57"/>
      <c r="I710" s="58"/>
      <c r="J710" s="58"/>
      <c r="K710" s="59"/>
      <c r="L710" s="5"/>
      <c r="M710" s="5"/>
      <c r="N710" s="5"/>
      <c r="O710" s="5"/>
      <c r="P710" s="5"/>
      <c r="Q710" s="5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23.25" customHeight="1" x14ac:dyDescent="0.3">
      <c r="A711" s="56"/>
      <c r="B711" s="31"/>
      <c r="C711" s="5"/>
      <c r="D711" s="5"/>
      <c r="E711" s="5"/>
      <c r="F711" s="5"/>
      <c r="G711" s="5"/>
      <c r="H711" s="57"/>
      <c r="I711" s="58"/>
      <c r="J711" s="58"/>
      <c r="K711" s="59"/>
      <c r="L711" s="5"/>
      <c r="M711" s="5"/>
      <c r="N711" s="5"/>
      <c r="O711" s="5"/>
      <c r="P711" s="5"/>
      <c r="Q711" s="5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23.25" customHeight="1" x14ac:dyDescent="0.3">
      <c r="A712" s="56"/>
      <c r="B712" s="31"/>
      <c r="C712" s="5"/>
      <c r="D712" s="5"/>
      <c r="E712" s="5"/>
      <c r="F712" s="5"/>
      <c r="G712" s="5"/>
      <c r="H712" s="57"/>
      <c r="I712" s="58"/>
      <c r="J712" s="58"/>
      <c r="K712" s="59"/>
      <c r="L712" s="5"/>
      <c r="M712" s="5"/>
      <c r="N712" s="5"/>
      <c r="O712" s="5"/>
      <c r="P712" s="5"/>
      <c r="Q712" s="5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23.25" customHeight="1" x14ac:dyDescent="0.3">
      <c r="A713" s="56"/>
      <c r="B713" s="31"/>
      <c r="C713" s="5"/>
      <c r="D713" s="5"/>
      <c r="E713" s="5"/>
      <c r="F713" s="5"/>
      <c r="G713" s="5"/>
      <c r="H713" s="57"/>
      <c r="I713" s="58"/>
      <c r="J713" s="58"/>
      <c r="K713" s="59"/>
      <c r="L713" s="5"/>
      <c r="M713" s="5"/>
      <c r="N713" s="5"/>
      <c r="O713" s="5"/>
      <c r="P713" s="5"/>
      <c r="Q713" s="5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23.25" customHeight="1" x14ac:dyDescent="0.3">
      <c r="A714" s="56"/>
      <c r="B714" s="31"/>
      <c r="C714" s="5"/>
      <c r="D714" s="5"/>
      <c r="E714" s="5"/>
      <c r="F714" s="5"/>
      <c r="G714" s="5"/>
      <c r="H714" s="57"/>
      <c r="I714" s="58"/>
      <c r="J714" s="58"/>
      <c r="K714" s="59"/>
      <c r="L714" s="5"/>
      <c r="M714" s="5"/>
      <c r="N714" s="5"/>
      <c r="O714" s="5"/>
      <c r="P714" s="5"/>
      <c r="Q714" s="5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23.25" customHeight="1" x14ac:dyDescent="0.3">
      <c r="A715" s="56"/>
      <c r="B715" s="31"/>
      <c r="C715" s="5"/>
      <c r="D715" s="5"/>
      <c r="E715" s="5"/>
      <c r="F715" s="5"/>
      <c r="G715" s="5"/>
      <c r="H715" s="57"/>
      <c r="I715" s="58"/>
      <c r="J715" s="58"/>
      <c r="K715" s="59"/>
      <c r="L715" s="5"/>
      <c r="M715" s="5"/>
      <c r="N715" s="5"/>
      <c r="O715" s="5"/>
      <c r="P715" s="5"/>
      <c r="Q715" s="5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23.25" customHeight="1" x14ac:dyDescent="0.3">
      <c r="A716" s="56"/>
      <c r="B716" s="31"/>
      <c r="C716" s="5"/>
      <c r="D716" s="5"/>
      <c r="E716" s="5"/>
      <c r="F716" s="5"/>
      <c r="G716" s="5"/>
      <c r="H716" s="57"/>
      <c r="I716" s="58"/>
      <c r="J716" s="58"/>
      <c r="K716" s="59"/>
      <c r="L716" s="5"/>
      <c r="M716" s="5"/>
      <c r="N716" s="5"/>
      <c r="O716" s="5"/>
      <c r="P716" s="5"/>
      <c r="Q716" s="5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23.25" customHeight="1" x14ac:dyDescent="0.3">
      <c r="A717" s="56"/>
      <c r="B717" s="31"/>
      <c r="C717" s="5"/>
      <c r="D717" s="5"/>
      <c r="E717" s="5"/>
      <c r="F717" s="5"/>
      <c r="G717" s="5"/>
      <c r="H717" s="57"/>
      <c r="I717" s="58"/>
      <c r="J717" s="58"/>
      <c r="K717" s="59"/>
      <c r="L717" s="5"/>
      <c r="M717" s="5"/>
      <c r="N717" s="5"/>
      <c r="O717" s="5"/>
      <c r="P717" s="5"/>
      <c r="Q717" s="5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23.25" customHeight="1" x14ac:dyDescent="0.3">
      <c r="A718" s="56"/>
      <c r="B718" s="31"/>
      <c r="C718" s="5"/>
      <c r="D718" s="5"/>
      <c r="E718" s="5"/>
      <c r="F718" s="5"/>
      <c r="G718" s="5"/>
      <c r="H718" s="57"/>
      <c r="I718" s="58"/>
      <c r="J718" s="58"/>
      <c r="K718" s="59"/>
      <c r="L718" s="5"/>
      <c r="M718" s="5"/>
      <c r="N718" s="5"/>
      <c r="O718" s="5"/>
      <c r="P718" s="5"/>
      <c r="Q718" s="5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23.25" customHeight="1" x14ac:dyDescent="0.3">
      <c r="A719" s="56"/>
      <c r="B719" s="31"/>
      <c r="C719" s="5"/>
      <c r="D719" s="5"/>
      <c r="E719" s="5"/>
      <c r="F719" s="5"/>
      <c r="G719" s="5"/>
      <c r="H719" s="57"/>
      <c r="I719" s="58"/>
      <c r="J719" s="58"/>
      <c r="K719" s="59"/>
      <c r="L719" s="5"/>
      <c r="M719" s="5"/>
      <c r="N719" s="5"/>
      <c r="O719" s="5"/>
      <c r="P719" s="5"/>
      <c r="Q719" s="5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23.25" customHeight="1" x14ac:dyDescent="0.3">
      <c r="A720" s="56"/>
      <c r="B720" s="31"/>
      <c r="C720" s="5"/>
      <c r="D720" s="5"/>
      <c r="E720" s="5"/>
      <c r="F720" s="5"/>
      <c r="G720" s="5"/>
      <c r="H720" s="57"/>
      <c r="I720" s="58"/>
      <c r="J720" s="58"/>
      <c r="K720" s="59"/>
      <c r="L720" s="5"/>
      <c r="M720" s="5"/>
      <c r="N720" s="5"/>
      <c r="O720" s="5"/>
      <c r="P720" s="5"/>
      <c r="Q720" s="5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23.25" customHeight="1" x14ac:dyDescent="0.3">
      <c r="A721" s="56"/>
      <c r="B721" s="31"/>
      <c r="C721" s="5"/>
      <c r="D721" s="5"/>
      <c r="E721" s="5"/>
      <c r="F721" s="5"/>
      <c r="G721" s="5"/>
      <c r="H721" s="57"/>
      <c r="I721" s="58"/>
      <c r="J721" s="58"/>
      <c r="K721" s="59"/>
      <c r="L721" s="5"/>
      <c r="M721" s="5"/>
      <c r="N721" s="5"/>
      <c r="O721" s="5"/>
      <c r="P721" s="5"/>
      <c r="Q721" s="5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23.25" customHeight="1" x14ac:dyDescent="0.3">
      <c r="A722" s="56"/>
      <c r="B722" s="31"/>
      <c r="C722" s="5"/>
      <c r="D722" s="5"/>
      <c r="E722" s="5"/>
      <c r="F722" s="5"/>
      <c r="G722" s="5"/>
      <c r="H722" s="57"/>
      <c r="I722" s="58"/>
      <c r="J722" s="58"/>
      <c r="K722" s="59"/>
      <c r="L722" s="5"/>
      <c r="M722" s="5"/>
      <c r="N722" s="5"/>
      <c r="O722" s="5"/>
      <c r="P722" s="5"/>
      <c r="Q722" s="5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23.25" customHeight="1" x14ac:dyDescent="0.3">
      <c r="A723" s="56"/>
      <c r="B723" s="31"/>
      <c r="C723" s="5"/>
      <c r="D723" s="5"/>
      <c r="E723" s="5"/>
      <c r="F723" s="5"/>
      <c r="G723" s="5"/>
      <c r="H723" s="57"/>
      <c r="I723" s="58"/>
      <c r="J723" s="58"/>
      <c r="K723" s="59"/>
      <c r="L723" s="5"/>
      <c r="M723" s="5"/>
      <c r="N723" s="5"/>
      <c r="O723" s="5"/>
      <c r="P723" s="5"/>
      <c r="Q723" s="5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23.25" customHeight="1" x14ac:dyDescent="0.3">
      <c r="A724" s="56"/>
      <c r="B724" s="31"/>
      <c r="C724" s="5"/>
      <c r="D724" s="5"/>
      <c r="E724" s="5"/>
      <c r="F724" s="5"/>
      <c r="G724" s="5"/>
      <c r="H724" s="57"/>
      <c r="I724" s="58"/>
      <c r="J724" s="58"/>
      <c r="K724" s="59"/>
      <c r="L724" s="5"/>
      <c r="M724" s="5"/>
      <c r="N724" s="5"/>
      <c r="O724" s="5"/>
      <c r="P724" s="5"/>
      <c r="Q724" s="5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23.25" customHeight="1" x14ac:dyDescent="0.3">
      <c r="A725" s="56"/>
      <c r="B725" s="31"/>
      <c r="C725" s="5"/>
      <c r="D725" s="5"/>
      <c r="E725" s="5"/>
      <c r="F725" s="5"/>
      <c r="G725" s="5"/>
      <c r="H725" s="57"/>
      <c r="I725" s="58"/>
      <c r="J725" s="58"/>
      <c r="K725" s="59"/>
      <c r="L725" s="5"/>
      <c r="M725" s="5"/>
      <c r="N725" s="5"/>
      <c r="O725" s="5"/>
      <c r="P725" s="5"/>
      <c r="Q725" s="5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23.25" customHeight="1" x14ac:dyDescent="0.3">
      <c r="A726" s="56"/>
      <c r="B726" s="31"/>
      <c r="C726" s="5"/>
      <c r="D726" s="5"/>
      <c r="E726" s="5"/>
      <c r="F726" s="5"/>
      <c r="G726" s="5"/>
      <c r="H726" s="57"/>
      <c r="I726" s="58"/>
      <c r="J726" s="58"/>
      <c r="K726" s="59"/>
      <c r="L726" s="5"/>
      <c r="M726" s="5"/>
      <c r="N726" s="5"/>
      <c r="O726" s="5"/>
      <c r="P726" s="5"/>
      <c r="Q726" s="5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23.25" customHeight="1" x14ac:dyDescent="0.3">
      <c r="A727" s="56"/>
      <c r="B727" s="31"/>
      <c r="C727" s="5"/>
      <c r="D727" s="5"/>
      <c r="E727" s="5"/>
      <c r="F727" s="5"/>
      <c r="G727" s="5"/>
      <c r="H727" s="57"/>
      <c r="I727" s="58"/>
      <c r="J727" s="58"/>
      <c r="K727" s="59"/>
      <c r="L727" s="5"/>
      <c r="M727" s="5"/>
      <c r="N727" s="5"/>
      <c r="O727" s="5"/>
      <c r="P727" s="5"/>
      <c r="Q727" s="5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23.25" customHeight="1" x14ac:dyDescent="0.3">
      <c r="A728" s="56"/>
      <c r="B728" s="31"/>
      <c r="C728" s="5"/>
      <c r="D728" s="5"/>
      <c r="E728" s="5"/>
      <c r="F728" s="5"/>
      <c r="G728" s="5"/>
      <c r="H728" s="57"/>
      <c r="I728" s="58"/>
      <c r="J728" s="58"/>
      <c r="K728" s="59"/>
      <c r="L728" s="5"/>
      <c r="M728" s="5"/>
      <c r="N728" s="5"/>
      <c r="O728" s="5"/>
      <c r="P728" s="5"/>
      <c r="Q728" s="5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23.25" customHeight="1" x14ac:dyDescent="0.3">
      <c r="A729" s="56"/>
      <c r="B729" s="31"/>
      <c r="C729" s="5"/>
      <c r="D729" s="5"/>
      <c r="E729" s="5"/>
      <c r="F729" s="5"/>
      <c r="G729" s="5"/>
      <c r="H729" s="57"/>
      <c r="I729" s="58"/>
      <c r="J729" s="58"/>
      <c r="K729" s="59"/>
      <c r="L729" s="5"/>
      <c r="M729" s="5"/>
      <c r="N729" s="5"/>
      <c r="O729" s="5"/>
      <c r="P729" s="5"/>
      <c r="Q729" s="5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23.25" customHeight="1" x14ac:dyDescent="0.3">
      <c r="A730" s="56"/>
      <c r="B730" s="31"/>
      <c r="C730" s="5"/>
      <c r="D730" s="5"/>
      <c r="E730" s="5"/>
      <c r="F730" s="5"/>
      <c r="G730" s="5"/>
      <c r="H730" s="57"/>
      <c r="I730" s="58"/>
      <c r="J730" s="58"/>
      <c r="K730" s="59"/>
      <c r="L730" s="5"/>
      <c r="M730" s="5"/>
      <c r="N730" s="5"/>
      <c r="O730" s="5"/>
      <c r="P730" s="5"/>
      <c r="Q730" s="5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23.25" customHeight="1" x14ac:dyDescent="0.3">
      <c r="A731" s="56"/>
      <c r="B731" s="31"/>
      <c r="C731" s="5"/>
      <c r="D731" s="5"/>
      <c r="E731" s="5"/>
      <c r="F731" s="5"/>
      <c r="G731" s="5"/>
      <c r="H731" s="57"/>
      <c r="I731" s="58"/>
      <c r="J731" s="58"/>
      <c r="K731" s="59"/>
      <c r="L731" s="5"/>
      <c r="M731" s="5"/>
      <c r="N731" s="5"/>
      <c r="O731" s="5"/>
      <c r="P731" s="5"/>
      <c r="Q731" s="5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23.25" customHeight="1" x14ac:dyDescent="0.3">
      <c r="A732" s="56"/>
      <c r="B732" s="31"/>
      <c r="C732" s="5"/>
      <c r="D732" s="5"/>
      <c r="E732" s="5"/>
      <c r="F732" s="5"/>
      <c r="G732" s="5"/>
      <c r="H732" s="57"/>
      <c r="I732" s="58"/>
      <c r="J732" s="58"/>
      <c r="K732" s="59"/>
      <c r="L732" s="5"/>
      <c r="M732" s="5"/>
      <c r="N732" s="5"/>
      <c r="O732" s="5"/>
      <c r="P732" s="5"/>
      <c r="Q732" s="5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23.25" customHeight="1" x14ac:dyDescent="0.3">
      <c r="A733" s="56"/>
      <c r="B733" s="31"/>
      <c r="C733" s="5"/>
      <c r="D733" s="5"/>
      <c r="E733" s="5"/>
      <c r="F733" s="5"/>
      <c r="G733" s="5"/>
      <c r="H733" s="57"/>
      <c r="I733" s="58"/>
      <c r="J733" s="58"/>
      <c r="K733" s="59"/>
      <c r="L733" s="5"/>
      <c r="M733" s="5"/>
      <c r="N733" s="5"/>
      <c r="O733" s="5"/>
      <c r="P733" s="5"/>
      <c r="Q733" s="5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23.25" customHeight="1" x14ac:dyDescent="0.3">
      <c r="A734" s="56"/>
      <c r="B734" s="31"/>
      <c r="C734" s="5"/>
      <c r="D734" s="5"/>
      <c r="E734" s="5"/>
      <c r="F734" s="5"/>
      <c r="G734" s="5"/>
      <c r="H734" s="57"/>
      <c r="I734" s="58"/>
      <c r="J734" s="58"/>
      <c r="K734" s="59"/>
      <c r="L734" s="5"/>
      <c r="M734" s="5"/>
      <c r="N734" s="5"/>
      <c r="O734" s="5"/>
      <c r="P734" s="5"/>
      <c r="Q734" s="5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23.25" customHeight="1" x14ac:dyDescent="0.3">
      <c r="A735" s="56"/>
      <c r="B735" s="31"/>
      <c r="C735" s="5"/>
      <c r="D735" s="5"/>
      <c r="E735" s="5"/>
      <c r="F735" s="5"/>
      <c r="G735" s="5"/>
      <c r="H735" s="57"/>
      <c r="I735" s="58"/>
      <c r="J735" s="58"/>
      <c r="K735" s="59"/>
      <c r="L735" s="5"/>
      <c r="M735" s="5"/>
      <c r="N735" s="5"/>
      <c r="O735" s="5"/>
      <c r="P735" s="5"/>
      <c r="Q735" s="5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23.25" customHeight="1" x14ac:dyDescent="0.3">
      <c r="A736" s="56"/>
      <c r="B736" s="31"/>
      <c r="C736" s="5"/>
      <c r="D736" s="5"/>
      <c r="E736" s="5"/>
      <c r="F736" s="5"/>
      <c r="G736" s="5"/>
      <c r="H736" s="57"/>
      <c r="I736" s="58"/>
      <c r="J736" s="58"/>
      <c r="K736" s="59"/>
      <c r="L736" s="5"/>
      <c r="M736" s="5"/>
      <c r="N736" s="5"/>
      <c r="O736" s="5"/>
      <c r="P736" s="5"/>
      <c r="Q736" s="5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23.25" customHeight="1" x14ac:dyDescent="0.3">
      <c r="A737" s="56"/>
      <c r="B737" s="31"/>
      <c r="C737" s="5"/>
      <c r="D737" s="5"/>
      <c r="E737" s="5"/>
      <c r="F737" s="5"/>
      <c r="G737" s="5"/>
      <c r="H737" s="57"/>
      <c r="I737" s="58"/>
      <c r="J737" s="58"/>
      <c r="K737" s="59"/>
      <c r="L737" s="5"/>
      <c r="M737" s="5"/>
      <c r="N737" s="5"/>
      <c r="O737" s="5"/>
      <c r="P737" s="5"/>
      <c r="Q737" s="5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23.25" customHeight="1" x14ac:dyDescent="0.3">
      <c r="A738" s="56"/>
      <c r="B738" s="31"/>
      <c r="C738" s="5"/>
      <c r="D738" s="5"/>
      <c r="E738" s="5"/>
      <c r="F738" s="5"/>
      <c r="G738" s="5"/>
      <c r="H738" s="57"/>
      <c r="I738" s="58"/>
      <c r="J738" s="58"/>
      <c r="K738" s="59"/>
      <c r="L738" s="5"/>
      <c r="M738" s="5"/>
      <c r="N738" s="5"/>
      <c r="O738" s="5"/>
      <c r="P738" s="5"/>
      <c r="Q738" s="5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23.25" customHeight="1" x14ac:dyDescent="0.3">
      <c r="A739" s="56"/>
      <c r="B739" s="31"/>
      <c r="C739" s="5"/>
      <c r="D739" s="5"/>
      <c r="E739" s="5"/>
      <c r="F739" s="5"/>
      <c r="G739" s="5"/>
      <c r="H739" s="57"/>
      <c r="I739" s="58"/>
      <c r="J739" s="58"/>
      <c r="K739" s="59"/>
      <c r="L739" s="5"/>
      <c r="M739" s="5"/>
      <c r="N739" s="5"/>
      <c r="O739" s="5"/>
      <c r="P739" s="5"/>
      <c r="Q739" s="5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23.25" customHeight="1" x14ac:dyDescent="0.3">
      <c r="A740" s="56"/>
      <c r="B740" s="31"/>
      <c r="C740" s="5"/>
      <c r="D740" s="5"/>
      <c r="E740" s="5"/>
      <c r="F740" s="5"/>
      <c r="G740" s="5"/>
      <c r="H740" s="57"/>
      <c r="I740" s="58"/>
      <c r="J740" s="58"/>
      <c r="K740" s="59"/>
      <c r="L740" s="5"/>
      <c r="M740" s="5"/>
      <c r="N740" s="5"/>
      <c r="O740" s="5"/>
      <c r="P740" s="5"/>
      <c r="Q740" s="5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23.25" customHeight="1" x14ac:dyDescent="0.3">
      <c r="A741" s="56"/>
      <c r="B741" s="31"/>
      <c r="C741" s="5"/>
      <c r="D741" s="5"/>
      <c r="E741" s="5"/>
      <c r="F741" s="5"/>
      <c r="G741" s="5"/>
      <c r="H741" s="57"/>
      <c r="I741" s="58"/>
      <c r="J741" s="58"/>
      <c r="K741" s="59"/>
      <c r="L741" s="5"/>
      <c r="M741" s="5"/>
      <c r="N741" s="5"/>
      <c r="O741" s="5"/>
      <c r="P741" s="5"/>
      <c r="Q741" s="5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23.25" customHeight="1" x14ac:dyDescent="0.3">
      <c r="A742" s="56"/>
      <c r="B742" s="31"/>
      <c r="C742" s="5"/>
      <c r="D742" s="5"/>
      <c r="E742" s="5"/>
      <c r="F742" s="5"/>
      <c r="G742" s="5"/>
      <c r="H742" s="57"/>
      <c r="I742" s="58"/>
      <c r="J742" s="58"/>
      <c r="K742" s="59"/>
      <c r="L742" s="5"/>
      <c r="M742" s="5"/>
      <c r="N742" s="5"/>
      <c r="O742" s="5"/>
      <c r="P742" s="5"/>
      <c r="Q742" s="5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23.25" customHeight="1" x14ac:dyDescent="0.3">
      <c r="A743" s="56"/>
      <c r="B743" s="31"/>
      <c r="C743" s="5"/>
      <c r="D743" s="5"/>
      <c r="E743" s="5"/>
      <c r="F743" s="5"/>
      <c r="G743" s="5"/>
      <c r="H743" s="57"/>
      <c r="I743" s="58"/>
      <c r="J743" s="58"/>
      <c r="K743" s="59"/>
      <c r="L743" s="5"/>
      <c r="M743" s="5"/>
      <c r="N743" s="5"/>
      <c r="O743" s="5"/>
      <c r="P743" s="5"/>
      <c r="Q743" s="5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23.25" customHeight="1" x14ac:dyDescent="0.3">
      <c r="A744" s="56"/>
      <c r="B744" s="31"/>
      <c r="C744" s="5"/>
      <c r="D744" s="5"/>
      <c r="E744" s="5"/>
      <c r="F744" s="5"/>
      <c r="G744" s="5"/>
      <c r="H744" s="57"/>
      <c r="I744" s="58"/>
      <c r="J744" s="58"/>
      <c r="K744" s="59"/>
      <c r="L744" s="5"/>
      <c r="M744" s="5"/>
      <c r="N744" s="5"/>
      <c r="O744" s="5"/>
      <c r="P744" s="5"/>
      <c r="Q744" s="5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23.25" customHeight="1" x14ac:dyDescent="0.3">
      <c r="A745" s="56"/>
      <c r="B745" s="31"/>
      <c r="C745" s="5"/>
      <c r="D745" s="5"/>
      <c r="E745" s="5"/>
      <c r="F745" s="5"/>
      <c r="G745" s="5"/>
      <c r="H745" s="57"/>
      <c r="I745" s="58"/>
      <c r="J745" s="58"/>
      <c r="K745" s="59"/>
      <c r="L745" s="5"/>
      <c r="M745" s="5"/>
      <c r="N745" s="5"/>
      <c r="O745" s="5"/>
      <c r="P745" s="5"/>
      <c r="Q745" s="5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23.25" customHeight="1" x14ac:dyDescent="0.3">
      <c r="A746" s="56"/>
      <c r="B746" s="31"/>
      <c r="C746" s="5"/>
      <c r="D746" s="5"/>
      <c r="E746" s="5"/>
      <c r="F746" s="5"/>
      <c r="G746" s="5"/>
      <c r="H746" s="57"/>
      <c r="I746" s="58"/>
      <c r="J746" s="58"/>
      <c r="K746" s="59"/>
      <c r="L746" s="5"/>
      <c r="M746" s="5"/>
      <c r="N746" s="5"/>
      <c r="O746" s="5"/>
      <c r="P746" s="5"/>
      <c r="Q746" s="5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23.25" customHeight="1" x14ac:dyDescent="0.3">
      <c r="A747" s="56"/>
      <c r="B747" s="31"/>
      <c r="C747" s="5"/>
      <c r="D747" s="5"/>
      <c r="E747" s="5"/>
      <c r="F747" s="5"/>
      <c r="G747" s="5"/>
      <c r="H747" s="57"/>
      <c r="I747" s="58"/>
      <c r="J747" s="58"/>
      <c r="K747" s="59"/>
      <c r="L747" s="5"/>
      <c r="M747" s="5"/>
      <c r="N747" s="5"/>
      <c r="O747" s="5"/>
      <c r="P747" s="5"/>
      <c r="Q747" s="5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23.25" customHeight="1" x14ac:dyDescent="0.3">
      <c r="A748" s="56"/>
      <c r="B748" s="31"/>
      <c r="C748" s="5"/>
      <c r="D748" s="5"/>
      <c r="E748" s="5"/>
      <c r="F748" s="5"/>
      <c r="G748" s="5"/>
      <c r="H748" s="57"/>
      <c r="I748" s="58"/>
      <c r="J748" s="58"/>
      <c r="K748" s="59"/>
      <c r="L748" s="5"/>
      <c r="M748" s="5"/>
      <c r="N748" s="5"/>
      <c r="O748" s="5"/>
      <c r="P748" s="5"/>
      <c r="Q748" s="5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23.25" customHeight="1" x14ac:dyDescent="0.3">
      <c r="A749" s="56"/>
      <c r="B749" s="31"/>
      <c r="C749" s="5"/>
      <c r="D749" s="5"/>
      <c r="E749" s="5"/>
      <c r="F749" s="5"/>
      <c r="G749" s="5"/>
      <c r="H749" s="57"/>
      <c r="I749" s="58"/>
      <c r="J749" s="58"/>
      <c r="K749" s="59"/>
      <c r="L749" s="5"/>
      <c r="M749" s="5"/>
      <c r="N749" s="5"/>
      <c r="O749" s="5"/>
      <c r="P749" s="5"/>
      <c r="Q749" s="5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23.25" customHeight="1" x14ac:dyDescent="0.3">
      <c r="A750" s="56"/>
      <c r="B750" s="31"/>
      <c r="C750" s="5"/>
      <c r="D750" s="5"/>
      <c r="E750" s="5"/>
      <c r="F750" s="5"/>
      <c r="G750" s="5"/>
      <c r="H750" s="57"/>
      <c r="I750" s="58"/>
      <c r="J750" s="58"/>
      <c r="K750" s="59"/>
      <c r="L750" s="5"/>
      <c r="M750" s="5"/>
      <c r="N750" s="5"/>
      <c r="O750" s="5"/>
      <c r="P750" s="5"/>
      <c r="Q750" s="5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23.25" customHeight="1" x14ac:dyDescent="0.3">
      <c r="A751" s="56"/>
      <c r="B751" s="31"/>
      <c r="C751" s="5"/>
      <c r="D751" s="5"/>
      <c r="E751" s="5"/>
      <c r="F751" s="5"/>
      <c r="G751" s="5"/>
      <c r="H751" s="57"/>
      <c r="I751" s="58"/>
      <c r="J751" s="58"/>
      <c r="K751" s="59"/>
      <c r="L751" s="5"/>
      <c r="M751" s="5"/>
      <c r="N751" s="5"/>
      <c r="O751" s="5"/>
      <c r="P751" s="5"/>
      <c r="Q751" s="5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23.25" customHeight="1" x14ac:dyDescent="0.3">
      <c r="A752" s="56"/>
      <c r="B752" s="31"/>
      <c r="C752" s="5"/>
      <c r="D752" s="5"/>
      <c r="E752" s="5"/>
      <c r="F752" s="5"/>
      <c r="G752" s="5"/>
      <c r="H752" s="57"/>
      <c r="I752" s="58"/>
      <c r="J752" s="58"/>
      <c r="K752" s="59"/>
      <c r="L752" s="5"/>
      <c r="M752" s="5"/>
      <c r="N752" s="5"/>
      <c r="O752" s="5"/>
      <c r="P752" s="5"/>
      <c r="Q752" s="5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23.25" customHeight="1" x14ac:dyDescent="0.3">
      <c r="A753" s="56"/>
      <c r="B753" s="31"/>
      <c r="C753" s="5"/>
      <c r="D753" s="5"/>
      <c r="E753" s="5"/>
      <c r="F753" s="5"/>
      <c r="G753" s="5"/>
      <c r="H753" s="57"/>
      <c r="I753" s="58"/>
      <c r="J753" s="58"/>
      <c r="K753" s="59"/>
      <c r="L753" s="5"/>
      <c r="M753" s="5"/>
      <c r="N753" s="5"/>
      <c r="O753" s="5"/>
      <c r="P753" s="5"/>
      <c r="Q753" s="5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23.25" customHeight="1" x14ac:dyDescent="0.3">
      <c r="A754" s="56"/>
      <c r="B754" s="31"/>
      <c r="C754" s="5"/>
      <c r="D754" s="5"/>
      <c r="E754" s="5"/>
      <c r="F754" s="5"/>
      <c r="G754" s="5"/>
      <c r="H754" s="57"/>
      <c r="I754" s="58"/>
      <c r="J754" s="58"/>
      <c r="K754" s="59"/>
      <c r="L754" s="5"/>
      <c r="M754" s="5"/>
      <c r="N754" s="5"/>
      <c r="O754" s="5"/>
      <c r="P754" s="5"/>
      <c r="Q754" s="5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23.25" customHeight="1" x14ac:dyDescent="0.3">
      <c r="A755" s="56"/>
      <c r="B755" s="31"/>
      <c r="C755" s="5"/>
      <c r="D755" s="5"/>
      <c r="E755" s="5"/>
      <c r="F755" s="5"/>
      <c r="G755" s="5"/>
      <c r="H755" s="57"/>
      <c r="I755" s="58"/>
      <c r="J755" s="58"/>
      <c r="K755" s="59"/>
      <c r="L755" s="5"/>
      <c r="M755" s="5"/>
      <c r="N755" s="5"/>
      <c r="O755" s="5"/>
      <c r="P755" s="5"/>
      <c r="Q755" s="5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23.25" customHeight="1" x14ac:dyDescent="0.3">
      <c r="A756" s="56"/>
      <c r="B756" s="31"/>
      <c r="C756" s="5"/>
      <c r="D756" s="5"/>
      <c r="E756" s="5"/>
      <c r="F756" s="5"/>
      <c r="G756" s="5"/>
      <c r="H756" s="57"/>
      <c r="I756" s="58"/>
      <c r="J756" s="58"/>
      <c r="K756" s="59"/>
      <c r="L756" s="5"/>
      <c r="M756" s="5"/>
      <c r="N756" s="5"/>
      <c r="O756" s="5"/>
      <c r="P756" s="5"/>
      <c r="Q756" s="5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23.25" customHeight="1" x14ac:dyDescent="0.3">
      <c r="A757" s="56"/>
      <c r="B757" s="31"/>
      <c r="C757" s="5"/>
      <c r="D757" s="5"/>
      <c r="E757" s="5"/>
      <c r="F757" s="5"/>
      <c r="G757" s="5"/>
      <c r="H757" s="57"/>
      <c r="I757" s="58"/>
      <c r="J757" s="58"/>
      <c r="K757" s="59"/>
      <c r="L757" s="5"/>
      <c r="M757" s="5"/>
      <c r="N757" s="5"/>
      <c r="O757" s="5"/>
      <c r="P757" s="5"/>
      <c r="Q757" s="5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23.25" customHeight="1" x14ac:dyDescent="0.3">
      <c r="A758" s="56"/>
      <c r="B758" s="31"/>
      <c r="C758" s="5"/>
      <c r="D758" s="5"/>
      <c r="E758" s="5"/>
      <c r="F758" s="5"/>
      <c r="G758" s="5"/>
      <c r="H758" s="57"/>
      <c r="I758" s="58"/>
      <c r="J758" s="58"/>
      <c r="K758" s="59"/>
      <c r="L758" s="5"/>
      <c r="M758" s="5"/>
      <c r="N758" s="5"/>
      <c r="O758" s="5"/>
      <c r="P758" s="5"/>
      <c r="Q758" s="5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23.25" customHeight="1" x14ac:dyDescent="0.3">
      <c r="A759" s="56"/>
      <c r="B759" s="31"/>
      <c r="C759" s="5"/>
      <c r="D759" s="5"/>
      <c r="E759" s="5"/>
      <c r="F759" s="5"/>
      <c r="G759" s="5"/>
      <c r="H759" s="57"/>
      <c r="I759" s="58"/>
      <c r="J759" s="58"/>
      <c r="K759" s="59"/>
      <c r="L759" s="5"/>
      <c r="M759" s="5"/>
      <c r="N759" s="5"/>
      <c r="O759" s="5"/>
      <c r="P759" s="5"/>
      <c r="Q759" s="5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23.25" customHeight="1" x14ac:dyDescent="0.3">
      <c r="A760" s="56"/>
      <c r="B760" s="31"/>
      <c r="C760" s="5"/>
      <c r="D760" s="5"/>
      <c r="E760" s="5"/>
      <c r="F760" s="5"/>
      <c r="G760" s="5"/>
      <c r="H760" s="57"/>
      <c r="I760" s="58"/>
      <c r="J760" s="58"/>
      <c r="K760" s="59"/>
      <c r="L760" s="5"/>
      <c r="M760" s="5"/>
      <c r="N760" s="5"/>
      <c r="O760" s="5"/>
      <c r="P760" s="5"/>
      <c r="Q760" s="5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23.25" customHeight="1" x14ac:dyDescent="0.3">
      <c r="A761" s="56"/>
      <c r="B761" s="31"/>
      <c r="C761" s="5"/>
      <c r="D761" s="5"/>
      <c r="E761" s="5"/>
      <c r="F761" s="5"/>
      <c r="G761" s="5"/>
      <c r="H761" s="57"/>
      <c r="I761" s="58"/>
      <c r="J761" s="58"/>
      <c r="K761" s="59"/>
      <c r="L761" s="5"/>
      <c r="M761" s="5"/>
      <c r="N761" s="5"/>
      <c r="O761" s="5"/>
      <c r="P761" s="5"/>
      <c r="Q761" s="5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23.25" customHeight="1" x14ac:dyDescent="0.3">
      <c r="A762" s="56"/>
      <c r="B762" s="31"/>
      <c r="C762" s="5"/>
      <c r="D762" s="5"/>
      <c r="E762" s="5"/>
      <c r="F762" s="5"/>
      <c r="G762" s="5"/>
      <c r="H762" s="57"/>
      <c r="I762" s="58"/>
      <c r="J762" s="58"/>
      <c r="K762" s="59"/>
      <c r="L762" s="5"/>
      <c r="M762" s="5"/>
      <c r="N762" s="5"/>
      <c r="O762" s="5"/>
      <c r="P762" s="5"/>
      <c r="Q762" s="5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23.25" customHeight="1" x14ac:dyDescent="0.3">
      <c r="A763" s="56"/>
      <c r="B763" s="31"/>
      <c r="C763" s="5"/>
      <c r="D763" s="5"/>
      <c r="E763" s="5"/>
      <c r="F763" s="5"/>
      <c r="G763" s="5"/>
      <c r="H763" s="57"/>
      <c r="I763" s="58"/>
      <c r="J763" s="58"/>
      <c r="K763" s="59"/>
      <c r="L763" s="5"/>
      <c r="M763" s="5"/>
      <c r="N763" s="5"/>
      <c r="O763" s="5"/>
      <c r="P763" s="5"/>
      <c r="Q763" s="5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23.25" customHeight="1" x14ac:dyDescent="0.3">
      <c r="A764" s="56"/>
      <c r="B764" s="31"/>
      <c r="C764" s="5"/>
      <c r="D764" s="5"/>
      <c r="E764" s="5"/>
      <c r="F764" s="5"/>
      <c r="G764" s="5"/>
      <c r="H764" s="57"/>
      <c r="I764" s="58"/>
      <c r="J764" s="58"/>
      <c r="K764" s="59"/>
      <c r="L764" s="5"/>
      <c r="M764" s="5"/>
      <c r="N764" s="5"/>
      <c r="O764" s="5"/>
      <c r="P764" s="5"/>
      <c r="Q764" s="5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23.25" customHeight="1" x14ac:dyDescent="0.3">
      <c r="A765" s="56"/>
      <c r="B765" s="31"/>
      <c r="C765" s="5"/>
      <c r="D765" s="5"/>
      <c r="E765" s="5"/>
      <c r="F765" s="5"/>
      <c r="G765" s="5"/>
      <c r="H765" s="57"/>
      <c r="I765" s="58"/>
      <c r="J765" s="58"/>
      <c r="K765" s="59"/>
      <c r="L765" s="5"/>
      <c r="M765" s="5"/>
      <c r="N765" s="5"/>
      <c r="O765" s="5"/>
      <c r="P765" s="5"/>
      <c r="Q765" s="5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23.25" customHeight="1" x14ac:dyDescent="0.3">
      <c r="A766" s="56"/>
      <c r="B766" s="31"/>
      <c r="C766" s="5"/>
      <c r="D766" s="5"/>
      <c r="E766" s="5"/>
      <c r="F766" s="5"/>
      <c r="G766" s="5"/>
      <c r="H766" s="57"/>
      <c r="I766" s="58"/>
      <c r="J766" s="58"/>
      <c r="K766" s="59"/>
      <c r="L766" s="5"/>
      <c r="M766" s="5"/>
      <c r="N766" s="5"/>
      <c r="O766" s="5"/>
      <c r="P766" s="5"/>
      <c r="Q766" s="5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23.25" customHeight="1" x14ac:dyDescent="0.3">
      <c r="A767" s="56"/>
      <c r="B767" s="31"/>
      <c r="C767" s="5"/>
      <c r="D767" s="5"/>
      <c r="E767" s="5"/>
      <c r="F767" s="5"/>
      <c r="G767" s="5"/>
      <c r="H767" s="57"/>
      <c r="I767" s="58"/>
      <c r="J767" s="58"/>
      <c r="K767" s="59"/>
      <c r="L767" s="5"/>
      <c r="M767" s="5"/>
      <c r="N767" s="5"/>
      <c r="O767" s="5"/>
      <c r="P767" s="5"/>
      <c r="Q767" s="5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23.25" customHeight="1" x14ac:dyDescent="0.3">
      <c r="A768" s="56"/>
      <c r="B768" s="31"/>
      <c r="C768" s="5"/>
      <c r="D768" s="5"/>
      <c r="E768" s="5"/>
      <c r="F768" s="5"/>
      <c r="G768" s="5"/>
      <c r="H768" s="57"/>
      <c r="I768" s="58"/>
      <c r="J768" s="58"/>
      <c r="K768" s="59"/>
      <c r="L768" s="5"/>
      <c r="M768" s="5"/>
      <c r="N768" s="5"/>
      <c r="O768" s="5"/>
      <c r="P768" s="5"/>
      <c r="Q768" s="5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23.25" customHeight="1" x14ac:dyDescent="0.3">
      <c r="A769" s="56"/>
      <c r="B769" s="31"/>
      <c r="C769" s="5"/>
      <c r="D769" s="5"/>
      <c r="E769" s="5"/>
      <c r="F769" s="5"/>
      <c r="G769" s="5"/>
      <c r="H769" s="57"/>
      <c r="I769" s="58"/>
      <c r="J769" s="58"/>
      <c r="K769" s="59"/>
      <c r="L769" s="5"/>
      <c r="M769" s="5"/>
      <c r="N769" s="5"/>
      <c r="O769" s="5"/>
      <c r="P769" s="5"/>
      <c r="Q769" s="5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23.25" customHeight="1" x14ac:dyDescent="0.3">
      <c r="A770" s="56"/>
      <c r="B770" s="31"/>
      <c r="C770" s="5"/>
      <c r="D770" s="5"/>
      <c r="E770" s="5"/>
      <c r="F770" s="5"/>
      <c r="G770" s="5"/>
      <c r="H770" s="57"/>
      <c r="I770" s="58"/>
      <c r="J770" s="58"/>
      <c r="K770" s="59"/>
      <c r="L770" s="5"/>
      <c r="M770" s="5"/>
      <c r="N770" s="5"/>
      <c r="O770" s="5"/>
      <c r="P770" s="5"/>
      <c r="Q770" s="5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23.25" customHeight="1" x14ac:dyDescent="0.3">
      <c r="A771" s="56"/>
      <c r="B771" s="31"/>
      <c r="C771" s="5"/>
      <c r="D771" s="5"/>
      <c r="E771" s="5"/>
      <c r="F771" s="5"/>
      <c r="G771" s="5"/>
      <c r="H771" s="57"/>
      <c r="I771" s="58"/>
      <c r="J771" s="58"/>
      <c r="K771" s="59"/>
      <c r="L771" s="5"/>
      <c r="M771" s="5"/>
      <c r="N771" s="5"/>
      <c r="O771" s="5"/>
      <c r="P771" s="5"/>
      <c r="Q771" s="5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23.25" customHeight="1" x14ac:dyDescent="0.3">
      <c r="A772" s="56"/>
      <c r="B772" s="31"/>
      <c r="C772" s="5"/>
      <c r="D772" s="5"/>
      <c r="E772" s="5"/>
      <c r="F772" s="5"/>
      <c r="G772" s="5"/>
      <c r="H772" s="57"/>
      <c r="I772" s="58"/>
      <c r="J772" s="58"/>
      <c r="K772" s="59"/>
      <c r="L772" s="5"/>
      <c r="M772" s="5"/>
      <c r="N772" s="5"/>
      <c r="O772" s="5"/>
      <c r="P772" s="5"/>
      <c r="Q772" s="5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23.25" customHeight="1" x14ac:dyDescent="0.3">
      <c r="A773" s="56"/>
      <c r="B773" s="31"/>
      <c r="C773" s="5"/>
      <c r="D773" s="5"/>
      <c r="E773" s="5"/>
      <c r="F773" s="5"/>
      <c r="G773" s="5"/>
      <c r="H773" s="57"/>
      <c r="I773" s="58"/>
      <c r="J773" s="58"/>
      <c r="K773" s="59"/>
      <c r="L773" s="5"/>
      <c r="M773" s="5"/>
      <c r="N773" s="5"/>
      <c r="O773" s="5"/>
      <c r="P773" s="5"/>
      <c r="Q773" s="5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23.25" customHeight="1" x14ac:dyDescent="0.3">
      <c r="A774" s="56"/>
      <c r="B774" s="31"/>
      <c r="C774" s="5"/>
      <c r="D774" s="5"/>
      <c r="E774" s="5"/>
      <c r="F774" s="5"/>
      <c r="G774" s="5"/>
      <c r="H774" s="57"/>
      <c r="I774" s="58"/>
      <c r="J774" s="58"/>
      <c r="K774" s="59"/>
      <c r="L774" s="5"/>
      <c r="M774" s="5"/>
      <c r="N774" s="5"/>
      <c r="O774" s="5"/>
      <c r="P774" s="5"/>
      <c r="Q774" s="5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23.25" customHeight="1" x14ac:dyDescent="0.3">
      <c r="A775" s="56"/>
      <c r="B775" s="31"/>
      <c r="C775" s="5"/>
      <c r="D775" s="5"/>
      <c r="E775" s="5"/>
      <c r="F775" s="5"/>
      <c r="G775" s="5"/>
      <c r="H775" s="57"/>
      <c r="I775" s="58"/>
      <c r="J775" s="58"/>
      <c r="K775" s="59"/>
      <c r="L775" s="5"/>
      <c r="M775" s="5"/>
      <c r="N775" s="5"/>
      <c r="O775" s="5"/>
      <c r="P775" s="5"/>
      <c r="Q775" s="5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23.25" customHeight="1" x14ac:dyDescent="0.3">
      <c r="A776" s="56"/>
      <c r="B776" s="31"/>
      <c r="C776" s="5"/>
      <c r="D776" s="5"/>
      <c r="E776" s="5"/>
      <c r="F776" s="5"/>
      <c r="G776" s="5"/>
      <c r="H776" s="57"/>
      <c r="I776" s="58"/>
      <c r="J776" s="58"/>
      <c r="K776" s="59"/>
      <c r="L776" s="5"/>
      <c r="M776" s="5"/>
      <c r="N776" s="5"/>
      <c r="O776" s="5"/>
      <c r="P776" s="5"/>
      <c r="Q776" s="5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23.25" customHeight="1" x14ac:dyDescent="0.3">
      <c r="A777" s="56"/>
      <c r="B777" s="31"/>
      <c r="C777" s="5"/>
      <c r="D777" s="5"/>
      <c r="E777" s="5"/>
      <c r="F777" s="5"/>
      <c r="G777" s="5"/>
      <c r="H777" s="57"/>
      <c r="I777" s="58"/>
      <c r="J777" s="58"/>
      <c r="K777" s="59"/>
      <c r="L777" s="5"/>
      <c r="M777" s="5"/>
      <c r="N777" s="5"/>
      <c r="O777" s="5"/>
      <c r="P777" s="5"/>
      <c r="Q777" s="5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23.25" customHeight="1" x14ac:dyDescent="0.3">
      <c r="A778" s="56"/>
      <c r="B778" s="31"/>
      <c r="C778" s="5"/>
      <c r="D778" s="5"/>
      <c r="E778" s="5"/>
      <c r="F778" s="5"/>
      <c r="G778" s="5"/>
      <c r="H778" s="57"/>
      <c r="I778" s="58"/>
      <c r="J778" s="58"/>
      <c r="K778" s="59"/>
      <c r="L778" s="5"/>
      <c r="M778" s="5"/>
      <c r="N778" s="5"/>
      <c r="O778" s="5"/>
      <c r="P778" s="5"/>
      <c r="Q778" s="5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23.25" customHeight="1" x14ac:dyDescent="0.3">
      <c r="A779" s="56"/>
      <c r="B779" s="31"/>
      <c r="C779" s="5"/>
      <c r="D779" s="5"/>
      <c r="E779" s="5"/>
      <c r="F779" s="5"/>
      <c r="G779" s="5"/>
      <c r="H779" s="57"/>
      <c r="I779" s="58"/>
      <c r="J779" s="58"/>
      <c r="K779" s="59"/>
      <c r="L779" s="5"/>
      <c r="M779" s="5"/>
      <c r="N779" s="5"/>
      <c r="O779" s="5"/>
      <c r="P779" s="5"/>
      <c r="Q779" s="5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23.25" customHeight="1" x14ac:dyDescent="0.3">
      <c r="A780" s="56"/>
      <c r="B780" s="31"/>
      <c r="C780" s="5"/>
      <c r="D780" s="5"/>
      <c r="E780" s="5"/>
      <c r="F780" s="5"/>
      <c r="G780" s="5"/>
      <c r="H780" s="57"/>
      <c r="I780" s="58"/>
      <c r="J780" s="58"/>
      <c r="K780" s="59"/>
      <c r="L780" s="5"/>
      <c r="M780" s="5"/>
      <c r="N780" s="5"/>
      <c r="O780" s="5"/>
      <c r="P780" s="5"/>
      <c r="Q780" s="5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23.25" customHeight="1" x14ac:dyDescent="0.3">
      <c r="A781" s="56"/>
      <c r="B781" s="31"/>
      <c r="C781" s="5"/>
      <c r="D781" s="5"/>
      <c r="E781" s="5"/>
      <c r="F781" s="5"/>
      <c r="G781" s="5"/>
      <c r="H781" s="57"/>
      <c r="I781" s="58"/>
      <c r="J781" s="58"/>
      <c r="K781" s="59"/>
      <c r="L781" s="5"/>
      <c r="M781" s="5"/>
      <c r="N781" s="5"/>
      <c r="O781" s="5"/>
      <c r="P781" s="5"/>
      <c r="Q781" s="5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23.25" customHeight="1" x14ac:dyDescent="0.3">
      <c r="A782" s="56"/>
      <c r="B782" s="31"/>
      <c r="C782" s="5"/>
      <c r="D782" s="5"/>
      <c r="E782" s="5"/>
      <c r="F782" s="5"/>
      <c r="G782" s="5"/>
      <c r="H782" s="57"/>
      <c r="I782" s="58"/>
      <c r="J782" s="58"/>
      <c r="K782" s="59"/>
      <c r="L782" s="5"/>
      <c r="M782" s="5"/>
      <c r="N782" s="5"/>
      <c r="O782" s="5"/>
      <c r="P782" s="5"/>
      <c r="Q782" s="5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23.25" customHeight="1" x14ac:dyDescent="0.3">
      <c r="A783" s="56"/>
      <c r="B783" s="31"/>
      <c r="C783" s="5"/>
      <c r="D783" s="5"/>
      <c r="E783" s="5"/>
      <c r="F783" s="5"/>
      <c r="G783" s="5"/>
      <c r="H783" s="57"/>
      <c r="I783" s="58"/>
      <c r="J783" s="58"/>
      <c r="K783" s="59"/>
      <c r="L783" s="5"/>
      <c r="M783" s="5"/>
      <c r="N783" s="5"/>
      <c r="O783" s="5"/>
      <c r="P783" s="5"/>
      <c r="Q783" s="5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23.25" customHeight="1" x14ac:dyDescent="0.3">
      <c r="A784" s="56"/>
      <c r="B784" s="31"/>
      <c r="C784" s="5"/>
      <c r="D784" s="5"/>
      <c r="E784" s="5"/>
      <c r="F784" s="5"/>
      <c r="G784" s="5"/>
      <c r="H784" s="57"/>
      <c r="I784" s="58"/>
      <c r="J784" s="58"/>
      <c r="K784" s="59"/>
      <c r="L784" s="5"/>
      <c r="M784" s="5"/>
      <c r="N784" s="5"/>
      <c r="O784" s="5"/>
      <c r="P784" s="5"/>
      <c r="Q784" s="5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23.25" customHeight="1" x14ac:dyDescent="0.3">
      <c r="A785" s="56"/>
      <c r="B785" s="31"/>
      <c r="C785" s="5"/>
      <c r="D785" s="5"/>
      <c r="E785" s="5"/>
      <c r="F785" s="5"/>
      <c r="G785" s="5"/>
      <c r="H785" s="57"/>
      <c r="I785" s="58"/>
      <c r="J785" s="58"/>
      <c r="K785" s="59"/>
      <c r="L785" s="5"/>
      <c r="M785" s="5"/>
      <c r="N785" s="5"/>
      <c r="O785" s="5"/>
      <c r="P785" s="5"/>
      <c r="Q785" s="5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23.25" customHeight="1" x14ac:dyDescent="0.3">
      <c r="A786" s="56"/>
      <c r="B786" s="31"/>
      <c r="C786" s="5"/>
      <c r="D786" s="5"/>
      <c r="E786" s="5"/>
      <c r="F786" s="5"/>
      <c r="G786" s="5"/>
      <c r="H786" s="57"/>
      <c r="I786" s="58"/>
      <c r="J786" s="58"/>
      <c r="K786" s="59"/>
      <c r="L786" s="5"/>
      <c r="M786" s="5"/>
      <c r="N786" s="5"/>
      <c r="O786" s="5"/>
      <c r="P786" s="5"/>
      <c r="Q786" s="5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23.25" customHeight="1" x14ac:dyDescent="0.3">
      <c r="A787" s="56"/>
      <c r="B787" s="31"/>
      <c r="C787" s="5"/>
      <c r="D787" s="5"/>
      <c r="E787" s="5"/>
      <c r="F787" s="5"/>
      <c r="G787" s="5"/>
      <c r="H787" s="57"/>
      <c r="I787" s="58"/>
      <c r="J787" s="58"/>
      <c r="K787" s="59"/>
      <c r="L787" s="5"/>
      <c r="M787" s="5"/>
      <c r="N787" s="5"/>
      <c r="O787" s="5"/>
      <c r="P787" s="5"/>
      <c r="Q787" s="5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23.25" customHeight="1" x14ac:dyDescent="0.3">
      <c r="A788" s="56"/>
      <c r="B788" s="31"/>
      <c r="C788" s="5"/>
      <c r="D788" s="5"/>
      <c r="E788" s="5"/>
      <c r="F788" s="5"/>
      <c r="G788" s="5"/>
      <c r="H788" s="57"/>
      <c r="I788" s="58"/>
      <c r="J788" s="58"/>
      <c r="K788" s="59"/>
      <c r="L788" s="5"/>
      <c r="M788" s="5"/>
      <c r="N788" s="5"/>
      <c r="O788" s="5"/>
      <c r="P788" s="5"/>
      <c r="Q788" s="5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23.25" customHeight="1" x14ac:dyDescent="0.3">
      <c r="A789" s="56"/>
      <c r="B789" s="31"/>
      <c r="C789" s="5"/>
      <c r="D789" s="5"/>
      <c r="E789" s="5"/>
      <c r="F789" s="5"/>
      <c r="G789" s="5"/>
      <c r="H789" s="57"/>
      <c r="I789" s="58"/>
      <c r="J789" s="58"/>
      <c r="K789" s="59"/>
      <c r="L789" s="5"/>
      <c r="M789" s="5"/>
      <c r="N789" s="5"/>
      <c r="O789" s="5"/>
      <c r="P789" s="5"/>
      <c r="Q789" s="5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23.25" customHeight="1" x14ac:dyDescent="0.3">
      <c r="A790" s="56"/>
      <c r="B790" s="31"/>
      <c r="C790" s="5"/>
      <c r="D790" s="5"/>
      <c r="E790" s="5"/>
      <c r="F790" s="5"/>
      <c r="G790" s="5"/>
      <c r="H790" s="57"/>
      <c r="I790" s="58"/>
      <c r="J790" s="58"/>
      <c r="K790" s="59"/>
      <c r="L790" s="5"/>
      <c r="M790" s="5"/>
      <c r="N790" s="5"/>
      <c r="O790" s="5"/>
      <c r="P790" s="5"/>
      <c r="Q790" s="5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23.25" customHeight="1" x14ac:dyDescent="0.3">
      <c r="A791" s="56"/>
      <c r="B791" s="31"/>
      <c r="C791" s="5"/>
      <c r="D791" s="5"/>
      <c r="E791" s="5"/>
      <c r="F791" s="5"/>
      <c r="G791" s="5"/>
      <c r="H791" s="57"/>
      <c r="I791" s="58"/>
      <c r="J791" s="58"/>
      <c r="K791" s="59"/>
      <c r="L791" s="5"/>
      <c r="M791" s="5"/>
      <c r="N791" s="5"/>
      <c r="O791" s="5"/>
      <c r="P791" s="5"/>
      <c r="Q791" s="5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23.25" customHeight="1" x14ac:dyDescent="0.3">
      <c r="A792" s="56"/>
      <c r="B792" s="31"/>
      <c r="C792" s="5"/>
      <c r="D792" s="5"/>
      <c r="E792" s="5"/>
      <c r="F792" s="5"/>
      <c r="G792" s="5"/>
      <c r="H792" s="57"/>
      <c r="I792" s="58"/>
      <c r="J792" s="58"/>
      <c r="K792" s="59"/>
      <c r="L792" s="5"/>
      <c r="M792" s="5"/>
      <c r="N792" s="5"/>
      <c r="O792" s="5"/>
      <c r="P792" s="5"/>
      <c r="Q792" s="5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23.25" customHeight="1" x14ac:dyDescent="0.3">
      <c r="A793" s="56"/>
      <c r="B793" s="31"/>
      <c r="C793" s="5"/>
      <c r="D793" s="5"/>
      <c r="E793" s="5"/>
      <c r="F793" s="5"/>
      <c r="G793" s="5"/>
      <c r="H793" s="57"/>
      <c r="I793" s="58"/>
      <c r="J793" s="58"/>
      <c r="K793" s="59"/>
      <c r="L793" s="5"/>
      <c r="M793" s="5"/>
      <c r="N793" s="5"/>
      <c r="O793" s="5"/>
      <c r="P793" s="5"/>
      <c r="Q793" s="5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23.25" customHeight="1" x14ac:dyDescent="0.3">
      <c r="A794" s="56"/>
      <c r="B794" s="31"/>
      <c r="C794" s="5"/>
      <c r="D794" s="5"/>
      <c r="E794" s="5"/>
      <c r="F794" s="5"/>
      <c r="G794" s="5"/>
      <c r="H794" s="57"/>
      <c r="I794" s="58"/>
      <c r="J794" s="58"/>
      <c r="K794" s="59"/>
      <c r="L794" s="5"/>
      <c r="M794" s="5"/>
      <c r="N794" s="5"/>
      <c r="O794" s="5"/>
      <c r="P794" s="5"/>
      <c r="Q794" s="5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23.25" customHeight="1" x14ac:dyDescent="0.3">
      <c r="A795" s="56"/>
      <c r="B795" s="31"/>
      <c r="C795" s="5"/>
      <c r="D795" s="5"/>
      <c r="E795" s="5"/>
      <c r="F795" s="5"/>
      <c r="G795" s="5"/>
      <c r="H795" s="57"/>
      <c r="I795" s="58"/>
      <c r="J795" s="58"/>
      <c r="K795" s="59"/>
      <c r="L795" s="5"/>
      <c r="M795" s="5"/>
      <c r="N795" s="5"/>
      <c r="O795" s="5"/>
      <c r="P795" s="5"/>
      <c r="Q795" s="5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23.25" customHeight="1" x14ac:dyDescent="0.3">
      <c r="A796" s="56"/>
      <c r="B796" s="31"/>
      <c r="C796" s="5"/>
      <c r="D796" s="5"/>
      <c r="E796" s="5"/>
      <c r="F796" s="5"/>
      <c r="G796" s="5"/>
      <c r="H796" s="57"/>
      <c r="I796" s="58"/>
      <c r="J796" s="58"/>
      <c r="K796" s="59"/>
      <c r="L796" s="5"/>
      <c r="M796" s="5"/>
      <c r="N796" s="5"/>
      <c r="O796" s="5"/>
      <c r="P796" s="5"/>
      <c r="Q796" s="5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23.25" customHeight="1" x14ac:dyDescent="0.3">
      <c r="A797" s="56"/>
      <c r="B797" s="31"/>
      <c r="C797" s="5"/>
      <c r="D797" s="5"/>
      <c r="E797" s="5"/>
      <c r="F797" s="5"/>
      <c r="G797" s="5"/>
      <c r="H797" s="57"/>
      <c r="I797" s="58"/>
      <c r="J797" s="58"/>
      <c r="K797" s="59"/>
      <c r="L797" s="5"/>
      <c r="M797" s="5"/>
      <c r="N797" s="5"/>
      <c r="O797" s="5"/>
      <c r="P797" s="5"/>
      <c r="Q797" s="5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23.25" customHeight="1" x14ac:dyDescent="0.3">
      <c r="A798" s="56"/>
      <c r="B798" s="31"/>
      <c r="C798" s="5"/>
      <c r="D798" s="5"/>
      <c r="E798" s="5"/>
      <c r="F798" s="5"/>
      <c r="G798" s="5"/>
      <c r="H798" s="57"/>
      <c r="I798" s="58"/>
      <c r="J798" s="58"/>
      <c r="K798" s="59"/>
      <c r="L798" s="5"/>
      <c r="M798" s="5"/>
      <c r="N798" s="5"/>
      <c r="O798" s="5"/>
      <c r="P798" s="5"/>
      <c r="Q798" s="5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23.25" customHeight="1" x14ac:dyDescent="0.3">
      <c r="A799" s="56"/>
      <c r="B799" s="31"/>
      <c r="C799" s="5"/>
      <c r="D799" s="5"/>
      <c r="E799" s="5"/>
      <c r="F799" s="5"/>
      <c r="G799" s="5"/>
      <c r="H799" s="57"/>
      <c r="I799" s="58"/>
      <c r="J799" s="58"/>
      <c r="K799" s="59"/>
      <c r="L799" s="5"/>
      <c r="M799" s="5"/>
      <c r="N799" s="5"/>
      <c r="O799" s="5"/>
      <c r="P799" s="5"/>
      <c r="Q799" s="5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23.25" customHeight="1" x14ac:dyDescent="0.3">
      <c r="A800" s="56"/>
      <c r="B800" s="31"/>
      <c r="C800" s="5"/>
      <c r="D800" s="5"/>
      <c r="E800" s="5"/>
      <c r="F800" s="5"/>
      <c r="G800" s="5"/>
      <c r="H800" s="57"/>
      <c r="I800" s="58"/>
      <c r="J800" s="58"/>
      <c r="K800" s="59"/>
      <c r="L800" s="5"/>
      <c r="M800" s="5"/>
      <c r="N800" s="5"/>
      <c r="O800" s="5"/>
      <c r="P800" s="5"/>
      <c r="Q800" s="5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23.25" customHeight="1" x14ac:dyDescent="0.3">
      <c r="A801" s="56"/>
      <c r="B801" s="31"/>
      <c r="C801" s="5"/>
      <c r="D801" s="5"/>
      <c r="E801" s="5"/>
      <c r="F801" s="5"/>
      <c r="G801" s="5"/>
      <c r="H801" s="57"/>
      <c r="I801" s="58"/>
      <c r="J801" s="58"/>
      <c r="K801" s="59"/>
      <c r="L801" s="5"/>
      <c r="M801" s="5"/>
      <c r="N801" s="5"/>
      <c r="O801" s="5"/>
      <c r="P801" s="5"/>
      <c r="Q801" s="5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23.25" customHeight="1" x14ac:dyDescent="0.3">
      <c r="A802" s="56"/>
      <c r="B802" s="31"/>
      <c r="C802" s="5"/>
      <c r="D802" s="5"/>
      <c r="E802" s="5"/>
      <c r="F802" s="5"/>
      <c r="G802" s="5"/>
      <c r="H802" s="57"/>
      <c r="I802" s="58"/>
      <c r="J802" s="58"/>
      <c r="K802" s="59"/>
      <c r="L802" s="5"/>
      <c r="M802" s="5"/>
      <c r="N802" s="5"/>
      <c r="O802" s="5"/>
      <c r="P802" s="5"/>
      <c r="Q802" s="5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23.25" customHeight="1" x14ac:dyDescent="0.3">
      <c r="A803" s="56"/>
      <c r="B803" s="31"/>
      <c r="C803" s="5"/>
      <c r="D803" s="5"/>
      <c r="E803" s="5"/>
      <c r="F803" s="5"/>
      <c r="G803" s="5"/>
      <c r="H803" s="57"/>
      <c r="I803" s="58"/>
      <c r="J803" s="58"/>
      <c r="K803" s="59"/>
      <c r="L803" s="5"/>
      <c r="M803" s="5"/>
      <c r="N803" s="5"/>
      <c r="O803" s="5"/>
      <c r="P803" s="5"/>
      <c r="Q803" s="5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23.25" customHeight="1" x14ac:dyDescent="0.3">
      <c r="A804" s="56"/>
      <c r="B804" s="31"/>
      <c r="C804" s="5"/>
      <c r="D804" s="5"/>
      <c r="E804" s="5"/>
      <c r="F804" s="5"/>
      <c r="G804" s="5"/>
      <c r="H804" s="57"/>
      <c r="I804" s="58"/>
      <c r="J804" s="58"/>
      <c r="K804" s="59"/>
      <c r="L804" s="5"/>
      <c r="M804" s="5"/>
      <c r="N804" s="5"/>
      <c r="O804" s="5"/>
      <c r="P804" s="5"/>
      <c r="Q804" s="5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23.25" customHeight="1" x14ac:dyDescent="0.3">
      <c r="A805" s="56"/>
      <c r="B805" s="31"/>
      <c r="C805" s="5"/>
      <c r="D805" s="5"/>
      <c r="E805" s="5"/>
      <c r="F805" s="5"/>
      <c r="G805" s="5"/>
      <c r="H805" s="57"/>
      <c r="I805" s="58"/>
      <c r="J805" s="58"/>
      <c r="K805" s="59"/>
      <c r="L805" s="5"/>
      <c r="M805" s="5"/>
      <c r="N805" s="5"/>
      <c r="O805" s="5"/>
      <c r="P805" s="5"/>
      <c r="Q805" s="5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23.25" customHeight="1" x14ac:dyDescent="0.3">
      <c r="A806" s="56"/>
      <c r="B806" s="31"/>
      <c r="C806" s="5"/>
      <c r="D806" s="5"/>
      <c r="E806" s="5"/>
      <c r="F806" s="5"/>
      <c r="G806" s="5"/>
      <c r="H806" s="57"/>
      <c r="I806" s="58"/>
      <c r="J806" s="58"/>
      <c r="K806" s="59"/>
      <c r="L806" s="5"/>
      <c r="M806" s="5"/>
      <c r="N806" s="5"/>
      <c r="O806" s="5"/>
      <c r="P806" s="5"/>
      <c r="Q806" s="5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23.25" customHeight="1" x14ac:dyDescent="0.3">
      <c r="A807" s="56"/>
      <c r="B807" s="31"/>
      <c r="C807" s="5"/>
      <c r="D807" s="5"/>
      <c r="E807" s="5"/>
      <c r="F807" s="5"/>
      <c r="G807" s="5"/>
      <c r="H807" s="57"/>
      <c r="I807" s="58"/>
      <c r="J807" s="58"/>
      <c r="K807" s="59"/>
      <c r="L807" s="5"/>
      <c r="M807" s="5"/>
      <c r="N807" s="5"/>
      <c r="O807" s="5"/>
      <c r="P807" s="5"/>
      <c r="Q807" s="5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23.25" customHeight="1" x14ac:dyDescent="0.3">
      <c r="A808" s="56"/>
      <c r="B808" s="31"/>
      <c r="C808" s="5"/>
      <c r="D808" s="5"/>
      <c r="E808" s="5"/>
      <c r="F808" s="5"/>
      <c r="G808" s="5"/>
      <c r="H808" s="57"/>
      <c r="I808" s="58"/>
      <c r="J808" s="58"/>
      <c r="K808" s="59"/>
      <c r="L808" s="5"/>
      <c r="M808" s="5"/>
      <c r="N808" s="5"/>
      <c r="O808" s="5"/>
      <c r="P808" s="5"/>
      <c r="Q808" s="5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23.25" customHeight="1" x14ac:dyDescent="0.3">
      <c r="A809" s="56"/>
      <c r="B809" s="31"/>
      <c r="C809" s="5"/>
      <c r="D809" s="5"/>
      <c r="E809" s="5"/>
      <c r="F809" s="5"/>
      <c r="G809" s="5"/>
      <c r="H809" s="57"/>
      <c r="I809" s="58"/>
      <c r="J809" s="58"/>
      <c r="K809" s="59"/>
      <c r="L809" s="5"/>
      <c r="M809" s="5"/>
      <c r="N809" s="5"/>
      <c r="O809" s="5"/>
      <c r="P809" s="5"/>
      <c r="Q809" s="5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23.25" customHeight="1" x14ac:dyDescent="0.3">
      <c r="A810" s="56"/>
      <c r="B810" s="31"/>
      <c r="C810" s="5"/>
      <c r="D810" s="5"/>
      <c r="E810" s="5"/>
      <c r="F810" s="5"/>
      <c r="G810" s="5"/>
      <c r="H810" s="57"/>
      <c r="I810" s="58"/>
      <c r="J810" s="58"/>
      <c r="K810" s="59"/>
      <c r="L810" s="5"/>
      <c r="M810" s="5"/>
      <c r="N810" s="5"/>
      <c r="O810" s="5"/>
      <c r="P810" s="5"/>
      <c r="Q810" s="5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23.25" customHeight="1" x14ac:dyDescent="0.3">
      <c r="A811" s="56"/>
      <c r="B811" s="31"/>
      <c r="C811" s="5"/>
      <c r="D811" s="5"/>
      <c r="E811" s="5"/>
      <c r="F811" s="5"/>
      <c r="G811" s="5"/>
      <c r="H811" s="57"/>
      <c r="I811" s="58"/>
      <c r="J811" s="58"/>
      <c r="K811" s="59"/>
      <c r="L811" s="5"/>
      <c r="M811" s="5"/>
      <c r="N811" s="5"/>
      <c r="O811" s="5"/>
      <c r="P811" s="5"/>
      <c r="Q811" s="5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23.25" customHeight="1" x14ac:dyDescent="0.3">
      <c r="A812" s="56"/>
      <c r="B812" s="31"/>
      <c r="C812" s="5"/>
      <c r="D812" s="5"/>
      <c r="E812" s="5"/>
      <c r="F812" s="5"/>
      <c r="G812" s="5"/>
      <c r="H812" s="57"/>
      <c r="I812" s="58"/>
      <c r="J812" s="58"/>
      <c r="K812" s="59"/>
      <c r="L812" s="5"/>
      <c r="M812" s="5"/>
      <c r="N812" s="5"/>
      <c r="O812" s="5"/>
      <c r="P812" s="5"/>
      <c r="Q812" s="5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23.25" customHeight="1" x14ac:dyDescent="0.3">
      <c r="A813" s="56"/>
      <c r="B813" s="31"/>
      <c r="C813" s="5"/>
      <c r="D813" s="5"/>
      <c r="E813" s="5"/>
      <c r="F813" s="5"/>
      <c r="G813" s="5"/>
      <c r="H813" s="57"/>
      <c r="I813" s="58"/>
      <c r="J813" s="58"/>
      <c r="K813" s="59"/>
      <c r="L813" s="5"/>
      <c r="M813" s="5"/>
      <c r="N813" s="5"/>
      <c r="O813" s="5"/>
      <c r="P813" s="5"/>
      <c r="Q813" s="5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23.25" customHeight="1" x14ac:dyDescent="0.3">
      <c r="A814" s="56"/>
      <c r="B814" s="31"/>
      <c r="C814" s="5"/>
      <c r="D814" s="5"/>
      <c r="E814" s="5"/>
      <c r="F814" s="5"/>
      <c r="G814" s="5"/>
      <c r="H814" s="57"/>
      <c r="I814" s="58"/>
      <c r="J814" s="58"/>
      <c r="K814" s="59"/>
      <c r="L814" s="5"/>
      <c r="M814" s="5"/>
      <c r="N814" s="5"/>
      <c r="O814" s="5"/>
      <c r="P814" s="5"/>
      <c r="Q814" s="5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23.25" customHeight="1" x14ac:dyDescent="0.3">
      <c r="A815" s="56"/>
      <c r="B815" s="31"/>
      <c r="C815" s="5"/>
      <c r="D815" s="5"/>
      <c r="E815" s="5"/>
      <c r="F815" s="5"/>
      <c r="G815" s="5"/>
      <c r="H815" s="57"/>
      <c r="I815" s="58"/>
      <c r="J815" s="58"/>
      <c r="K815" s="59"/>
      <c r="L815" s="5"/>
      <c r="M815" s="5"/>
      <c r="N815" s="5"/>
      <c r="O815" s="5"/>
      <c r="P815" s="5"/>
      <c r="Q815" s="5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23.25" customHeight="1" x14ac:dyDescent="0.3">
      <c r="A816" s="56"/>
      <c r="B816" s="31"/>
      <c r="C816" s="5"/>
      <c r="D816" s="5"/>
      <c r="E816" s="5"/>
      <c r="F816" s="5"/>
      <c r="G816" s="5"/>
      <c r="H816" s="57"/>
      <c r="I816" s="58"/>
      <c r="J816" s="58"/>
      <c r="K816" s="59"/>
      <c r="L816" s="5"/>
      <c r="M816" s="5"/>
      <c r="N816" s="5"/>
      <c r="O816" s="5"/>
      <c r="P816" s="5"/>
      <c r="Q816" s="5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23.25" customHeight="1" x14ac:dyDescent="0.3">
      <c r="A817" s="56"/>
      <c r="B817" s="31"/>
      <c r="C817" s="5"/>
      <c r="D817" s="5"/>
      <c r="E817" s="5"/>
      <c r="F817" s="5"/>
      <c r="G817" s="5"/>
      <c r="H817" s="57"/>
      <c r="I817" s="58"/>
      <c r="J817" s="58"/>
      <c r="K817" s="59"/>
      <c r="L817" s="5"/>
      <c r="M817" s="5"/>
      <c r="N817" s="5"/>
      <c r="O817" s="5"/>
      <c r="P817" s="5"/>
      <c r="Q817" s="5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23.25" customHeight="1" x14ac:dyDescent="0.3">
      <c r="A818" s="56"/>
      <c r="B818" s="31"/>
      <c r="C818" s="5"/>
      <c r="D818" s="5"/>
      <c r="E818" s="5"/>
      <c r="F818" s="5"/>
      <c r="G818" s="5"/>
      <c r="H818" s="57"/>
      <c r="I818" s="58"/>
      <c r="J818" s="58"/>
      <c r="K818" s="59"/>
      <c r="L818" s="5"/>
      <c r="M818" s="5"/>
      <c r="N818" s="5"/>
      <c r="O818" s="5"/>
      <c r="P818" s="5"/>
      <c r="Q818" s="5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23.25" customHeight="1" x14ac:dyDescent="0.3">
      <c r="A819" s="56"/>
      <c r="B819" s="31"/>
      <c r="C819" s="5"/>
      <c r="D819" s="5"/>
      <c r="E819" s="5"/>
      <c r="F819" s="5"/>
      <c r="G819" s="5"/>
      <c r="H819" s="57"/>
      <c r="I819" s="58"/>
      <c r="J819" s="58"/>
      <c r="K819" s="59"/>
      <c r="L819" s="5"/>
      <c r="M819" s="5"/>
      <c r="N819" s="5"/>
      <c r="O819" s="5"/>
      <c r="P819" s="5"/>
      <c r="Q819" s="5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23.25" customHeight="1" x14ac:dyDescent="0.3">
      <c r="A820" s="56"/>
      <c r="B820" s="31"/>
      <c r="C820" s="5"/>
      <c r="D820" s="5"/>
      <c r="E820" s="5"/>
      <c r="F820" s="5"/>
      <c r="G820" s="5"/>
      <c r="H820" s="57"/>
      <c r="I820" s="58"/>
      <c r="J820" s="58"/>
      <c r="K820" s="59"/>
      <c r="L820" s="5"/>
      <c r="M820" s="5"/>
      <c r="N820" s="5"/>
      <c r="O820" s="5"/>
      <c r="P820" s="5"/>
      <c r="Q820" s="5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23.25" customHeight="1" x14ac:dyDescent="0.3">
      <c r="A821" s="56"/>
      <c r="B821" s="31"/>
      <c r="C821" s="5"/>
      <c r="D821" s="5"/>
      <c r="E821" s="5"/>
      <c r="F821" s="5"/>
      <c r="G821" s="5"/>
      <c r="H821" s="57"/>
      <c r="I821" s="58"/>
      <c r="J821" s="58"/>
      <c r="K821" s="59"/>
      <c r="L821" s="5"/>
      <c r="M821" s="5"/>
      <c r="N821" s="5"/>
      <c r="O821" s="5"/>
      <c r="P821" s="5"/>
      <c r="Q821" s="5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23.25" customHeight="1" x14ac:dyDescent="0.3">
      <c r="A822" s="56"/>
      <c r="B822" s="31"/>
      <c r="C822" s="5"/>
      <c r="D822" s="5"/>
      <c r="E822" s="5"/>
      <c r="F822" s="5"/>
      <c r="G822" s="5"/>
      <c r="H822" s="57"/>
      <c r="I822" s="58"/>
      <c r="J822" s="58"/>
      <c r="K822" s="59"/>
      <c r="L822" s="5"/>
      <c r="M822" s="5"/>
      <c r="N822" s="5"/>
      <c r="O822" s="5"/>
      <c r="P822" s="5"/>
      <c r="Q822" s="5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23.25" customHeight="1" x14ac:dyDescent="0.3">
      <c r="A823" s="56"/>
      <c r="B823" s="31"/>
      <c r="C823" s="5"/>
      <c r="D823" s="5"/>
      <c r="E823" s="5"/>
      <c r="F823" s="5"/>
      <c r="G823" s="5"/>
      <c r="H823" s="57"/>
      <c r="I823" s="58"/>
      <c r="J823" s="58"/>
      <c r="K823" s="59"/>
      <c r="L823" s="5"/>
      <c r="M823" s="5"/>
      <c r="N823" s="5"/>
      <c r="O823" s="5"/>
      <c r="P823" s="5"/>
      <c r="Q823" s="5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23.25" customHeight="1" x14ac:dyDescent="0.3">
      <c r="A824" s="56"/>
      <c r="B824" s="31"/>
      <c r="C824" s="5"/>
      <c r="D824" s="5"/>
      <c r="E824" s="5"/>
      <c r="F824" s="5"/>
      <c r="G824" s="5"/>
      <c r="H824" s="57"/>
      <c r="I824" s="58"/>
      <c r="J824" s="58"/>
      <c r="K824" s="59"/>
      <c r="L824" s="5"/>
      <c r="M824" s="5"/>
      <c r="N824" s="5"/>
      <c r="O824" s="5"/>
      <c r="P824" s="5"/>
      <c r="Q824" s="5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23.25" customHeight="1" x14ac:dyDescent="0.3">
      <c r="A825" s="56"/>
      <c r="B825" s="31"/>
      <c r="C825" s="5"/>
      <c r="D825" s="5"/>
      <c r="E825" s="5"/>
      <c r="F825" s="5"/>
      <c r="G825" s="5"/>
      <c r="H825" s="57"/>
      <c r="I825" s="58"/>
      <c r="J825" s="58"/>
      <c r="K825" s="59"/>
      <c r="L825" s="5"/>
      <c r="M825" s="5"/>
      <c r="N825" s="5"/>
      <c r="O825" s="5"/>
      <c r="P825" s="5"/>
      <c r="Q825" s="5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23.25" customHeight="1" x14ac:dyDescent="0.3">
      <c r="A826" s="56"/>
      <c r="B826" s="31"/>
      <c r="C826" s="5"/>
      <c r="D826" s="5"/>
      <c r="E826" s="5"/>
      <c r="F826" s="5"/>
      <c r="G826" s="5"/>
      <c r="H826" s="57"/>
      <c r="I826" s="58"/>
      <c r="J826" s="58"/>
      <c r="K826" s="59"/>
      <c r="L826" s="5"/>
      <c r="M826" s="5"/>
      <c r="N826" s="5"/>
      <c r="O826" s="5"/>
      <c r="P826" s="5"/>
      <c r="Q826" s="5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23.25" customHeight="1" x14ac:dyDescent="0.3">
      <c r="A827" s="56"/>
      <c r="B827" s="31"/>
      <c r="C827" s="5"/>
      <c r="D827" s="5"/>
      <c r="E827" s="5"/>
      <c r="F827" s="5"/>
      <c r="G827" s="5"/>
      <c r="H827" s="57"/>
      <c r="I827" s="58"/>
      <c r="J827" s="58"/>
      <c r="K827" s="59"/>
      <c r="L827" s="5"/>
      <c r="M827" s="5"/>
      <c r="N827" s="5"/>
      <c r="O827" s="5"/>
      <c r="P827" s="5"/>
      <c r="Q827" s="5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23.25" customHeight="1" x14ac:dyDescent="0.3">
      <c r="A828" s="56"/>
      <c r="B828" s="31"/>
      <c r="C828" s="5"/>
      <c r="D828" s="5"/>
      <c r="E828" s="5"/>
      <c r="F828" s="5"/>
      <c r="G828" s="5"/>
      <c r="H828" s="57"/>
      <c r="I828" s="58"/>
      <c r="J828" s="58"/>
      <c r="K828" s="59"/>
      <c r="L828" s="5"/>
      <c r="M828" s="5"/>
      <c r="N828" s="5"/>
      <c r="O828" s="5"/>
      <c r="P828" s="5"/>
      <c r="Q828" s="5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23.25" customHeight="1" x14ac:dyDescent="0.3">
      <c r="A829" s="56"/>
      <c r="B829" s="31"/>
      <c r="C829" s="5"/>
      <c r="D829" s="5"/>
      <c r="E829" s="5"/>
      <c r="F829" s="5"/>
      <c r="G829" s="5"/>
      <c r="H829" s="57"/>
      <c r="I829" s="58"/>
      <c r="J829" s="58"/>
      <c r="K829" s="59"/>
      <c r="L829" s="5"/>
      <c r="M829" s="5"/>
      <c r="N829" s="5"/>
      <c r="O829" s="5"/>
      <c r="P829" s="5"/>
      <c r="Q829" s="5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23.25" customHeight="1" x14ac:dyDescent="0.3">
      <c r="A830" s="56"/>
      <c r="B830" s="31"/>
      <c r="C830" s="5"/>
      <c r="D830" s="5"/>
      <c r="E830" s="5"/>
      <c r="F830" s="5"/>
      <c r="G830" s="5"/>
      <c r="H830" s="57"/>
      <c r="I830" s="58"/>
      <c r="J830" s="58"/>
      <c r="K830" s="59"/>
      <c r="L830" s="5"/>
      <c r="M830" s="5"/>
      <c r="N830" s="5"/>
      <c r="O830" s="5"/>
      <c r="P830" s="5"/>
      <c r="Q830" s="5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23.25" customHeight="1" x14ac:dyDescent="0.3">
      <c r="A831" s="56"/>
      <c r="B831" s="31"/>
      <c r="C831" s="5"/>
      <c r="D831" s="5"/>
      <c r="E831" s="5"/>
      <c r="F831" s="5"/>
      <c r="G831" s="5"/>
      <c r="H831" s="57"/>
      <c r="I831" s="58"/>
      <c r="J831" s="58"/>
      <c r="K831" s="59"/>
      <c r="L831" s="5"/>
      <c r="M831" s="5"/>
      <c r="N831" s="5"/>
      <c r="O831" s="5"/>
      <c r="P831" s="5"/>
      <c r="Q831" s="5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23.25" customHeight="1" x14ac:dyDescent="0.3">
      <c r="A832" s="56"/>
      <c r="B832" s="31"/>
      <c r="C832" s="5"/>
      <c r="D832" s="5"/>
      <c r="E832" s="5"/>
      <c r="F832" s="5"/>
      <c r="G832" s="5"/>
      <c r="H832" s="57"/>
      <c r="I832" s="58"/>
      <c r="J832" s="58"/>
      <c r="K832" s="59"/>
      <c r="L832" s="5"/>
      <c r="M832" s="5"/>
      <c r="N832" s="5"/>
      <c r="O832" s="5"/>
      <c r="P832" s="5"/>
      <c r="Q832" s="5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23.25" customHeight="1" x14ac:dyDescent="0.3">
      <c r="A833" s="56"/>
      <c r="B833" s="31"/>
      <c r="C833" s="5"/>
      <c r="D833" s="5"/>
      <c r="E833" s="5"/>
      <c r="F833" s="5"/>
      <c r="G833" s="5"/>
      <c r="H833" s="57"/>
      <c r="I833" s="58"/>
      <c r="J833" s="58"/>
      <c r="K833" s="59"/>
      <c r="L833" s="5"/>
      <c r="M833" s="5"/>
      <c r="N833" s="5"/>
      <c r="O833" s="5"/>
      <c r="P833" s="5"/>
      <c r="Q833" s="5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23.25" customHeight="1" x14ac:dyDescent="0.3">
      <c r="A834" s="56"/>
      <c r="B834" s="31"/>
      <c r="C834" s="5"/>
      <c r="D834" s="5"/>
      <c r="E834" s="5"/>
      <c r="F834" s="5"/>
      <c r="G834" s="5"/>
      <c r="H834" s="57"/>
      <c r="I834" s="58"/>
      <c r="J834" s="58"/>
      <c r="K834" s="59"/>
      <c r="L834" s="5"/>
      <c r="M834" s="5"/>
      <c r="N834" s="5"/>
      <c r="O834" s="5"/>
      <c r="P834" s="5"/>
      <c r="Q834" s="5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23.25" customHeight="1" x14ac:dyDescent="0.3">
      <c r="A835" s="56"/>
      <c r="B835" s="31"/>
      <c r="C835" s="5"/>
      <c r="D835" s="5"/>
      <c r="E835" s="5"/>
      <c r="F835" s="5"/>
      <c r="G835" s="5"/>
      <c r="H835" s="57"/>
      <c r="I835" s="58"/>
      <c r="J835" s="58"/>
      <c r="K835" s="59"/>
      <c r="L835" s="5"/>
      <c r="M835" s="5"/>
      <c r="N835" s="5"/>
      <c r="O835" s="5"/>
      <c r="P835" s="5"/>
      <c r="Q835" s="5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23.25" customHeight="1" x14ac:dyDescent="0.3">
      <c r="A836" s="56"/>
      <c r="B836" s="31"/>
      <c r="C836" s="5"/>
      <c r="D836" s="5"/>
      <c r="E836" s="5"/>
      <c r="F836" s="5"/>
      <c r="G836" s="5"/>
      <c r="H836" s="57"/>
      <c r="I836" s="58"/>
      <c r="J836" s="58"/>
      <c r="K836" s="59"/>
      <c r="L836" s="5"/>
      <c r="M836" s="5"/>
      <c r="N836" s="5"/>
      <c r="O836" s="5"/>
      <c r="P836" s="5"/>
      <c r="Q836" s="5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23.25" customHeight="1" x14ac:dyDescent="0.3">
      <c r="A837" s="56"/>
      <c r="B837" s="31"/>
      <c r="C837" s="5"/>
      <c r="D837" s="5"/>
      <c r="E837" s="5"/>
      <c r="F837" s="5"/>
      <c r="G837" s="5"/>
      <c r="H837" s="57"/>
      <c r="I837" s="58"/>
      <c r="J837" s="58"/>
      <c r="K837" s="59"/>
      <c r="L837" s="5"/>
      <c r="M837" s="5"/>
      <c r="N837" s="5"/>
      <c r="O837" s="5"/>
      <c r="P837" s="5"/>
      <c r="Q837" s="5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23.25" customHeight="1" x14ac:dyDescent="0.3">
      <c r="A838" s="56"/>
      <c r="B838" s="31"/>
      <c r="C838" s="5"/>
      <c r="D838" s="5"/>
      <c r="E838" s="5"/>
      <c r="F838" s="5"/>
      <c r="G838" s="5"/>
      <c r="H838" s="57"/>
      <c r="I838" s="58"/>
      <c r="J838" s="58"/>
      <c r="K838" s="59"/>
      <c r="L838" s="5"/>
      <c r="M838" s="5"/>
      <c r="N838" s="5"/>
      <c r="O838" s="5"/>
      <c r="P838" s="5"/>
      <c r="Q838" s="5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23.25" customHeight="1" x14ac:dyDescent="0.3">
      <c r="A839" s="56"/>
      <c r="B839" s="31"/>
      <c r="C839" s="5"/>
      <c r="D839" s="5"/>
      <c r="E839" s="5"/>
      <c r="F839" s="5"/>
      <c r="G839" s="5"/>
      <c r="H839" s="57"/>
      <c r="I839" s="58"/>
      <c r="J839" s="58"/>
      <c r="K839" s="59"/>
      <c r="L839" s="5"/>
      <c r="M839" s="5"/>
      <c r="N839" s="5"/>
      <c r="O839" s="5"/>
      <c r="P839" s="5"/>
      <c r="Q839" s="5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23.25" customHeight="1" x14ac:dyDescent="0.3">
      <c r="A840" s="56"/>
      <c r="B840" s="31"/>
      <c r="C840" s="5"/>
      <c r="D840" s="5"/>
      <c r="E840" s="5"/>
      <c r="F840" s="5"/>
      <c r="G840" s="5"/>
      <c r="H840" s="57"/>
      <c r="I840" s="58"/>
      <c r="J840" s="58"/>
      <c r="K840" s="59"/>
      <c r="L840" s="5"/>
      <c r="M840" s="5"/>
      <c r="N840" s="5"/>
      <c r="O840" s="5"/>
      <c r="P840" s="5"/>
      <c r="Q840" s="5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23.25" customHeight="1" x14ac:dyDescent="0.3">
      <c r="A841" s="56"/>
      <c r="B841" s="31"/>
      <c r="C841" s="5"/>
      <c r="D841" s="5"/>
      <c r="E841" s="5"/>
      <c r="F841" s="5"/>
      <c r="G841" s="5"/>
      <c r="H841" s="57"/>
      <c r="I841" s="58"/>
      <c r="J841" s="58"/>
      <c r="K841" s="59"/>
      <c r="L841" s="5"/>
      <c r="M841" s="5"/>
      <c r="N841" s="5"/>
      <c r="O841" s="5"/>
      <c r="P841" s="5"/>
      <c r="Q841" s="5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23.25" customHeight="1" x14ac:dyDescent="0.3">
      <c r="A842" s="56"/>
      <c r="B842" s="31"/>
      <c r="C842" s="5"/>
      <c r="D842" s="5"/>
      <c r="E842" s="5"/>
      <c r="F842" s="5"/>
      <c r="G842" s="5"/>
      <c r="H842" s="57"/>
      <c r="I842" s="58"/>
      <c r="J842" s="58"/>
      <c r="K842" s="59"/>
      <c r="L842" s="5"/>
      <c r="M842" s="5"/>
      <c r="N842" s="5"/>
      <c r="O842" s="5"/>
      <c r="P842" s="5"/>
      <c r="Q842" s="5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23.25" customHeight="1" x14ac:dyDescent="0.3">
      <c r="A843" s="56"/>
      <c r="B843" s="31"/>
      <c r="C843" s="5"/>
      <c r="D843" s="5"/>
      <c r="E843" s="5"/>
      <c r="F843" s="5"/>
      <c r="G843" s="5"/>
      <c r="H843" s="57"/>
      <c r="I843" s="58"/>
      <c r="J843" s="58"/>
      <c r="K843" s="59"/>
      <c r="L843" s="5"/>
      <c r="M843" s="5"/>
      <c r="N843" s="5"/>
      <c r="O843" s="5"/>
      <c r="P843" s="5"/>
      <c r="Q843" s="5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23.25" customHeight="1" x14ac:dyDescent="0.3">
      <c r="A844" s="56"/>
      <c r="B844" s="31"/>
      <c r="C844" s="5"/>
      <c r="D844" s="5"/>
      <c r="E844" s="5"/>
      <c r="F844" s="5"/>
      <c r="G844" s="5"/>
      <c r="H844" s="57"/>
      <c r="I844" s="58"/>
      <c r="J844" s="58"/>
      <c r="K844" s="59"/>
      <c r="L844" s="5"/>
      <c r="M844" s="5"/>
      <c r="N844" s="5"/>
      <c r="O844" s="5"/>
      <c r="P844" s="5"/>
      <c r="Q844" s="5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23.25" customHeight="1" x14ac:dyDescent="0.3">
      <c r="A845" s="56"/>
      <c r="B845" s="31"/>
      <c r="C845" s="5"/>
      <c r="D845" s="5"/>
      <c r="E845" s="5"/>
      <c r="F845" s="5"/>
      <c r="G845" s="5"/>
      <c r="H845" s="57"/>
      <c r="I845" s="58"/>
      <c r="J845" s="58"/>
      <c r="K845" s="59"/>
      <c r="L845" s="5"/>
      <c r="M845" s="5"/>
      <c r="N845" s="5"/>
      <c r="O845" s="5"/>
      <c r="P845" s="5"/>
      <c r="Q845" s="5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23.25" customHeight="1" x14ac:dyDescent="0.3">
      <c r="A846" s="56"/>
      <c r="B846" s="31"/>
      <c r="C846" s="5"/>
      <c r="D846" s="5"/>
      <c r="E846" s="5"/>
      <c r="F846" s="5"/>
      <c r="G846" s="5"/>
      <c r="H846" s="57"/>
      <c r="I846" s="58"/>
      <c r="J846" s="58"/>
      <c r="K846" s="59"/>
      <c r="L846" s="5"/>
      <c r="M846" s="5"/>
      <c r="N846" s="5"/>
      <c r="O846" s="5"/>
      <c r="P846" s="5"/>
      <c r="Q846" s="5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23.25" customHeight="1" x14ac:dyDescent="0.3">
      <c r="A847" s="56"/>
      <c r="B847" s="31"/>
      <c r="C847" s="5"/>
      <c r="D847" s="5"/>
      <c r="E847" s="5"/>
      <c r="F847" s="5"/>
      <c r="G847" s="5"/>
      <c r="H847" s="57"/>
      <c r="I847" s="58"/>
      <c r="J847" s="58"/>
      <c r="K847" s="59"/>
      <c r="L847" s="5"/>
      <c r="M847" s="5"/>
      <c r="N847" s="5"/>
      <c r="O847" s="5"/>
      <c r="P847" s="5"/>
      <c r="Q847" s="5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23.25" customHeight="1" x14ac:dyDescent="0.3">
      <c r="A848" s="56"/>
      <c r="B848" s="31"/>
      <c r="C848" s="5"/>
      <c r="D848" s="5"/>
      <c r="E848" s="5"/>
      <c r="F848" s="5"/>
      <c r="G848" s="5"/>
      <c r="H848" s="57"/>
      <c r="I848" s="58"/>
      <c r="J848" s="58"/>
      <c r="K848" s="59"/>
      <c r="L848" s="5"/>
      <c r="M848" s="5"/>
      <c r="N848" s="5"/>
      <c r="O848" s="5"/>
      <c r="P848" s="5"/>
      <c r="Q848" s="5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23.25" customHeight="1" x14ac:dyDescent="0.3">
      <c r="A849" s="56"/>
      <c r="B849" s="31"/>
      <c r="C849" s="5"/>
      <c r="D849" s="5"/>
      <c r="E849" s="5"/>
      <c r="F849" s="5"/>
      <c r="G849" s="5"/>
      <c r="H849" s="57"/>
      <c r="I849" s="58"/>
      <c r="J849" s="58"/>
      <c r="K849" s="59"/>
      <c r="L849" s="5"/>
      <c r="M849" s="5"/>
      <c r="N849" s="5"/>
      <c r="O849" s="5"/>
      <c r="P849" s="5"/>
      <c r="Q849" s="5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23.25" customHeight="1" x14ac:dyDescent="0.3">
      <c r="A850" s="56"/>
      <c r="B850" s="31"/>
      <c r="C850" s="5"/>
      <c r="D850" s="5"/>
      <c r="E850" s="5"/>
      <c r="F850" s="5"/>
      <c r="G850" s="5"/>
      <c r="H850" s="57"/>
      <c r="I850" s="58"/>
      <c r="J850" s="58"/>
      <c r="K850" s="59"/>
      <c r="L850" s="5"/>
      <c r="M850" s="5"/>
      <c r="N850" s="5"/>
      <c r="O850" s="5"/>
      <c r="P850" s="5"/>
      <c r="Q850" s="5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23.25" customHeight="1" x14ac:dyDescent="0.3">
      <c r="A851" s="56"/>
      <c r="B851" s="31"/>
      <c r="C851" s="5"/>
      <c r="D851" s="5"/>
      <c r="E851" s="5"/>
      <c r="F851" s="5"/>
      <c r="G851" s="5"/>
      <c r="H851" s="57"/>
      <c r="I851" s="58"/>
      <c r="J851" s="58"/>
      <c r="K851" s="59"/>
      <c r="L851" s="5"/>
      <c r="M851" s="5"/>
      <c r="N851" s="5"/>
      <c r="O851" s="5"/>
      <c r="P851" s="5"/>
      <c r="Q851" s="5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23.25" customHeight="1" x14ac:dyDescent="0.3">
      <c r="A852" s="56"/>
      <c r="B852" s="31"/>
      <c r="C852" s="5"/>
      <c r="D852" s="5"/>
      <c r="E852" s="5"/>
      <c r="F852" s="5"/>
      <c r="G852" s="5"/>
      <c r="H852" s="57"/>
      <c r="I852" s="58"/>
      <c r="J852" s="58"/>
      <c r="K852" s="59"/>
      <c r="L852" s="5"/>
      <c r="M852" s="5"/>
      <c r="N852" s="5"/>
      <c r="O852" s="5"/>
      <c r="P852" s="5"/>
      <c r="Q852" s="5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23.25" customHeight="1" x14ac:dyDescent="0.3">
      <c r="A853" s="56"/>
      <c r="B853" s="31"/>
      <c r="C853" s="5"/>
      <c r="D853" s="5"/>
      <c r="E853" s="5"/>
      <c r="F853" s="5"/>
      <c r="G853" s="5"/>
      <c r="H853" s="57"/>
      <c r="I853" s="58"/>
      <c r="J853" s="58"/>
      <c r="K853" s="59"/>
      <c r="L853" s="5"/>
      <c r="M853" s="5"/>
      <c r="N853" s="5"/>
      <c r="O853" s="5"/>
      <c r="P853" s="5"/>
      <c r="Q853" s="5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23.25" customHeight="1" x14ac:dyDescent="0.3">
      <c r="A854" s="56"/>
      <c r="B854" s="31"/>
      <c r="C854" s="5"/>
      <c r="D854" s="5"/>
      <c r="E854" s="5"/>
      <c r="F854" s="5"/>
      <c r="G854" s="5"/>
      <c r="H854" s="57"/>
      <c r="I854" s="58"/>
      <c r="J854" s="58"/>
      <c r="K854" s="59"/>
      <c r="L854" s="5"/>
      <c r="M854" s="5"/>
      <c r="N854" s="5"/>
      <c r="O854" s="5"/>
      <c r="P854" s="5"/>
      <c r="Q854" s="5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23.25" customHeight="1" x14ac:dyDescent="0.3">
      <c r="A855" s="56"/>
      <c r="B855" s="31"/>
      <c r="C855" s="5"/>
      <c r="D855" s="5"/>
      <c r="E855" s="5"/>
      <c r="F855" s="5"/>
      <c r="G855" s="5"/>
      <c r="H855" s="57"/>
      <c r="I855" s="58"/>
      <c r="J855" s="58"/>
      <c r="K855" s="59"/>
      <c r="L855" s="5"/>
      <c r="M855" s="5"/>
      <c r="N855" s="5"/>
      <c r="O855" s="5"/>
      <c r="P855" s="5"/>
      <c r="Q855" s="5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23.25" customHeight="1" x14ac:dyDescent="0.3">
      <c r="A856" s="56"/>
      <c r="B856" s="31"/>
      <c r="C856" s="5"/>
      <c r="D856" s="5"/>
      <c r="E856" s="5"/>
      <c r="F856" s="5"/>
      <c r="G856" s="5"/>
      <c r="H856" s="57"/>
      <c r="I856" s="58"/>
      <c r="J856" s="58"/>
      <c r="K856" s="59"/>
      <c r="L856" s="5"/>
      <c r="M856" s="5"/>
      <c r="N856" s="5"/>
      <c r="O856" s="5"/>
      <c r="P856" s="5"/>
      <c r="Q856" s="5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23.25" customHeight="1" x14ac:dyDescent="0.3">
      <c r="A857" s="56"/>
      <c r="B857" s="31"/>
      <c r="C857" s="5"/>
      <c r="D857" s="5"/>
      <c r="E857" s="5"/>
      <c r="F857" s="5"/>
      <c r="G857" s="5"/>
      <c r="H857" s="57"/>
      <c r="I857" s="58"/>
      <c r="J857" s="58"/>
      <c r="K857" s="59"/>
      <c r="L857" s="5"/>
      <c r="M857" s="5"/>
      <c r="N857" s="5"/>
      <c r="O857" s="5"/>
      <c r="P857" s="5"/>
      <c r="Q857" s="5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23.25" customHeight="1" x14ac:dyDescent="0.3">
      <c r="A858" s="56"/>
      <c r="B858" s="31"/>
      <c r="C858" s="5"/>
      <c r="D858" s="5"/>
      <c r="E858" s="5"/>
      <c r="F858" s="5"/>
      <c r="G858" s="5"/>
      <c r="H858" s="57"/>
      <c r="I858" s="58"/>
      <c r="J858" s="58"/>
      <c r="K858" s="59"/>
      <c r="L858" s="5"/>
      <c r="M858" s="5"/>
      <c r="N858" s="5"/>
      <c r="O858" s="5"/>
      <c r="P858" s="5"/>
      <c r="Q858" s="5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23.25" customHeight="1" x14ac:dyDescent="0.3">
      <c r="A859" s="56"/>
      <c r="B859" s="31"/>
      <c r="C859" s="5"/>
      <c r="D859" s="5"/>
      <c r="E859" s="5"/>
      <c r="F859" s="5"/>
      <c r="G859" s="5"/>
      <c r="H859" s="57"/>
      <c r="I859" s="58"/>
      <c r="J859" s="58"/>
      <c r="K859" s="59"/>
      <c r="L859" s="5"/>
      <c r="M859" s="5"/>
      <c r="N859" s="5"/>
      <c r="O859" s="5"/>
      <c r="P859" s="5"/>
      <c r="Q859" s="5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23.25" customHeight="1" x14ac:dyDescent="0.3">
      <c r="A860" s="56"/>
      <c r="B860" s="31"/>
      <c r="C860" s="5"/>
      <c r="D860" s="5"/>
      <c r="E860" s="5"/>
      <c r="F860" s="5"/>
      <c r="G860" s="5"/>
      <c r="H860" s="57"/>
      <c r="I860" s="58"/>
      <c r="J860" s="58"/>
      <c r="K860" s="59"/>
      <c r="L860" s="5"/>
      <c r="M860" s="5"/>
      <c r="N860" s="5"/>
      <c r="O860" s="5"/>
      <c r="P860" s="5"/>
      <c r="Q860" s="5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23.25" customHeight="1" x14ac:dyDescent="0.3">
      <c r="A861" s="56"/>
      <c r="B861" s="31"/>
      <c r="C861" s="5"/>
      <c r="D861" s="5"/>
      <c r="E861" s="5"/>
      <c r="F861" s="5"/>
      <c r="G861" s="5"/>
      <c r="H861" s="57"/>
      <c r="I861" s="58"/>
      <c r="J861" s="58"/>
      <c r="K861" s="59"/>
      <c r="L861" s="5"/>
      <c r="M861" s="5"/>
      <c r="N861" s="5"/>
      <c r="O861" s="5"/>
      <c r="P861" s="5"/>
      <c r="Q861" s="5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23.25" customHeight="1" x14ac:dyDescent="0.3">
      <c r="A862" s="56"/>
      <c r="B862" s="31"/>
      <c r="C862" s="5"/>
      <c r="D862" s="5"/>
      <c r="E862" s="5"/>
      <c r="F862" s="5"/>
      <c r="G862" s="5"/>
      <c r="H862" s="57"/>
      <c r="I862" s="58"/>
      <c r="J862" s="58"/>
      <c r="K862" s="59"/>
      <c r="L862" s="5"/>
      <c r="M862" s="5"/>
      <c r="N862" s="5"/>
      <c r="O862" s="5"/>
      <c r="P862" s="5"/>
      <c r="Q862" s="5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23.25" customHeight="1" x14ac:dyDescent="0.3">
      <c r="A863" s="56"/>
      <c r="B863" s="31"/>
      <c r="C863" s="5"/>
      <c r="D863" s="5"/>
      <c r="E863" s="5"/>
      <c r="F863" s="5"/>
      <c r="G863" s="5"/>
      <c r="H863" s="57"/>
      <c r="I863" s="58"/>
      <c r="J863" s="58"/>
      <c r="K863" s="59"/>
      <c r="L863" s="5"/>
      <c r="M863" s="5"/>
      <c r="N863" s="5"/>
      <c r="O863" s="5"/>
      <c r="P863" s="5"/>
      <c r="Q863" s="5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23.25" customHeight="1" x14ac:dyDescent="0.3">
      <c r="A864" s="56"/>
      <c r="B864" s="31"/>
      <c r="C864" s="5"/>
      <c r="D864" s="5"/>
      <c r="E864" s="5"/>
      <c r="F864" s="5"/>
      <c r="G864" s="5"/>
      <c r="H864" s="57"/>
      <c r="I864" s="58"/>
      <c r="J864" s="58"/>
      <c r="K864" s="59"/>
      <c r="L864" s="5"/>
      <c r="M864" s="5"/>
      <c r="N864" s="5"/>
      <c r="O864" s="5"/>
      <c r="P864" s="5"/>
      <c r="Q864" s="5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23.25" customHeight="1" x14ac:dyDescent="0.3">
      <c r="A865" s="56"/>
      <c r="B865" s="31"/>
      <c r="C865" s="5"/>
      <c r="D865" s="5"/>
      <c r="E865" s="5"/>
      <c r="F865" s="5"/>
      <c r="G865" s="5"/>
      <c r="H865" s="57"/>
      <c r="I865" s="58"/>
      <c r="J865" s="58"/>
      <c r="K865" s="59"/>
      <c r="L865" s="5"/>
      <c r="M865" s="5"/>
      <c r="N865" s="5"/>
      <c r="O865" s="5"/>
      <c r="P865" s="5"/>
      <c r="Q865" s="5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23.25" customHeight="1" x14ac:dyDescent="0.3">
      <c r="A866" s="56"/>
      <c r="B866" s="31"/>
      <c r="C866" s="5"/>
      <c r="D866" s="5"/>
      <c r="E866" s="5"/>
      <c r="F866" s="5"/>
      <c r="G866" s="5"/>
      <c r="H866" s="57"/>
      <c r="I866" s="58"/>
      <c r="J866" s="58"/>
      <c r="K866" s="59"/>
      <c r="L866" s="5"/>
      <c r="M866" s="5"/>
      <c r="N866" s="5"/>
      <c r="O866" s="5"/>
      <c r="P866" s="5"/>
      <c r="Q866" s="5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23.25" customHeight="1" x14ac:dyDescent="0.3">
      <c r="A867" s="56"/>
      <c r="B867" s="31"/>
      <c r="C867" s="5"/>
      <c r="D867" s="5"/>
      <c r="E867" s="5"/>
      <c r="F867" s="5"/>
      <c r="G867" s="5"/>
      <c r="H867" s="57"/>
      <c r="I867" s="58"/>
      <c r="J867" s="58"/>
      <c r="K867" s="59"/>
      <c r="L867" s="5"/>
      <c r="M867" s="5"/>
      <c r="N867" s="5"/>
      <c r="O867" s="5"/>
      <c r="P867" s="5"/>
      <c r="Q867" s="5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23.25" customHeight="1" x14ac:dyDescent="0.3">
      <c r="A868" s="56"/>
      <c r="B868" s="31"/>
      <c r="C868" s="5"/>
      <c r="D868" s="5"/>
      <c r="E868" s="5"/>
      <c r="F868" s="5"/>
      <c r="G868" s="5"/>
      <c r="H868" s="57"/>
      <c r="I868" s="58"/>
      <c r="J868" s="58"/>
      <c r="K868" s="59"/>
      <c r="L868" s="5"/>
      <c r="M868" s="5"/>
      <c r="N868" s="5"/>
      <c r="O868" s="5"/>
      <c r="P868" s="5"/>
      <c r="Q868" s="5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23.25" customHeight="1" x14ac:dyDescent="0.3">
      <c r="A869" s="56"/>
      <c r="B869" s="31"/>
      <c r="C869" s="5"/>
      <c r="D869" s="5"/>
      <c r="E869" s="5"/>
      <c r="F869" s="5"/>
      <c r="G869" s="5"/>
      <c r="H869" s="57"/>
      <c r="I869" s="58"/>
      <c r="J869" s="58"/>
      <c r="K869" s="59"/>
      <c r="L869" s="5"/>
      <c r="M869" s="5"/>
      <c r="N869" s="5"/>
      <c r="O869" s="5"/>
      <c r="P869" s="5"/>
      <c r="Q869" s="5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23.25" customHeight="1" x14ac:dyDescent="0.3">
      <c r="A870" s="56"/>
      <c r="B870" s="31"/>
      <c r="C870" s="5"/>
      <c r="D870" s="5"/>
      <c r="E870" s="5"/>
      <c r="F870" s="5"/>
      <c r="G870" s="5"/>
      <c r="H870" s="57"/>
      <c r="I870" s="58"/>
      <c r="J870" s="58"/>
      <c r="K870" s="59"/>
      <c r="L870" s="5"/>
      <c r="M870" s="5"/>
      <c r="N870" s="5"/>
      <c r="O870" s="5"/>
      <c r="P870" s="5"/>
      <c r="Q870" s="5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23.25" customHeight="1" x14ac:dyDescent="0.3">
      <c r="A871" s="56"/>
      <c r="B871" s="31"/>
      <c r="C871" s="5"/>
      <c r="D871" s="5"/>
      <c r="E871" s="5"/>
      <c r="F871" s="5"/>
      <c r="G871" s="5"/>
      <c r="H871" s="57"/>
      <c r="I871" s="58"/>
      <c r="J871" s="58"/>
      <c r="K871" s="59"/>
      <c r="L871" s="5"/>
      <c r="M871" s="5"/>
      <c r="N871" s="5"/>
      <c r="O871" s="5"/>
      <c r="P871" s="5"/>
      <c r="Q871" s="5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23.25" customHeight="1" x14ac:dyDescent="0.3">
      <c r="A872" s="56"/>
      <c r="B872" s="31"/>
      <c r="C872" s="5"/>
      <c r="D872" s="5"/>
      <c r="E872" s="5"/>
      <c r="F872" s="5"/>
      <c r="G872" s="5"/>
      <c r="H872" s="57"/>
      <c r="I872" s="58"/>
      <c r="J872" s="58"/>
      <c r="K872" s="59"/>
      <c r="L872" s="5"/>
      <c r="M872" s="5"/>
      <c r="N872" s="5"/>
      <c r="O872" s="5"/>
      <c r="P872" s="5"/>
      <c r="Q872" s="5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23.25" customHeight="1" x14ac:dyDescent="0.3">
      <c r="A873" s="56"/>
      <c r="B873" s="31"/>
      <c r="C873" s="5"/>
      <c r="D873" s="5"/>
      <c r="E873" s="5"/>
      <c r="F873" s="5"/>
      <c r="G873" s="5"/>
      <c r="H873" s="57"/>
      <c r="I873" s="58"/>
      <c r="J873" s="58"/>
      <c r="K873" s="59"/>
      <c r="L873" s="5"/>
      <c r="M873" s="5"/>
      <c r="N873" s="5"/>
      <c r="O873" s="5"/>
      <c r="P873" s="5"/>
      <c r="Q873" s="5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23.25" customHeight="1" x14ac:dyDescent="0.3">
      <c r="A874" s="56"/>
      <c r="B874" s="31"/>
      <c r="C874" s="5"/>
      <c r="D874" s="5"/>
      <c r="E874" s="5"/>
      <c r="F874" s="5"/>
      <c r="G874" s="5"/>
      <c r="H874" s="57"/>
      <c r="I874" s="58"/>
      <c r="J874" s="58"/>
      <c r="K874" s="59"/>
      <c r="L874" s="5"/>
      <c r="M874" s="5"/>
      <c r="N874" s="5"/>
      <c r="O874" s="5"/>
      <c r="P874" s="5"/>
      <c r="Q874" s="5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23.25" customHeight="1" x14ac:dyDescent="0.3">
      <c r="A875" s="56"/>
      <c r="B875" s="31"/>
      <c r="C875" s="5"/>
      <c r="D875" s="5"/>
      <c r="E875" s="5"/>
      <c r="F875" s="5"/>
      <c r="G875" s="5"/>
      <c r="H875" s="57"/>
      <c r="I875" s="58"/>
      <c r="J875" s="58"/>
      <c r="K875" s="59"/>
      <c r="L875" s="5"/>
      <c r="M875" s="5"/>
      <c r="N875" s="5"/>
      <c r="O875" s="5"/>
      <c r="P875" s="5"/>
      <c r="Q875" s="5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23.25" customHeight="1" x14ac:dyDescent="0.3">
      <c r="A876" s="56"/>
      <c r="B876" s="31"/>
      <c r="C876" s="5"/>
      <c r="D876" s="5"/>
      <c r="E876" s="5"/>
      <c r="F876" s="5"/>
      <c r="G876" s="5"/>
      <c r="H876" s="57"/>
      <c r="I876" s="58"/>
      <c r="J876" s="58"/>
      <c r="K876" s="59"/>
      <c r="L876" s="5"/>
      <c r="M876" s="5"/>
      <c r="N876" s="5"/>
      <c r="O876" s="5"/>
      <c r="P876" s="5"/>
      <c r="Q876" s="5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23.25" customHeight="1" x14ac:dyDescent="0.3">
      <c r="A877" s="56"/>
      <c r="B877" s="31"/>
      <c r="C877" s="5"/>
      <c r="D877" s="5"/>
      <c r="E877" s="5"/>
      <c r="F877" s="5"/>
      <c r="G877" s="5"/>
      <c r="H877" s="57"/>
      <c r="I877" s="58"/>
      <c r="J877" s="58"/>
      <c r="K877" s="59"/>
      <c r="L877" s="5"/>
      <c r="M877" s="5"/>
      <c r="N877" s="5"/>
      <c r="O877" s="5"/>
      <c r="P877" s="5"/>
      <c r="Q877" s="5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23.25" customHeight="1" x14ac:dyDescent="0.3">
      <c r="A878" s="56"/>
      <c r="B878" s="31"/>
      <c r="C878" s="5"/>
      <c r="D878" s="5"/>
      <c r="E878" s="5"/>
      <c r="F878" s="5"/>
      <c r="G878" s="5"/>
      <c r="H878" s="57"/>
      <c r="I878" s="58"/>
      <c r="J878" s="58"/>
      <c r="K878" s="59"/>
      <c r="L878" s="5"/>
      <c r="M878" s="5"/>
      <c r="N878" s="5"/>
      <c r="O878" s="5"/>
      <c r="P878" s="5"/>
      <c r="Q878" s="5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23.25" customHeight="1" x14ac:dyDescent="0.3">
      <c r="A879" s="56"/>
      <c r="B879" s="31"/>
      <c r="C879" s="5"/>
      <c r="D879" s="5"/>
      <c r="E879" s="5"/>
      <c r="F879" s="5"/>
      <c r="G879" s="5"/>
      <c r="H879" s="57"/>
      <c r="I879" s="58"/>
      <c r="J879" s="58"/>
      <c r="K879" s="59"/>
      <c r="L879" s="5"/>
      <c r="M879" s="5"/>
      <c r="N879" s="5"/>
      <c r="O879" s="5"/>
      <c r="P879" s="5"/>
      <c r="Q879" s="5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23.25" customHeight="1" x14ac:dyDescent="0.3">
      <c r="A880" s="56"/>
      <c r="B880" s="31"/>
      <c r="C880" s="5"/>
      <c r="D880" s="5"/>
      <c r="E880" s="5"/>
      <c r="F880" s="5"/>
      <c r="G880" s="5"/>
      <c r="H880" s="57"/>
      <c r="I880" s="58"/>
      <c r="J880" s="58"/>
      <c r="K880" s="59"/>
      <c r="L880" s="5"/>
      <c r="M880" s="5"/>
      <c r="N880" s="5"/>
      <c r="O880" s="5"/>
      <c r="P880" s="5"/>
      <c r="Q880" s="5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23.25" customHeight="1" x14ac:dyDescent="0.3">
      <c r="A881" s="56"/>
      <c r="B881" s="31"/>
      <c r="C881" s="5"/>
      <c r="D881" s="5"/>
      <c r="E881" s="5"/>
      <c r="F881" s="5"/>
      <c r="G881" s="5"/>
      <c r="H881" s="57"/>
      <c r="I881" s="58"/>
      <c r="J881" s="58"/>
      <c r="K881" s="59"/>
      <c r="L881" s="5"/>
      <c r="M881" s="5"/>
      <c r="N881" s="5"/>
      <c r="O881" s="5"/>
      <c r="P881" s="5"/>
      <c r="Q881" s="5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23.25" customHeight="1" x14ac:dyDescent="0.3">
      <c r="A882" s="56"/>
      <c r="B882" s="31"/>
      <c r="C882" s="5"/>
      <c r="D882" s="5"/>
      <c r="E882" s="5"/>
      <c r="F882" s="5"/>
      <c r="G882" s="5"/>
      <c r="H882" s="57"/>
      <c r="I882" s="58"/>
      <c r="J882" s="58"/>
      <c r="K882" s="59"/>
      <c r="L882" s="5"/>
      <c r="M882" s="5"/>
      <c r="N882" s="5"/>
      <c r="O882" s="5"/>
      <c r="P882" s="5"/>
      <c r="Q882" s="5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23.25" customHeight="1" x14ac:dyDescent="0.3">
      <c r="A883" s="56"/>
      <c r="B883" s="31"/>
      <c r="C883" s="5"/>
      <c r="D883" s="5"/>
      <c r="E883" s="5"/>
      <c r="F883" s="5"/>
      <c r="G883" s="5"/>
      <c r="H883" s="57"/>
      <c r="I883" s="58"/>
      <c r="J883" s="58"/>
      <c r="K883" s="59"/>
      <c r="L883" s="5"/>
      <c r="M883" s="5"/>
      <c r="N883" s="5"/>
      <c r="O883" s="5"/>
      <c r="P883" s="5"/>
      <c r="Q883" s="5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23.25" customHeight="1" x14ac:dyDescent="0.3">
      <c r="A884" s="56"/>
      <c r="B884" s="31"/>
      <c r="C884" s="5"/>
      <c r="D884" s="5"/>
      <c r="E884" s="5"/>
      <c r="F884" s="5"/>
      <c r="G884" s="5"/>
      <c r="H884" s="57"/>
      <c r="I884" s="58"/>
      <c r="J884" s="58"/>
      <c r="K884" s="59"/>
      <c r="L884" s="5"/>
      <c r="M884" s="5"/>
      <c r="N884" s="5"/>
      <c r="O884" s="5"/>
      <c r="P884" s="5"/>
      <c r="Q884" s="5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23.25" customHeight="1" x14ac:dyDescent="0.3">
      <c r="A885" s="56"/>
      <c r="B885" s="31"/>
      <c r="C885" s="5"/>
      <c r="D885" s="5"/>
      <c r="E885" s="5"/>
      <c r="F885" s="5"/>
      <c r="G885" s="5"/>
      <c r="H885" s="57"/>
      <c r="I885" s="58"/>
      <c r="J885" s="58"/>
      <c r="K885" s="59"/>
      <c r="L885" s="5"/>
      <c r="M885" s="5"/>
      <c r="N885" s="5"/>
      <c r="O885" s="5"/>
      <c r="P885" s="5"/>
      <c r="Q885" s="5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23.25" customHeight="1" x14ac:dyDescent="0.3">
      <c r="A886" s="56"/>
      <c r="B886" s="31"/>
      <c r="C886" s="5"/>
      <c r="D886" s="5"/>
      <c r="E886" s="5"/>
      <c r="F886" s="5"/>
      <c r="G886" s="5"/>
      <c r="H886" s="57"/>
      <c r="I886" s="58"/>
      <c r="J886" s="58"/>
      <c r="K886" s="59"/>
      <c r="L886" s="5"/>
      <c r="M886" s="5"/>
      <c r="N886" s="5"/>
      <c r="O886" s="5"/>
      <c r="P886" s="5"/>
      <c r="Q886" s="5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23.25" customHeight="1" x14ac:dyDescent="0.3">
      <c r="A887" s="56"/>
      <c r="B887" s="31"/>
      <c r="C887" s="5"/>
      <c r="D887" s="5"/>
      <c r="E887" s="5"/>
      <c r="F887" s="5"/>
      <c r="G887" s="5"/>
      <c r="H887" s="57"/>
      <c r="I887" s="58"/>
      <c r="J887" s="58"/>
      <c r="K887" s="59"/>
      <c r="L887" s="5"/>
      <c r="M887" s="5"/>
      <c r="N887" s="5"/>
      <c r="O887" s="5"/>
      <c r="P887" s="5"/>
      <c r="Q887" s="5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23.25" customHeight="1" x14ac:dyDescent="0.3">
      <c r="A888" s="56"/>
      <c r="B888" s="31"/>
      <c r="C888" s="5"/>
      <c r="D888" s="5"/>
      <c r="E888" s="5"/>
      <c r="F888" s="5"/>
      <c r="G888" s="5"/>
      <c r="H888" s="57"/>
      <c r="I888" s="58"/>
      <c r="J888" s="58"/>
      <c r="K888" s="59"/>
      <c r="L888" s="5"/>
      <c r="M888" s="5"/>
      <c r="N888" s="5"/>
      <c r="O888" s="5"/>
      <c r="P888" s="5"/>
      <c r="Q888" s="5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23.25" customHeight="1" x14ac:dyDescent="0.3">
      <c r="A889" s="56"/>
      <c r="B889" s="31"/>
      <c r="C889" s="5"/>
      <c r="D889" s="5"/>
      <c r="E889" s="5"/>
      <c r="F889" s="5"/>
      <c r="G889" s="5"/>
      <c r="H889" s="57"/>
      <c r="I889" s="58"/>
      <c r="J889" s="58"/>
      <c r="K889" s="59"/>
      <c r="L889" s="5"/>
      <c r="M889" s="5"/>
      <c r="N889" s="5"/>
      <c r="O889" s="5"/>
      <c r="P889" s="5"/>
      <c r="Q889" s="5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23.25" customHeight="1" x14ac:dyDescent="0.3">
      <c r="A890" s="56"/>
      <c r="B890" s="31"/>
      <c r="C890" s="5"/>
      <c r="D890" s="5"/>
      <c r="E890" s="5"/>
      <c r="F890" s="5"/>
      <c r="G890" s="5"/>
      <c r="H890" s="57"/>
      <c r="I890" s="58"/>
      <c r="J890" s="58"/>
      <c r="K890" s="59"/>
      <c r="L890" s="5"/>
      <c r="M890" s="5"/>
      <c r="N890" s="5"/>
      <c r="O890" s="5"/>
      <c r="P890" s="5"/>
      <c r="Q890" s="5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23.25" customHeight="1" x14ac:dyDescent="0.3">
      <c r="A891" s="56"/>
      <c r="B891" s="31"/>
      <c r="C891" s="5"/>
      <c r="D891" s="5"/>
      <c r="E891" s="5"/>
      <c r="F891" s="5"/>
      <c r="G891" s="5"/>
      <c r="H891" s="57"/>
      <c r="I891" s="58"/>
      <c r="J891" s="58"/>
      <c r="K891" s="59"/>
      <c r="L891" s="5"/>
      <c r="M891" s="5"/>
      <c r="N891" s="5"/>
      <c r="O891" s="5"/>
      <c r="P891" s="5"/>
      <c r="Q891" s="5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23.25" customHeight="1" x14ac:dyDescent="0.3">
      <c r="A892" s="56"/>
      <c r="B892" s="31"/>
      <c r="C892" s="5"/>
      <c r="D892" s="5"/>
      <c r="E892" s="5"/>
      <c r="F892" s="5"/>
      <c r="G892" s="5"/>
      <c r="H892" s="57"/>
      <c r="I892" s="58"/>
      <c r="J892" s="58"/>
      <c r="K892" s="59"/>
      <c r="L892" s="5"/>
      <c r="M892" s="5"/>
      <c r="N892" s="5"/>
      <c r="O892" s="5"/>
      <c r="P892" s="5"/>
      <c r="Q892" s="5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23.25" customHeight="1" x14ac:dyDescent="0.3">
      <c r="A893" s="56"/>
      <c r="B893" s="31"/>
      <c r="C893" s="5"/>
      <c r="D893" s="5"/>
      <c r="E893" s="5"/>
      <c r="F893" s="5"/>
      <c r="G893" s="5"/>
      <c r="H893" s="57"/>
      <c r="I893" s="58"/>
      <c r="J893" s="58"/>
      <c r="K893" s="59"/>
      <c r="L893" s="5"/>
      <c r="M893" s="5"/>
      <c r="N893" s="5"/>
      <c r="O893" s="5"/>
      <c r="P893" s="5"/>
      <c r="Q893" s="5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23.25" customHeight="1" x14ac:dyDescent="0.3">
      <c r="A894" s="56"/>
      <c r="B894" s="31"/>
      <c r="C894" s="5"/>
      <c r="D894" s="5"/>
      <c r="E894" s="5"/>
      <c r="F894" s="5"/>
      <c r="G894" s="5"/>
      <c r="H894" s="57"/>
      <c r="I894" s="58"/>
      <c r="J894" s="58"/>
      <c r="K894" s="59"/>
      <c r="L894" s="5"/>
      <c r="M894" s="5"/>
      <c r="N894" s="5"/>
      <c r="O894" s="5"/>
      <c r="P894" s="5"/>
      <c r="Q894" s="5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23.25" customHeight="1" x14ac:dyDescent="0.3">
      <c r="A895" s="56"/>
      <c r="B895" s="31"/>
      <c r="C895" s="5"/>
      <c r="D895" s="5"/>
      <c r="E895" s="5"/>
      <c r="F895" s="5"/>
      <c r="G895" s="5"/>
      <c r="H895" s="57"/>
      <c r="I895" s="58"/>
      <c r="J895" s="58"/>
      <c r="K895" s="59"/>
      <c r="L895" s="5"/>
      <c r="M895" s="5"/>
      <c r="N895" s="5"/>
      <c r="O895" s="5"/>
      <c r="P895" s="5"/>
      <c r="Q895" s="5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23.25" customHeight="1" x14ac:dyDescent="0.3">
      <c r="A896" s="56"/>
      <c r="B896" s="31"/>
      <c r="C896" s="5"/>
      <c r="D896" s="5"/>
      <c r="E896" s="5"/>
      <c r="F896" s="5"/>
      <c r="G896" s="5"/>
      <c r="H896" s="57"/>
      <c r="I896" s="58"/>
      <c r="J896" s="58"/>
      <c r="K896" s="59"/>
      <c r="L896" s="5"/>
      <c r="M896" s="5"/>
      <c r="N896" s="5"/>
      <c r="O896" s="5"/>
      <c r="P896" s="5"/>
      <c r="Q896" s="5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23.25" customHeight="1" x14ac:dyDescent="0.3">
      <c r="A897" s="56"/>
      <c r="B897" s="31"/>
      <c r="C897" s="5"/>
      <c r="D897" s="5"/>
      <c r="E897" s="5"/>
      <c r="F897" s="5"/>
      <c r="G897" s="5"/>
      <c r="H897" s="57"/>
      <c r="I897" s="58"/>
      <c r="J897" s="58"/>
      <c r="K897" s="59"/>
      <c r="L897" s="5"/>
      <c r="M897" s="5"/>
      <c r="N897" s="5"/>
      <c r="O897" s="5"/>
      <c r="P897" s="5"/>
      <c r="Q897" s="5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23.25" customHeight="1" x14ac:dyDescent="0.3">
      <c r="A898" s="56"/>
      <c r="B898" s="31"/>
      <c r="C898" s="5"/>
      <c r="D898" s="5"/>
      <c r="E898" s="5"/>
      <c r="F898" s="5"/>
      <c r="G898" s="5"/>
      <c r="H898" s="57"/>
      <c r="I898" s="58"/>
      <c r="J898" s="58"/>
      <c r="K898" s="59"/>
      <c r="L898" s="5"/>
      <c r="M898" s="5"/>
      <c r="N898" s="5"/>
      <c r="O898" s="5"/>
      <c r="P898" s="5"/>
      <c r="Q898" s="5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23.25" customHeight="1" x14ac:dyDescent="0.3">
      <c r="A899" s="56"/>
      <c r="B899" s="31"/>
      <c r="C899" s="5"/>
      <c r="D899" s="5"/>
      <c r="E899" s="5"/>
      <c r="F899" s="5"/>
      <c r="G899" s="5"/>
      <c r="H899" s="57"/>
      <c r="I899" s="58"/>
      <c r="J899" s="58"/>
      <c r="K899" s="59"/>
      <c r="L899" s="5"/>
      <c r="M899" s="5"/>
      <c r="N899" s="5"/>
      <c r="O899" s="5"/>
      <c r="P899" s="5"/>
      <c r="Q899" s="5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23.25" customHeight="1" x14ac:dyDescent="0.3">
      <c r="A900" s="56"/>
      <c r="B900" s="31"/>
      <c r="C900" s="5"/>
      <c r="D900" s="5"/>
      <c r="E900" s="5"/>
      <c r="F900" s="5"/>
      <c r="G900" s="5"/>
      <c r="H900" s="57"/>
      <c r="I900" s="58"/>
      <c r="J900" s="58"/>
      <c r="K900" s="59"/>
      <c r="L900" s="5"/>
      <c r="M900" s="5"/>
      <c r="N900" s="5"/>
      <c r="O900" s="5"/>
      <c r="P900" s="5"/>
      <c r="Q900" s="5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23.25" customHeight="1" x14ac:dyDescent="0.3">
      <c r="A901" s="56"/>
      <c r="B901" s="31"/>
      <c r="C901" s="5"/>
      <c r="D901" s="5"/>
      <c r="E901" s="5"/>
      <c r="F901" s="5"/>
      <c r="G901" s="5"/>
      <c r="H901" s="57"/>
      <c r="I901" s="58"/>
      <c r="J901" s="58"/>
      <c r="K901" s="59"/>
      <c r="L901" s="5"/>
      <c r="M901" s="5"/>
      <c r="N901" s="5"/>
      <c r="O901" s="5"/>
      <c r="P901" s="5"/>
      <c r="Q901" s="5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23.25" customHeight="1" x14ac:dyDescent="0.3">
      <c r="A902" s="56"/>
      <c r="B902" s="31"/>
      <c r="C902" s="5"/>
      <c r="D902" s="5"/>
      <c r="E902" s="5"/>
      <c r="F902" s="5"/>
      <c r="G902" s="5"/>
      <c r="H902" s="57"/>
      <c r="I902" s="58"/>
      <c r="J902" s="58"/>
      <c r="K902" s="59"/>
      <c r="L902" s="5"/>
      <c r="M902" s="5"/>
      <c r="N902" s="5"/>
      <c r="O902" s="5"/>
      <c r="P902" s="5"/>
      <c r="Q902" s="5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23.25" customHeight="1" x14ac:dyDescent="0.3">
      <c r="A903" s="56"/>
      <c r="B903" s="31"/>
      <c r="C903" s="5"/>
      <c r="D903" s="5"/>
      <c r="E903" s="5"/>
      <c r="F903" s="5"/>
      <c r="G903" s="5"/>
      <c r="H903" s="57"/>
      <c r="I903" s="58"/>
      <c r="J903" s="58"/>
      <c r="K903" s="59"/>
      <c r="L903" s="5"/>
      <c r="M903" s="5"/>
      <c r="N903" s="5"/>
      <c r="O903" s="5"/>
      <c r="P903" s="5"/>
      <c r="Q903" s="5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23.25" customHeight="1" x14ac:dyDescent="0.3">
      <c r="A904" s="56"/>
      <c r="B904" s="31"/>
      <c r="C904" s="5"/>
      <c r="D904" s="5"/>
      <c r="E904" s="5"/>
      <c r="F904" s="5"/>
      <c r="G904" s="5"/>
      <c r="H904" s="57"/>
      <c r="I904" s="58"/>
      <c r="J904" s="58"/>
      <c r="K904" s="59"/>
      <c r="L904" s="5"/>
      <c r="M904" s="5"/>
      <c r="N904" s="5"/>
      <c r="O904" s="5"/>
      <c r="P904" s="5"/>
      <c r="Q904" s="5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23.25" customHeight="1" x14ac:dyDescent="0.3">
      <c r="A905" s="56"/>
      <c r="B905" s="31"/>
      <c r="C905" s="5"/>
      <c r="D905" s="5"/>
      <c r="E905" s="5"/>
      <c r="F905" s="5"/>
      <c r="G905" s="5"/>
      <c r="H905" s="57"/>
      <c r="I905" s="58"/>
      <c r="J905" s="58"/>
      <c r="K905" s="59"/>
      <c r="L905" s="5"/>
      <c r="M905" s="5"/>
      <c r="N905" s="5"/>
      <c r="O905" s="5"/>
      <c r="P905" s="5"/>
      <c r="Q905" s="5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23.25" customHeight="1" x14ac:dyDescent="0.3">
      <c r="A906" s="56"/>
      <c r="B906" s="31"/>
      <c r="C906" s="5"/>
      <c r="D906" s="5"/>
      <c r="E906" s="5"/>
      <c r="F906" s="5"/>
      <c r="G906" s="5"/>
      <c r="H906" s="57"/>
      <c r="I906" s="58"/>
      <c r="J906" s="58"/>
      <c r="K906" s="59"/>
      <c r="L906" s="5"/>
      <c r="M906" s="5"/>
      <c r="N906" s="5"/>
      <c r="O906" s="5"/>
      <c r="P906" s="5"/>
      <c r="Q906" s="5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23.25" customHeight="1" x14ac:dyDescent="0.3">
      <c r="A907" s="56"/>
      <c r="B907" s="31"/>
      <c r="C907" s="5"/>
      <c r="D907" s="5"/>
      <c r="E907" s="5"/>
      <c r="F907" s="5"/>
      <c r="G907" s="5"/>
      <c r="H907" s="57"/>
      <c r="I907" s="58"/>
      <c r="J907" s="58"/>
      <c r="K907" s="59"/>
      <c r="L907" s="5"/>
      <c r="M907" s="5"/>
      <c r="N907" s="5"/>
      <c r="O907" s="5"/>
      <c r="P907" s="5"/>
      <c r="Q907" s="5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23.25" customHeight="1" x14ac:dyDescent="0.3">
      <c r="A908" s="56"/>
      <c r="B908" s="31"/>
      <c r="C908" s="5"/>
      <c r="D908" s="5"/>
      <c r="E908" s="5"/>
      <c r="F908" s="5"/>
      <c r="G908" s="5"/>
      <c r="H908" s="57"/>
      <c r="I908" s="58"/>
      <c r="J908" s="58"/>
      <c r="K908" s="59"/>
      <c r="L908" s="5"/>
      <c r="M908" s="5"/>
      <c r="N908" s="5"/>
      <c r="O908" s="5"/>
      <c r="P908" s="5"/>
      <c r="Q908" s="5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23.25" customHeight="1" x14ac:dyDescent="0.3">
      <c r="A909" s="56"/>
      <c r="B909" s="31"/>
      <c r="C909" s="5"/>
      <c r="D909" s="5"/>
      <c r="E909" s="5"/>
      <c r="F909" s="5"/>
      <c r="G909" s="5"/>
      <c r="H909" s="57"/>
      <c r="I909" s="58"/>
      <c r="J909" s="58"/>
      <c r="K909" s="59"/>
      <c r="L909" s="5"/>
      <c r="M909" s="5"/>
      <c r="N909" s="5"/>
      <c r="O909" s="5"/>
      <c r="P909" s="5"/>
      <c r="Q909" s="5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23.25" customHeight="1" x14ac:dyDescent="0.3">
      <c r="A910" s="56"/>
      <c r="B910" s="31"/>
      <c r="C910" s="5"/>
      <c r="D910" s="5"/>
      <c r="E910" s="5"/>
      <c r="F910" s="5"/>
      <c r="G910" s="5"/>
      <c r="H910" s="57"/>
      <c r="I910" s="58"/>
      <c r="J910" s="58"/>
      <c r="K910" s="59"/>
      <c r="L910" s="5"/>
      <c r="M910" s="5"/>
      <c r="N910" s="5"/>
      <c r="O910" s="5"/>
      <c r="P910" s="5"/>
      <c r="Q910" s="5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23.25" customHeight="1" x14ac:dyDescent="0.3">
      <c r="A911" s="56"/>
      <c r="B911" s="31"/>
      <c r="C911" s="5"/>
      <c r="D911" s="5"/>
      <c r="E911" s="5"/>
      <c r="F911" s="5"/>
      <c r="G911" s="5"/>
      <c r="H911" s="57"/>
      <c r="I911" s="58"/>
      <c r="J911" s="58"/>
      <c r="K911" s="59"/>
      <c r="L911" s="5"/>
      <c r="M911" s="5"/>
      <c r="N911" s="5"/>
      <c r="O911" s="5"/>
      <c r="P911" s="5"/>
      <c r="Q911" s="5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23.25" customHeight="1" x14ac:dyDescent="0.3">
      <c r="A912" s="56"/>
      <c r="B912" s="31"/>
      <c r="C912" s="5"/>
      <c r="D912" s="5"/>
      <c r="E912" s="5"/>
      <c r="F912" s="5"/>
      <c r="G912" s="5"/>
      <c r="H912" s="57"/>
      <c r="I912" s="58"/>
      <c r="J912" s="58"/>
      <c r="K912" s="59"/>
      <c r="L912" s="5"/>
      <c r="M912" s="5"/>
      <c r="N912" s="5"/>
      <c r="O912" s="5"/>
      <c r="P912" s="5"/>
      <c r="Q912" s="5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23.25" customHeight="1" x14ac:dyDescent="0.3">
      <c r="A913" s="56"/>
      <c r="B913" s="31"/>
      <c r="C913" s="5"/>
      <c r="D913" s="5"/>
      <c r="E913" s="5"/>
      <c r="F913" s="5"/>
      <c r="G913" s="5"/>
      <c r="H913" s="57"/>
      <c r="I913" s="58"/>
      <c r="J913" s="58"/>
      <c r="K913" s="59"/>
      <c r="L913" s="5"/>
      <c r="M913" s="5"/>
      <c r="N913" s="5"/>
      <c r="O913" s="5"/>
      <c r="P913" s="5"/>
      <c r="Q913" s="5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23.25" customHeight="1" x14ac:dyDescent="0.3">
      <c r="A914" s="56"/>
      <c r="B914" s="31"/>
      <c r="C914" s="5"/>
      <c r="D914" s="5"/>
      <c r="E914" s="5"/>
      <c r="F914" s="5"/>
      <c r="G914" s="5"/>
      <c r="H914" s="57"/>
      <c r="I914" s="58"/>
      <c r="J914" s="58"/>
      <c r="K914" s="59"/>
      <c r="L914" s="5"/>
      <c r="M914" s="5"/>
      <c r="N914" s="5"/>
      <c r="O914" s="5"/>
      <c r="P914" s="5"/>
      <c r="Q914" s="5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23.25" customHeight="1" x14ac:dyDescent="0.3">
      <c r="A915" s="56"/>
      <c r="B915" s="31"/>
      <c r="C915" s="5"/>
      <c r="D915" s="5"/>
      <c r="E915" s="5"/>
      <c r="F915" s="5"/>
      <c r="G915" s="5"/>
      <c r="H915" s="57"/>
      <c r="I915" s="58"/>
      <c r="J915" s="58"/>
      <c r="K915" s="59"/>
      <c r="L915" s="5"/>
      <c r="M915" s="5"/>
      <c r="N915" s="5"/>
      <c r="O915" s="5"/>
      <c r="P915" s="5"/>
      <c r="Q915" s="5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23.25" customHeight="1" x14ac:dyDescent="0.3">
      <c r="A916" s="56"/>
      <c r="B916" s="31"/>
      <c r="C916" s="5"/>
      <c r="D916" s="5"/>
      <c r="E916" s="5"/>
      <c r="F916" s="5"/>
      <c r="G916" s="5"/>
      <c r="H916" s="57"/>
      <c r="I916" s="58"/>
      <c r="J916" s="58"/>
      <c r="K916" s="59"/>
      <c r="L916" s="5"/>
      <c r="M916" s="5"/>
      <c r="N916" s="5"/>
      <c r="O916" s="5"/>
      <c r="P916" s="5"/>
      <c r="Q916" s="5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23.25" customHeight="1" x14ac:dyDescent="0.3">
      <c r="A917" s="56"/>
      <c r="B917" s="31"/>
      <c r="C917" s="5"/>
      <c r="D917" s="5"/>
      <c r="E917" s="5"/>
      <c r="F917" s="5"/>
      <c r="G917" s="5"/>
      <c r="H917" s="57"/>
      <c r="I917" s="58"/>
      <c r="J917" s="58"/>
      <c r="K917" s="59"/>
      <c r="L917" s="5"/>
      <c r="M917" s="5"/>
      <c r="N917" s="5"/>
      <c r="O917" s="5"/>
      <c r="P917" s="5"/>
      <c r="Q917" s="5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23.25" customHeight="1" x14ac:dyDescent="0.3">
      <c r="A918" s="56"/>
      <c r="B918" s="31"/>
      <c r="C918" s="5"/>
      <c r="D918" s="5"/>
      <c r="E918" s="5"/>
      <c r="F918" s="5"/>
      <c r="G918" s="5"/>
      <c r="H918" s="57"/>
      <c r="I918" s="58"/>
      <c r="J918" s="58"/>
      <c r="K918" s="59"/>
      <c r="L918" s="5"/>
      <c r="M918" s="5"/>
      <c r="N918" s="5"/>
      <c r="O918" s="5"/>
      <c r="P918" s="5"/>
      <c r="Q918" s="5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23.25" customHeight="1" x14ac:dyDescent="0.3">
      <c r="A919" s="56"/>
      <c r="B919" s="31"/>
      <c r="C919" s="5"/>
      <c r="D919" s="5"/>
      <c r="E919" s="5"/>
      <c r="F919" s="5"/>
      <c r="G919" s="5"/>
      <c r="H919" s="57"/>
      <c r="I919" s="58"/>
      <c r="J919" s="58"/>
      <c r="K919" s="59"/>
      <c r="L919" s="5"/>
      <c r="M919" s="5"/>
      <c r="N919" s="5"/>
      <c r="O919" s="5"/>
      <c r="P919" s="5"/>
      <c r="Q919" s="5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23.25" customHeight="1" x14ac:dyDescent="0.3">
      <c r="A920" s="56"/>
      <c r="B920" s="31"/>
      <c r="C920" s="5"/>
      <c r="D920" s="5"/>
      <c r="E920" s="5"/>
      <c r="F920" s="5"/>
      <c r="G920" s="5"/>
      <c r="H920" s="57"/>
      <c r="I920" s="58"/>
      <c r="J920" s="58"/>
      <c r="K920" s="59"/>
      <c r="L920" s="5"/>
      <c r="M920" s="5"/>
      <c r="N920" s="5"/>
      <c r="O920" s="5"/>
      <c r="P920" s="5"/>
      <c r="Q920" s="5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23.25" customHeight="1" x14ac:dyDescent="0.3">
      <c r="A921" s="56"/>
      <c r="B921" s="31"/>
      <c r="C921" s="5"/>
      <c r="D921" s="5"/>
      <c r="E921" s="5"/>
      <c r="F921" s="5"/>
      <c r="G921" s="5"/>
      <c r="H921" s="57"/>
      <c r="I921" s="58"/>
      <c r="J921" s="58"/>
      <c r="K921" s="59"/>
      <c r="L921" s="5"/>
      <c r="M921" s="5"/>
      <c r="N921" s="5"/>
      <c r="O921" s="5"/>
      <c r="P921" s="5"/>
      <c r="Q921" s="5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23.25" customHeight="1" x14ac:dyDescent="0.3">
      <c r="A922" s="56"/>
      <c r="B922" s="31"/>
      <c r="C922" s="5"/>
      <c r="D922" s="5"/>
      <c r="E922" s="5"/>
      <c r="F922" s="5"/>
      <c r="G922" s="5"/>
      <c r="H922" s="57"/>
      <c r="I922" s="58"/>
      <c r="J922" s="58"/>
      <c r="K922" s="59"/>
      <c r="L922" s="5"/>
      <c r="M922" s="5"/>
      <c r="N922" s="5"/>
      <c r="O922" s="5"/>
      <c r="P922" s="5"/>
      <c r="Q922" s="5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23.25" customHeight="1" x14ac:dyDescent="0.3">
      <c r="A923" s="56"/>
      <c r="B923" s="31"/>
      <c r="C923" s="5"/>
      <c r="D923" s="5"/>
      <c r="E923" s="5"/>
      <c r="F923" s="5"/>
      <c r="G923" s="5"/>
      <c r="H923" s="57"/>
      <c r="I923" s="58"/>
      <c r="J923" s="58"/>
      <c r="K923" s="59"/>
      <c r="L923" s="5"/>
      <c r="M923" s="5"/>
      <c r="N923" s="5"/>
      <c r="O923" s="5"/>
      <c r="P923" s="5"/>
      <c r="Q923" s="5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23.25" customHeight="1" x14ac:dyDescent="0.3">
      <c r="A924" s="56"/>
      <c r="B924" s="31"/>
      <c r="C924" s="5"/>
      <c r="D924" s="5"/>
      <c r="E924" s="5"/>
      <c r="F924" s="5"/>
      <c r="G924" s="5"/>
      <c r="H924" s="57"/>
      <c r="I924" s="58"/>
      <c r="J924" s="58"/>
      <c r="K924" s="59"/>
      <c r="L924" s="5"/>
      <c r="M924" s="5"/>
      <c r="N924" s="5"/>
      <c r="O924" s="5"/>
      <c r="P924" s="5"/>
      <c r="Q924" s="5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23.25" customHeight="1" x14ac:dyDescent="0.3">
      <c r="A925" s="56"/>
      <c r="B925" s="31"/>
      <c r="C925" s="5"/>
      <c r="D925" s="5"/>
      <c r="E925" s="5"/>
      <c r="F925" s="5"/>
      <c r="G925" s="5"/>
      <c r="H925" s="57"/>
      <c r="I925" s="58"/>
      <c r="J925" s="58"/>
      <c r="K925" s="59"/>
      <c r="L925" s="5"/>
      <c r="M925" s="5"/>
      <c r="N925" s="5"/>
      <c r="O925" s="5"/>
      <c r="P925" s="5"/>
      <c r="Q925" s="5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23.25" customHeight="1" x14ac:dyDescent="0.3">
      <c r="A926" s="56"/>
      <c r="B926" s="31"/>
      <c r="C926" s="5"/>
      <c r="D926" s="5"/>
      <c r="E926" s="5"/>
      <c r="F926" s="5"/>
      <c r="G926" s="5"/>
      <c r="H926" s="57"/>
      <c r="I926" s="58"/>
      <c r="J926" s="58"/>
      <c r="K926" s="59"/>
      <c r="L926" s="5"/>
      <c r="M926" s="5"/>
      <c r="N926" s="5"/>
      <c r="O926" s="5"/>
      <c r="P926" s="5"/>
      <c r="Q926" s="5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23.25" customHeight="1" x14ac:dyDescent="0.3">
      <c r="A927" s="56"/>
      <c r="B927" s="31"/>
      <c r="C927" s="5"/>
      <c r="D927" s="5"/>
      <c r="E927" s="5"/>
      <c r="F927" s="5"/>
      <c r="G927" s="5"/>
      <c r="H927" s="57"/>
      <c r="I927" s="58"/>
      <c r="J927" s="58"/>
      <c r="K927" s="59"/>
      <c r="L927" s="5"/>
      <c r="M927" s="5"/>
      <c r="N927" s="5"/>
      <c r="O927" s="5"/>
      <c r="P927" s="5"/>
      <c r="Q927" s="5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23.25" customHeight="1" x14ac:dyDescent="0.3">
      <c r="A928" s="56"/>
      <c r="B928" s="31"/>
      <c r="C928" s="5"/>
      <c r="D928" s="5"/>
      <c r="E928" s="5"/>
      <c r="F928" s="5"/>
      <c r="G928" s="5"/>
      <c r="H928" s="57"/>
      <c r="I928" s="58"/>
      <c r="J928" s="58"/>
      <c r="K928" s="59"/>
      <c r="L928" s="5"/>
      <c r="M928" s="5"/>
      <c r="N928" s="5"/>
      <c r="O928" s="5"/>
      <c r="P928" s="5"/>
      <c r="Q928" s="5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23.25" customHeight="1" x14ac:dyDescent="0.3">
      <c r="A929" s="56"/>
      <c r="B929" s="31"/>
      <c r="C929" s="5"/>
      <c r="D929" s="5"/>
      <c r="E929" s="5"/>
      <c r="F929" s="5"/>
      <c r="G929" s="5"/>
      <c r="H929" s="57"/>
      <c r="I929" s="58"/>
      <c r="J929" s="58"/>
      <c r="K929" s="59"/>
      <c r="L929" s="5"/>
      <c r="M929" s="5"/>
      <c r="N929" s="5"/>
      <c r="O929" s="5"/>
      <c r="P929" s="5"/>
      <c r="Q929" s="5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23.25" customHeight="1" x14ac:dyDescent="0.3">
      <c r="A930" s="56"/>
      <c r="B930" s="31"/>
      <c r="C930" s="5"/>
      <c r="D930" s="5"/>
      <c r="E930" s="5"/>
      <c r="F930" s="5"/>
      <c r="G930" s="5"/>
      <c r="H930" s="57"/>
      <c r="I930" s="58"/>
      <c r="J930" s="58"/>
      <c r="K930" s="59"/>
      <c r="L930" s="5"/>
      <c r="M930" s="5"/>
      <c r="N930" s="5"/>
      <c r="O930" s="5"/>
      <c r="P930" s="5"/>
      <c r="Q930" s="5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23.25" customHeight="1" x14ac:dyDescent="0.3">
      <c r="A931" s="56"/>
      <c r="B931" s="31"/>
      <c r="C931" s="5"/>
      <c r="D931" s="5"/>
      <c r="E931" s="5"/>
      <c r="F931" s="5"/>
      <c r="G931" s="5"/>
      <c r="H931" s="57"/>
      <c r="I931" s="58"/>
      <c r="J931" s="58"/>
      <c r="K931" s="59"/>
      <c r="L931" s="5"/>
      <c r="M931" s="5"/>
      <c r="N931" s="5"/>
      <c r="O931" s="5"/>
      <c r="P931" s="5"/>
      <c r="Q931" s="5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23.25" customHeight="1" x14ac:dyDescent="0.3">
      <c r="A932" s="56"/>
      <c r="B932" s="31"/>
      <c r="C932" s="5"/>
      <c r="D932" s="5"/>
      <c r="E932" s="5"/>
      <c r="F932" s="5"/>
      <c r="G932" s="5"/>
      <c r="H932" s="57"/>
      <c r="I932" s="58"/>
      <c r="J932" s="58"/>
      <c r="K932" s="59"/>
      <c r="L932" s="5"/>
      <c r="M932" s="5"/>
      <c r="N932" s="5"/>
      <c r="O932" s="5"/>
      <c r="P932" s="5"/>
      <c r="Q932" s="5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23.25" customHeight="1" x14ac:dyDescent="0.3">
      <c r="A933" s="56"/>
      <c r="B933" s="31"/>
      <c r="C933" s="5"/>
      <c r="D933" s="5"/>
      <c r="E933" s="5"/>
      <c r="F933" s="5"/>
      <c r="G933" s="5"/>
      <c r="H933" s="57"/>
      <c r="I933" s="58"/>
      <c r="J933" s="58"/>
      <c r="K933" s="59"/>
      <c r="L933" s="5"/>
      <c r="M933" s="5"/>
      <c r="N933" s="5"/>
      <c r="O933" s="5"/>
      <c r="P933" s="5"/>
      <c r="Q933" s="5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23.25" customHeight="1" x14ac:dyDescent="0.3">
      <c r="A934" s="56"/>
      <c r="B934" s="31"/>
      <c r="C934" s="5"/>
      <c r="D934" s="5"/>
      <c r="E934" s="5"/>
      <c r="F934" s="5"/>
      <c r="G934" s="5"/>
      <c r="H934" s="57"/>
      <c r="I934" s="58"/>
      <c r="J934" s="58"/>
      <c r="K934" s="59"/>
      <c r="L934" s="5"/>
      <c r="M934" s="5"/>
      <c r="N934" s="5"/>
      <c r="O934" s="5"/>
      <c r="P934" s="5"/>
      <c r="Q934" s="5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23.25" customHeight="1" x14ac:dyDescent="0.3">
      <c r="A935" s="56"/>
      <c r="B935" s="31"/>
      <c r="C935" s="5"/>
      <c r="D935" s="5"/>
      <c r="E935" s="5"/>
      <c r="F935" s="5"/>
      <c r="G935" s="5"/>
      <c r="H935" s="57"/>
      <c r="I935" s="58"/>
      <c r="J935" s="58"/>
      <c r="K935" s="59"/>
      <c r="L935" s="5"/>
      <c r="M935" s="5"/>
      <c r="N935" s="5"/>
      <c r="O935" s="5"/>
      <c r="P935" s="5"/>
      <c r="Q935" s="5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23.25" customHeight="1" x14ac:dyDescent="0.3">
      <c r="A936" s="56"/>
      <c r="B936" s="31"/>
      <c r="C936" s="5"/>
      <c r="D936" s="5"/>
      <c r="E936" s="5"/>
      <c r="F936" s="5"/>
      <c r="G936" s="5"/>
      <c r="H936" s="57"/>
      <c r="I936" s="58"/>
      <c r="J936" s="58"/>
      <c r="K936" s="59"/>
      <c r="L936" s="5"/>
      <c r="M936" s="5"/>
      <c r="N936" s="5"/>
      <c r="O936" s="5"/>
      <c r="P936" s="5"/>
      <c r="Q936" s="5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23.25" customHeight="1" x14ac:dyDescent="0.3">
      <c r="A937" s="56"/>
      <c r="B937" s="31"/>
      <c r="C937" s="5"/>
      <c r="D937" s="5"/>
      <c r="E937" s="5"/>
      <c r="F937" s="5"/>
      <c r="G937" s="5"/>
      <c r="H937" s="57"/>
      <c r="I937" s="58"/>
      <c r="J937" s="58"/>
      <c r="K937" s="59"/>
      <c r="L937" s="5"/>
      <c r="M937" s="5"/>
      <c r="N937" s="5"/>
      <c r="O937" s="5"/>
      <c r="P937" s="5"/>
      <c r="Q937" s="5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23.25" customHeight="1" x14ac:dyDescent="0.3">
      <c r="A938" s="56"/>
      <c r="B938" s="31"/>
      <c r="C938" s="5"/>
      <c r="D938" s="5"/>
      <c r="E938" s="5"/>
      <c r="F938" s="5"/>
      <c r="G938" s="5"/>
      <c r="H938" s="57"/>
      <c r="I938" s="58"/>
      <c r="J938" s="58"/>
      <c r="K938" s="59"/>
      <c r="L938" s="5"/>
      <c r="M938" s="5"/>
      <c r="N938" s="5"/>
      <c r="O938" s="5"/>
      <c r="P938" s="5"/>
      <c r="Q938" s="5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23.25" customHeight="1" x14ac:dyDescent="0.3">
      <c r="A939" s="56"/>
      <c r="B939" s="31"/>
      <c r="C939" s="5"/>
      <c r="D939" s="5"/>
      <c r="E939" s="5"/>
      <c r="F939" s="5"/>
      <c r="G939" s="5"/>
      <c r="H939" s="57"/>
      <c r="I939" s="58"/>
      <c r="J939" s="58"/>
      <c r="K939" s="59"/>
      <c r="L939" s="5"/>
      <c r="M939" s="5"/>
      <c r="N939" s="5"/>
      <c r="O939" s="5"/>
      <c r="P939" s="5"/>
      <c r="Q939" s="5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23.25" customHeight="1" x14ac:dyDescent="0.3">
      <c r="A940" s="56"/>
      <c r="B940" s="31"/>
      <c r="C940" s="5"/>
      <c r="D940" s="5"/>
      <c r="E940" s="5"/>
      <c r="F940" s="5"/>
      <c r="G940" s="5"/>
      <c r="H940" s="57"/>
      <c r="I940" s="58"/>
      <c r="J940" s="58"/>
      <c r="K940" s="59"/>
      <c r="L940" s="5"/>
      <c r="M940" s="5"/>
      <c r="N940" s="5"/>
      <c r="O940" s="5"/>
      <c r="P940" s="5"/>
      <c r="Q940" s="5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23.25" customHeight="1" x14ac:dyDescent="0.3">
      <c r="A941" s="56"/>
      <c r="B941" s="31"/>
      <c r="C941" s="5"/>
      <c r="D941" s="5"/>
      <c r="E941" s="5"/>
      <c r="F941" s="5"/>
      <c r="G941" s="5"/>
      <c r="H941" s="57"/>
      <c r="I941" s="58"/>
      <c r="J941" s="58"/>
      <c r="K941" s="59"/>
      <c r="L941" s="5"/>
      <c r="M941" s="5"/>
      <c r="N941" s="5"/>
      <c r="O941" s="5"/>
      <c r="P941" s="5"/>
      <c r="Q941" s="5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23.25" customHeight="1" x14ac:dyDescent="0.3">
      <c r="A942" s="56"/>
      <c r="B942" s="31"/>
      <c r="C942" s="5"/>
      <c r="D942" s="5"/>
      <c r="E942" s="5"/>
      <c r="F942" s="5"/>
      <c r="G942" s="5"/>
      <c r="H942" s="57"/>
      <c r="I942" s="58"/>
      <c r="J942" s="58"/>
      <c r="K942" s="59"/>
      <c r="L942" s="5"/>
      <c r="M942" s="5"/>
      <c r="N942" s="5"/>
      <c r="O942" s="5"/>
      <c r="P942" s="5"/>
      <c r="Q942" s="5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23.25" customHeight="1" x14ac:dyDescent="0.3">
      <c r="A943" s="56"/>
      <c r="B943" s="31"/>
      <c r="C943" s="5"/>
      <c r="D943" s="5"/>
      <c r="E943" s="5"/>
      <c r="F943" s="5"/>
      <c r="G943" s="5"/>
      <c r="H943" s="57"/>
      <c r="I943" s="58"/>
      <c r="J943" s="58"/>
      <c r="K943" s="59"/>
      <c r="L943" s="5"/>
      <c r="M943" s="5"/>
      <c r="N943" s="5"/>
      <c r="O943" s="5"/>
      <c r="P943" s="5"/>
      <c r="Q943" s="5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23.25" customHeight="1" x14ac:dyDescent="0.3">
      <c r="A944" s="56"/>
      <c r="B944" s="31"/>
      <c r="C944" s="5"/>
      <c r="D944" s="5"/>
      <c r="E944" s="5"/>
      <c r="F944" s="5"/>
      <c r="G944" s="5"/>
      <c r="H944" s="57"/>
      <c r="I944" s="58"/>
      <c r="J944" s="58"/>
      <c r="K944" s="59"/>
      <c r="L944" s="5"/>
      <c r="M944" s="5"/>
      <c r="N944" s="5"/>
      <c r="O944" s="5"/>
      <c r="P944" s="5"/>
      <c r="Q944" s="5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23.25" customHeight="1" x14ac:dyDescent="0.3">
      <c r="A945" s="56"/>
      <c r="B945" s="31"/>
      <c r="C945" s="5"/>
      <c r="D945" s="5"/>
      <c r="E945" s="5"/>
      <c r="F945" s="5"/>
      <c r="G945" s="5"/>
      <c r="H945" s="57"/>
      <c r="I945" s="58"/>
      <c r="J945" s="58"/>
      <c r="K945" s="59"/>
      <c r="L945" s="5"/>
      <c r="M945" s="5"/>
      <c r="N945" s="5"/>
      <c r="O945" s="5"/>
      <c r="P945" s="5"/>
      <c r="Q945" s="5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23.25" customHeight="1" x14ac:dyDescent="0.3">
      <c r="A946" s="56"/>
      <c r="B946" s="31"/>
      <c r="C946" s="5"/>
      <c r="D946" s="5"/>
      <c r="E946" s="5"/>
      <c r="F946" s="5"/>
      <c r="G946" s="5"/>
      <c r="H946" s="57"/>
      <c r="I946" s="58"/>
      <c r="J946" s="58"/>
      <c r="K946" s="59"/>
      <c r="L946" s="5"/>
      <c r="M946" s="5"/>
      <c r="N946" s="5"/>
      <c r="O946" s="5"/>
      <c r="P946" s="5"/>
      <c r="Q946" s="5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23.25" customHeight="1" x14ac:dyDescent="0.3">
      <c r="A947" s="56"/>
      <c r="B947" s="31"/>
      <c r="C947" s="5"/>
      <c r="D947" s="5"/>
      <c r="E947" s="5"/>
      <c r="F947" s="5"/>
      <c r="G947" s="5"/>
      <c r="H947" s="57"/>
      <c r="I947" s="58"/>
      <c r="J947" s="58"/>
      <c r="K947" s="59"/>
      <c r="L947" s="5"/>
      <c r="M947" s="5"/>
      <c r="N947" s="5"/>
      <c r="O947" s="5"/>
      <c r="P947" s="5"/>
      <c r="Q947" s="5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23.25" customHeight="1" x14ac:dyDescent="0.3">
      <c r="A948" s="56"/>
      <c r="B948" s="31"/>
      <c r="C948" s="5"/>
      <c r="D948" s="5"/>
      <c r="E948" s="5"/>
      <c r="F948" s="5"/>
      <c r="G948" s="5"/>
      <c r="H948" s="57"/>
      <c r="I948" s="58"/>
      <c r="J948" s="58"/>
      <c r="K948" s="59"/>
      <c r="L948" s="5"/>
      <c r="M948" s="5"/>
      <c r="N948" s="5"/>
      <c r="O948" s="5"/>
      <c r="P948" s="5"/>
      <c r="Q948" s="5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23.25" customHeight="1" x14ac:dyDescent="0.3">
      <c r="A949" s="56"/>
      <c r="B949" s="31"/>
      <c r="C949" s="5"/>
      <c r="D949" s="5"/>
      <c r="E949" s="5"/>
      <c r="F949" s="5"/>
      <c r="G949" s="5"/>
      <c r="H949" s="57"/>
      <c r="I949" s="58"/>
      <c r="J949" s="58"/>
      <c r="K949" s="59"/>
      <c r="L949" s="5"/>
      <c r="M949" s="5"/>
      <c r="N949" s="5"/>
      <c r="O949" s="5"/>
      <c r="P949" s="5"/>
      <c r="Q949" s="5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23.25" customHeight="1" x14ac:dyDescent="0.3">
      <c r="A950" s="56"/>
      <c r="B950" s="31"/>
      <c r="C950" s="5"/>
      <c r="D950" s="5"/>
      <c r="E950" s="5"/>
      <c r="F950" s="5"/>
      <c r="G950" s="5"/>
      <c r="H950" s="57"/>
      <c r="I950" s="58"/>
      <c r="J950" s="58"/>
      <c r="K950" s="59"/>
      <c r="L950" s="5"/>
      <c r="M950" s="5"/>
      <c r="N950" s="5"/>
      <c r="O950" s="5"/>
      <c r="P950" s="5"/>
      <c r="Q950" s="5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23.25" customHeight="1" x14ac:dyDescent="0.3">
      <c r="A951" s="56"/>
      <c r="B951" s="31"/>
      <c r="C951" s="5"/>
      <c r="D951" s="5"/>
      <c r="E951" s="5"/>
      <c r="F951" s="5"/>
      <c r="G951" s="5"/>
      <c r="H951" s="57"/>
      <c r="I951" s="58"/>
      <c r="J951" s="58"/>
      <c r="K951" s="59"/>
      <c r="L951" s="5"/>
      <c r="M951" s="5"/>
      <c r="N951" s="5"/>
      <c r="O951" s="5"/>
      <c r="P951" s="5"/>
      <c r="Q951" s="5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23.25" customHeight="1" x14ac:dyDescent="0.3">
      <c r="A952" s="56"/>
      <c r="B952" s="31"/>
      <c r="C952" s="5"/>
      <c r="D952" s="5"/>
      <c r="E952" s="5"/>
      <c r="F952" s="5"/>
      <c r="G952" s="5"/>
      <c r="H952" s="57"/>
      <c r="I952" s="58"/>
      <c r="J952" s="58"/>
      <c r="K952" s="59"/>
      <c r="L952" s="5"/>
      <c r="M952" s="5"/>
      <c r="N952" s="5"/>
      <c r="O952" s="5"/>
      <c r="P952" s="5"/>
      <c r="Q952" s="5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23.25" customHeight="1" x14ac:dyDescent="0.3">
      <c r="A953" s="56"/>
      <c r="B953" s="31"/>
      <c r="C953" s="5"/>
      <c r="D953" s="5"/>
      <c r="E953" s="5"/>
      <c r="F953" s="5"/>
      <c r="G953" s="5"/>
      <c r="H953" s="57"/>
      <c r="I953" s="58"/>
      <c r="J953" s="58"/>
      <c r="K953" s="59"/>
      <c r="L953" s="5"/>
      <c r="M953" s="5"/>
      <c r="N953" s="5"/>
      <c r="O953" s="5"/>
      <c r="P953" s="5"/>
      <c r="Q953" s="5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23.25" customHeight="1" x14ac:dyDescent="0.3">
      <c r="A954" s="56"/>
      <c r="B954" s="31"/>
      <c r="C954" s="5"/>
      <c r="D954" s="5"/>
      <c r="E954" s="5"/>
      <c r="F954" s="5"/>
      <c r="G954" s="5"/>
      <c r="H954" s="57"/>
      <c r="I954" s="58"/>
      <c r="J954" s="58"/>
      <c r="K954" s="59"/>
      <c r="L954" s="5"/>
      <c r="M954" s="5"/>
      <c r="N954" s="5"/>
      <c r="O954" s="5"/>
      <c r="P954" s="5"/>
      <c r="Q954" s="5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23.25" customHeight="1" x14ac:dyDescent="0.3">
      <c r="A955" s="56"/>
      <c r="B955" s="31"/>
      <c r="C955" s="5"/>
      <c r="D955" s="5"/>
      <c r="E955" s="5"/>
      <c r="F955" s="5"/>
      <c r="G955" s="5"/>
      <c r="H955" s="57"/>
      <c r="I955" s="58"/>
      <c r="J955" s="58"/>
      <c r="K955" s="59"/>
      <c r="L955" s="5"/>
      <c r="M955" s="5"/>
      <c r="N955" s="5"/>
      <c r="O955" s="5"/>
      <c r="P955" s="5"/>
      <c r="Q955" s="5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23.25" customHeight="1" x14ac:dyDescent="0.3">
      <c r="A956" s="56"/>
      <c r="B956" s="31"/>
      <c r="C956" s="5"/>
      <c r="D956" s="5"/>
      <c r="E956" s="5"/>
      <c r="F956" s="5"/>
      <c r="G956" s="5"/>
      <c r="H956" s="57"/>
      <c r="I956" s="58"/>
      <c r="J956" s="58"/>
      <c r="K956" s="59"/>
      <c r="L956" s="5"/>
      <c r="M956" s="5"/>
      <c r="N956" s="5"/>
      <c r="O956" s="5"/>
      <c r="P956" s="5"/>
      <c r="Q956" s="5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23.25" customHeight="1" x14ac:dyDescent="0.3">
      <c r="A957" s="56"/>
      <c r="B957" s="31"/>
      <c r="C957" s="5"/>
      <c r="D957" s="5"/>
      <c r="E957" s="5"/>
      <c r="F957" s="5"/>
      <c r="G957" s="5"/>
      <c r="H957" s="57"/>
      <c r="I957" s="58"/>
      <c r="J957" s="58"/>
      <c r="K957" s="59"/>
      <c r="L957" s="5"/>
      <c r="M957" s="5"/>
      <c r="N957" s="5"/>
      <c r="O957" s="5"/>
      <c r="P957" s="5"/>
      <c r="Q957" s="5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23.25" customHeight="1" x14ac:dyDescent="0.3">
      <c r="A958" s="56"/>
      <c r="B958" s="31"/>
      <c r="C958" s="5"/>
      <c r="D958" s="5"/>
      <c r="E958" s="5"/>
      <c r="F958" s="5"/>
      <c r="G958" s="5"/>
      <c r="H958" s="57"/>
      <c r="I958" s="58"/>
      <c r="J958" s="58"/>
      <c r="K958" s="59"/>
      <c r="L958" s="5"/>
      <c r="M958" s="5"/>
      <c r="N958" s="5"/>
      <c r="O958" s="5"/>
      <c r="P958" s="5"/>
      <c r="Q958" s="5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23.25" customHeight="1" x14ac:dyDescent="0.3">
      <c r="A959" s="56"/>
      <c r="B959" s="31"/>
      <c r="C959" s="5"/>
      <c r="D959" s="5"/>
      <c r="E959" s="5"/>
      <c r="F959" s="5"/>
      <c r="G959" s="5"/>
      <c r="H959" s="57"/>
      <c r="I959" s="58"/>
      <c r="J959" s="58"/>
      <c r="K959" s="59"/>
      <c r="L959" s="5"/>
      <c r="M959" s="5"/>
      <c r="N959" s="5"/>
      <c r="O959" s="5"/>
      <c r="P959" s="5"/>
      <c r="Q959" s="5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23.25" customHeight="1" x14ac:dyDescent="0.3">
      <c r="A960" s="56"/>
      <c r="B960" s="31"/>
      <c r="C960" s="5"/>
      <c r="D960" s="5"/>
      <c r="E960" s="5"/>
      <c r="F960" s="5"/>
      <c r="G960" s="5"/>
      <c r="H960" s="57"/>
      <c r="I960" s="58"/>
      <c r="J960" s="58"/>
      <c r="K960" s="59"/>
      <c r="L960" s="5"/>
      <c r="M960" s="5"/>
      <c r="N960" s="5"/>
      <c r="O960" s="5"/>
      <c r="P960" s="5"/>
      <c r="Q960" s="5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23.25" customHeight="1" x14ac:dyDescent="0.3">
      <c r="A961" s="56"/>
      <c r="B961" s="31"/>
      <c r="C961" s="5"/>
      <c r="D961" s="5"/>
      <c r="E961" s="5"/>
      <c r="F961" s="5"/>
      <c r="G961" s="5"/>
      <c r="H961" s="57"/>
      <c r="I961" s="58"/>
      <c r="J961" s="58"/>
      <c r="K961" s="59"/>
      <c r="L961" s="5"/>
      <c r="M961" s="5"/>
      <c r="N961" s="5"/>
      <c r="O961" s="5"/>
      <c r="P961" s="5"/>
      <c r="Q961" s="5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23.25" customHeight="1" x14ac:dyDescent="0.3">
      <c r="A962" s="56"/>
      <c r="B962" s="31"/>
      <c r="C962" s="5"/>
      <c r="D962" s="5"/>
      <c r="E962" s="5"/>
      <c r="F962" s="5"/>
      <c r="G962" s="5"/>
      <c r="H962" s="57"/>
      <c r="I962" s="58"/>
      <c r="J962" s="58"/>
      <c r="K962" s="59"/>
      <c r="L962" s="5"/>
      <c r="M962" s="5"/>
      <c r="N962" s="5"/>
      <c r="O962" s="5"/>
      <c r="P962" s="5"/>
      <c r="Q962" s="5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23.25" customHeight="1" x14ac:dyDescent="0.3">
      <c r="A963" s="56"/>
      <c r="B963" s="31"/>
      <c r="C963" s="5"/>
      <c r="D963" s="5"/>
      <c r="E963" s="5"/>
      <c r="F963" s="5"/>
      <c r="G963" s="5"/>
      <c r="H963" s="57"/>
      <c r="I963" s="58"/>
      <c r="J963" s="58"/>
      <c r="K963" s="59"/>
      <c r="L963" s="5"/>
      <c r="M963" s="5"/>
      <c r="N963" s="5"/>
      <c r="O963" s="5"/>
      <c r="P963" s="5"/>
      <c r="Q963" s="5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23.25" customHeight="1" x14ac:dyDescent="0.3">
      <c r="A964" s="56"/>
      <c r="B964" s="31"/>
      <c r="C964" s="5"/>
      <c r="D964" s="5"/>
      <c r="E964" s="5"/>
      <c r="F964" s="5"/>
      <c r="G964" s="5"/>
      <c r="H964" s="57"/>
      <c r="I964" s="58"/>
      <c r="J964" s="58"/>
      <c r="K964" s="59"/>
      <c r="L964" s="5"/>
      <c r="M964" s="5"/>
      <c r="N964" s="5"/>
      <c r="O964" s="5"/>
      <c r="P964" s="5"/>
      <c r="Q964" s="5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23.25" customHeight="1" x14ac:dyDescent="0.3">
      <c r="A965" s="56"/>
      <c r="B965" s="31"/>
      <c r="C965" s="5"/>
      <c r="D965" s="5"/>
      <c r="E965" s="5"/>
      <c r="F965" s="5"/>
      <c r="G965" s="5"/>
      <c r="H965" s="57"/>
      <c r="I965" s="58"/>
      <c r="J965" s="58"/>
      <c r="K965" s="59"/>
      <c r="L965" s="5"/>
      <c r="M965" s="5"/>
      <c r="N965" s="5"/>
      <c r="O965" s="5"/>
      <c r="P965" s="5"/>
      <c r="Q965" s="5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23.25" customHeight="1" x14ac:dyDescent="0.3">
      <c r="A966" s="56"/>
      <c r="B966" s="31"/>
      <c r="C966" s="5"/>
      <c r="D966" s="5"/>
      <c r="E966" s="5"/>
      <c r="F966" s="5"/>
      <c r="G966" s="5"/>
      <c r="H966" s="57"/>
      <c r="I966" s="58"/>
      <c r="J966" s="58"/>
      <c r="K966" s="59"/>
      <c r="L966" s="5"/>
      <c r="M966" s="5"/>
      <c r="N966" s="5"/>
      <c r="O966" s="5"/>
      <c r="P966" s="5"/>
      <c r="Q966" s="5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23.25" customHeight="1" x14ac:dyDescent="0.3">
      <c r="A967" s="56"/>
      <c r="B967" s="31"/>
      <c r="C967" s="5"/>
      <c r="D967" s="5"/>
      <c r="E967" s="5"/>
      <c r="F967" s="5"/>
      <c r="G967" s="5"/>
      <c r="H967" s="57"/>
      <c r="I967" s="58"/>
      <c r="J967" s="58"/>
      <c r="K967" s="59"/>
      <c r="L967" s="5"/>
      <c r="M967" s="5"/>
      <c r="N967" s="5"/>
      <c r="O967" s="5"/>
      <c r="P967" s="5"/>
      <c r="Q967" s="5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23.25" customHeight="1" x14ac:dyDescent="0.3">
      <c r="A968" s="56"/>
      <c r="B968" s="31"/>
      <c r="C968" s="5"/>
      <c r="D968" s="5"/>
      <c r="E968" s="5"/>
      <c r="F968" s="5"/>
      <c r="G968" s="5"/>
      <c r="H968" s="57"/>
      <c r="I968" s="58"/>
      <c r="J968" s="58"/>
      <c r="K968" s="59"/>
      <c r="L968" s="5"/>
      <c r="M968" s="5"/>
      <c r="N968" s="5"/>
      <c r="O968" s="5"/>
      <c r="P968" s="5"/>
      <c r="Q968" s="5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23.25" customHeight="1" x14ac:dyDescent="0.3">
      <c r="A969" s="56"/>
      <c r="B969" s="31"/>
      <c r="C969" s="5"/>
      <c r="D969" s="5"/>
      <c r="E969" s="5"/>
      <c r="F969" s="5"/>
      <c r="G969" s="5"/>
      <c r="H969" s="57"/>
      <c r="I969" s="58"/>
      <c r="J969" s="58"/>
      <c r="K969" s="59"/>
      <c r="L969" s="5"/>
      <c r="M969" s="5"/>
      <c r="N969" s="5"/>
      <c r="O969" s="5"/>
      <c r="P969" s="5"/>
      <c r="Q969" s="5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23.25" customHeight="1" x14ac:dyDescent="0.3">
      <c r="A970" s="56"/>
      <c r="B970" s="31"/>
      <c r="C970" s="5"/>
      <c r="D970" s="5"/>
      <c r="E970" s="5"/>
      <c r="F970" s="5"/>
      <c r="G970" s="5"/>
      <c r="H970" s="57"/>
      <c r="I970" s="58"/>
      <c r="J970" s="58"/>
      <c r="K970" s="59"/>
      <c r="L970" s="5"/>
      <c r="M970" s="5"/>
      <c r="N970" s="5"/>
      <c r="O970" s="5"/>
      <c r="P970" s="5"/>
      <c r="Q970" s="5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23.25" customHeight="1" x14ac:dyDescent="0.3">
      <c r="A971" s="56"/>
      <c r="B971" s="31"/>
      <c r="C971" s="5"/>
      <c r="D971" s="5"/>
      <c r="E971" s="5"/>
      <c r="F971" s="5"/>
      <c r="G971" s="5"/>
      <c r="H971" s="57"/>
      <c r="I971" s="58"/>
      <c r="J971" s="58"/>
      <c r="K971" s="59"/>
      <c r="L971" s="5"/>
      <c r="M971" s="5"/>
      <c r="N971" s="5"/>
      <c r="O971" s="5"/>
      <c r="P971" s="5"/>
      <c r="Q971" s="5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23.25" customHeight="1" x14ac:dyDescent="0.3">
      <c r="A972" s="56"/>
      <c r="B972" s="31"/>
      <c r="C972" s="5"/>
      <c r="D972" s="5"/>
      <c r="E972" s="5"/>
      <c r="F972" s="5"/>
      <c r="G972" s="5"/>
      <c r="H972" s="57"/>
      <c r="I972" s="58"/>
      <c r="J972" s="58"/>
      <c r="K972" s="59"/>
      <c r="L972" s="5"/>
      <c r="M972" s="5"/>
      <c r="N972" s="5"/>
      <c r="O972" s="5"/>
      <c r="P972" s="5"/>
      <c r="Q972" s="5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23.25" customHeight="1" x14ac:dyDescent="0.3">
      <c r="A973" s="56"/>
      <c r="B973" s="31"/>
      <c r="C973" s="5"/>
      <c r="D973" s="5"/>
      <c r="E973" s="5"/>
      <c r="F973" s="5"/>
      <c r="G973" s="5"/>
      <c r="H973" s="57"/>
      <c r="I973" s="58"/>
      <c r="J973" s="58"/>
      <c r="K973" s="59"/>
      <c r="L973" s="5"/>
      <c r="M973" s="5"/>
      <c r="N973" s="5"/>
      <c r="O973" s="5"/>
      <c r="P973" s="5"/>
      <c r="Q973" s="5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23.25" customHeight="1" x14ac:dyDescent="0.3">
      <c r="A974" s="56"/>
      <c r="B974" s="31"/>
      <c r="C974" s="5"/>
      <c r="D974" s="5"/>
      <c r="E974" s="5"/>
      <c r="F974" s="5"/>
      <c r="G974" s="5"/>
      <c r="H974" s="57"/>
      <c r="I974" s="58"/>
      <c r="J974" s="58"/>
      <c r="K974" s="59"/>
      <c r="L974" s="5"/>
      <c r="M974" s="5"/>
      <c r="N974" s="5"/>
      <c r="O974" s="5"/>
      <c r="P974" s="5"/>
      <c r="Q974" s="5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23.25" customHeight="1" x14ac:dyDescent="0.3">
      <c r="A975" s="56"/>
      <c r="B975" s="31"/>
      <c r="C975" s="5"/>
      <c r="D975" s="5"/>
      <c r="E975" s="5"/>
      <c r="F975" s="5"/>
      <c r="G975" s="5"/>
      <c r="H975" s="57"/>
      <c r="I975" s="58"/>
      <c r="J975" s="58"/>
      <c r="K975" s="59"/>
      <c r="L975" s="5"/>
      <c r="M975" s="5"/>
      <c r="N975" s="5"/>
      <c r="O975" s="5"/>
      <c r="P975" s="5"/>
      <c r="Q975" s="5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23.25" customHeight="1" x14ac:dyDescent="0.3">
      <c r="A976" s="56"/>
      <c r="B976" s="31"/>
      <c r="C976" s="5"/>
      <c r="D976" s="5"/>
      <c r="E976" s="5"/>
      <c r="F976" s="5"/>
      <c r="G976" s="5"/>
      <c r="H976" s="57"/>
      <c r="I976" s="58"/>
      <c r="J976" s="58"/>
      <c r="K976" s="59"/>
      <c r="L976" s="5"/>
      <c r="M976" s="5"/>
      <c r="N976" s="5"/>
      <c r="O976" s="5"/>
      <c r="P976" s="5"/>
      <c r="Q976" s="5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23.25" customHeight="1" x14ac:dyDescent="0.3">
      <c r="A977" s="56"/>
      <c r="B977" s="31"/>
      <c r="C977" s="5"/>
      <c r="D977" s="5"/>
      <c r="E977" s="5"/>
      <c r="F977" s="5"/>
      <c r="G977" s="5"/>
      <c r="H977" s="57"/>
      <c r="I977" s="58"/>
      <c r="J977" s="58"/>
      <c r="K977" s="59"/>
      <c r="L977" s="5"/>
      <c r="M977" s="5"/>
      <c r="N977" s="5"/>
      <c r="O977" s="5"/>
      <c r="P977" s="5"/>
      <c r="Q977" s="5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23.25" customHeight="1" x14ac:dyDescent="0.3">
      <c r="A978" s="56"/>
      <c r="B978" s="31"/>
      <c r="C978" s="5"/>
      <c r="D978" s="5"/>
      <c r="E978" s="5"/>
      <c r="F978" s="5"/>
      <c r="G978" s="5"/>
      <c r="H978" s="57"/>
      <c r="I978" s="58"/>
      <c r="J978" s="58"/>
      <c r="K978" s="59"/>
      <c r="L978" s="5"/>
      <c r="M978" s="5"/>
      <c r="N978" s="5"/>
      <c r="O978" s="5"/>
      <c r="P978" s="5"/>
      <c r="Q978" s="5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23.25" customHeight="1" x14ac:dyDescent="0.3">
      <c r="A979" s="56"/>
      <c r="B979" s="31"/>
      <c r="C979" s="5"/>
      <c r="D979" s="5"/>
      <c r="E979" s="5"/>
      <c r="F979" s="5"/>
      <c r="G979" s="5"/>
      <c r="H979" s="57"/>
      <c r="I979" s="58"/>
      <c r="J979" s="58"/>
      <c r="K979" s="59"/>
      <c r="L979" s="5"/>
      <c r="M979" s="5"/>
      <c r="N979" s="5"/>
      <c r="O979" s="5"/>
      <c r="P979" s="5"/>
      <c r="Q979" s="5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23.25" customHeight="1" x14ac:dyDescent="0.3">
      <c r="A980" s="56"/>
      <c r="B980" s="31"/>
      <c r="C980" s="5"/>
      <c r="D980" s="5"/>
      <c r="E980" s="5"/>
      <c r="F980" s="5"/>
      <c r="G980" s="5"/>
      <c r="H980" s="57"/>
      <c r="I980" s="58"/>
      <c r="J980" s="58"/>
      <c r="K980" s="59"/>
      <c r="L980" s="5"/>
      <c r="M980" s="5"/>
      <c r="N980" s="5"/>
      <c r="O980" s="5"/>
      <c r="P980" s="5"/>
      <c r="Q980" s="5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23.25" customHeight="1" x14ac:dyDescent="0.3">
      <c r="A981" s="56"/>
      <c r="B981" s="31"/>
      <c r="C981" s="5"/>
      <c r="D981" s="5"/>
      <c r="E981" s="5"/>
      <c r="F981" s="5"/>
      <c r="G981" s="5"/>
      <c r="H981" s="57"/>
      <c r="I981" s="58"/>
      <c r="J981" s="58"/>
      <c r="K981" s="59"/>
      <c r="L981" s="5"/>
      <c r="M981" s="5"/>
      <c r="N981" s="5"/>
      <c r="O981" s="5"/>
      <c r="P981" s="5"/>
      <c r="Q981" s="5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23.25" customHeight="1" x14ac:dyDescent="0.3">
      <c r="A982" s="56"/>
      <c r="B982" s="31"/>
      <c r="C982" s="5"/>
      <c r="D982" s="5"/>
      <c r="E982" s="5"/>
      <c r="F982" s="5"/>
      <c r="G982" s="5"/>
      <c r="H982" s="57"/>
      <c r="I982" s="58"/>
      <c r="J982" s="58"/>
      <c r="K982" s="59"/>
      <c r="L982" s="5"/>
      <c r="M982" s="5"/>
      <c r="N982" s="5"/>
      <c r="O982" s="5"/>
      <c r="P982" s="5"/>
      <c r="Q982" s="5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23.25" customHeight="1" x14ac:dyDescent="0.3">
      <c r="A983" s="56"/>
      <c r="B983" s="31"/>
      <c r="C983" s="5"/>
      <c r="D983" s="5"/>
      <c r="E983" s="5"/>
      <c r="F983" s="5"/>
      <c r="G983" s="5"/>
      <c r="H983" s="57"/>
      <c r="I983" s="58"/>
      <c r="J983" s="58"/>
      <c r="K983" s="59"/>
      <c r="L983" s="5"/>
      <c r="M983" s="5"/>
      <c r="N983" s="5"/>
      <c r="O983" s="5"/>
      <c r="P983" s="5"/>
      <c r="Q983" s="5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23.25" customHeight="1" x14ac:dyDescent="0.3">
      <c r="A984" s="56"/>
      <c r="B984" s="31"/>
      <c r="C984" s="5"/>
      <c r="D984" s="5"/>
      <c r="E984" s="5"/>
      <c r="F984" s="5"/>
      <c r="G984" s="5"/>
      <c r="H984" s="57"/>
      <c r="I984" s="58"/>
      <c r="J984" s="58"/>
      <c r="K984" s="59"/>
      <c r="L984" s="5"/>
      <c r="M984" s="5"/>
      <c r="N984" s="5"/>
      <c r="O984" s="5"/>
      <c r="P984" s="5"/>
      <c r="Q984" s="5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23.25" customHeight="1" x14ac:dyDescent="0.3">
      <c r="A985" s="56"/>
      <c r="B985" s="31"/>
      <c r="C985" s="5"/>
      <c r="D985" s="5"/>
      <c r="E985" s="5"/>
      <c r="F985" s="5"/>
      <c r="G985" s="5"/>
      <c r="H985" s="57"/>
      <c r="I985" s="58"/>
      <c r="J985" s="58"/>
      <c r="K985" s="59"/>
      <c r="L985" s="5"/>
      <c r="M985" s="5"/>
      <c r="N985" s="5"/>
      <c r="O985" s="5"/>
      <c r="P985" s="5"/>
      <c r="Q985" s="5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23.25" customHeight="1" x14ac:dyDescent="0.3">
      <c r="A986" s="56"/>
      <c r="B986" s="31"/>
      <c r="C986" s="5"/>
      <c r="D986" s="5"/>
      <c r="E986" s="5"/>
      <c r="F986" s="5"/>
      <c r="G986" s="5"/>
      <c r="H986" s="57"/>
      <c r="I986" s="58"/>
      <c r="J986" s="58"/>
      <c r="K986" s="59"/>
      <c r="L986" s="5"/>
      <c r="M986" s="5"/>
      <c r="N986" s="5"/>
      <c r="O986" s="5"/>
      <c r="P986" s="5"/>
      <c r="Q986" s="5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23.25" customHeight="1" x14ac:dyDescent="0.3">
      <c r="A987" s="56"/>
      <c r="B987" s="31"/>
      <c r="C987" s="5"/>
      <c r="D987" s="5"/>
      <c r="E987" s="5"/>
      <c r="F987" s="5"/>
      <c r="G987" s="5"/>
      <c r="H987" s="57"/>
      <c r="I987" s="58"/>
      <c r="J987" s="58"/>
      <c r="K987" s="59"/>
      <c r="L987" s="5"/>
      <c r="M987" s="5"/>
      <c r="N987" s="5"/>
      <c r="O987" s="5"/>
      <c r="P987" s="5"/>
      <c r="Q987" s="5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23.25" customHeight="1" x14ac:dyDescent="0.3">
      <c r="A988" s="56"/>
      <c r="B988" s="31"/>
      <c r="C988" s="5"/>
      <c r="D988" s="5"/>
      <c r="E988" s="5"/>
      <c r="F988" s="5"/>
      <c r="G988" s="5"/>
      <c r="H988" s="57"/>
      <c r="I988" s="58"/>
      <c r="J988" s="58"/>
      <c r="K988" s="59"/>
      <c r="L988" s="5"/>
      <c r="M988" s="5"/>
      <c r="N988" s="5"/>
      <c r="O988" s="5"/>
      <c r="P988" s="5"/>
      <c r="Q988" s="5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23.25" customHeight="1" x14ac:dyDescent="0.3">
      <c r="A989" s="56"/>
      <c r="B989" s="31"/>
      <c r="C989" s="5"/>
      <c r="D989" s="5"/>
      <c r="E989" s="5"/>
      <c r="F989" s="5"/>
      <c r="G989" s="5"/>
      <c r="H989" s="57"/>
      <c r="I989" s="58"/>
      <c r="J989" s="58"/>
      <c r="K989" s="59"/>
      <c r="L989" s="5"/>
      <c r="M989" s="5"/>
      <c r="N989" s="5"/>
      <c r="O989" s="5"/>
      <c r="P989" s="5"/>
      <c r="Q989" s="5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23.25" customHeight="1" x14ac:dyDescent="0.3">
      <c r="A990" s="56"/>
      <c r="B990" s="31"/>
      <c r="C990" s="5"/>
      <c r="D990" s="5"/>
      <c r="E990" s="5"/>
      <c r="F990" s="5"/>
      <c r="G990" s="5"/>
      <c r="H990" s="57"/>
      <c r="I990" s="58"/>
      <c r="J990" s="58"/>
      <c r="K990" s="59"/>
      <c r="L990" s="5"/>
      <c r="M990" s="5"/>
      <c r="N990" s="5"/>
      <c r="O990" s="5"/>
      <c r="P990" s="5"/>
      <c r="Q990" s="5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23.25" customHeight="1" x14ac:dyDescent="0.3">
      <c r="A991" s="56"/>
      <c r="B991" s="31"/>
      <c r="C991" s="5"/>
      <c r="D991" s="5"/>
      <c r="E991" s="5"/>
      <c r="F991" s="5"/>
      <c r="G991" s="5"/>
      <c r="H991" s="57"/>
      <c r="I991" s="58"/>
      <c r="J991" s="58"/>
      <c r="K991" s="59"/>
      <c r="L991" s="5"/>
      <c r="M991" s="5"/>
      <c r="N991" s="5"/>
      <c r="O991" s="5"/>
      <c r="P991" s="5"/>
      <c r="Q991" s="5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23.25" customHeight="1" x14ac:dyDescent="0.3">
      <c r="A992" s="56"/>
      <c r="B992" s="31"/>
      <c r="C992" s="5"/>
      <c r="D992" s="5"/>
      <c r="E992" s="5"/>
      <c r="F992" s="5"/>
      <c r="G992" s="5"/>
      <c r="H992" s="57"/>
      <c r="I992" s="58"/>
      <c r="J992" s="58"/>
      <c r="K992" s="59"/>
      <c r="L992" s="5"/>
      <c r="M992" s="5"/>
      <c r="N992" s="5"/>
      <c r="O992" s="5"/>
      <c r="P992" s="5"/>
      <c r="Q992" s="5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23.25" customHeight="1" x14ac:dyDescent="0.3">
      <c r="A993" s="56"/>
      <c r="B993" s="31"/>
      <c r="C993" s="5"/>
      <c r="D993" s="5"/>
      <c r="E993" s="5"/>
      <c r="F993" s="5"/>
      <c r="G993" s="5"/>
      <c r="H993" s="57"/>
      <c r="I993" s="58"/>
      <c r="J993" s="58"/>
      <c r="K993" s="59"/>
      <c r="L993" s="5"/>
      <c r="M993" s="5"/>
      <c r="N993" s="5"/>
      <c r="O993" s="5"/>
      <c r="P993" s="5"/>
      <c r="Q993" s="5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23.25" customHeight="1" x14ac:dyDescent="0.3">
      <c r="A994" s="56"/>
      <c r="B994" s="31"/>
      <c r="C994" s="5"/>
      <c r="D994" s="5"/>
      <c r="E994" s="5"/>
      <c r="F994" s="5"/>
      <c r="G994" s="5"/>
      <c r="H994" s="57"/>
      <c r="I994" s="58"/>
      <c r="J994" s="58"/>
      <c r="K994" s="59"/>
      <c r="L994" s="5"/>
      <c r="M994" s="5"/>
      <c r="N994" s="5"/>
      <c r="O994" s="5"/>
      <c r="P994" s="5"/>
      <c r="Q994" s="5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23.25" customHeight="1" x14ac:dyDescent="0.3">
      <c r="A995" s="56"/>
      <c r="B995" s="31"/>
      <c r="C995" s="5"/>
      <c r="D995" s="5"/>
      <c r="E995" s="5"/>
      <c r="F995" s="5"/>
      <c r="G995" s="5"/>
      <c r="H995" s="57"/>
      <c r="I995" s="58"/>
      <c r="J995" s="58"/>
      <c r="K995" s="59"/>
      <c r="L995" s="5"/>
      <c r="M995" s="5"/>
      <c r="N995" s="5"/>
      <c r="O995" s="5"/>
      <c r="P995" s="5"/>
      <c r="Q995" s="5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23.25" customHeight="1" x14ac:dyDescent="0.3">
      <c r="A996" s="56"/>
      <c r="B996" s="31"/>
      <c r="C996" s="5"/>
      <c r="D996" s="5"/>
      <c r="E996" s="5"/>
      <c r="F996" s="5"/>
      <c r="G996" s="5"/>
      <c r="H996" s="57"/>
      <c r="I996" s="58"/>
      <c r="J996" s="58"/>
      <c r="K996" s="59"/>
      <c r="L996" s="5"/>
      <c r="M996" s="5"/>
      <c r="N996" s="5"/>
      <c r="O996" s="5"/>
      <c r="P996" s="5"/>
      <c r="Q996" s="5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23.25" customHeight="1" x14ac:dyDescent="0.3">
      <c r="A997" s="56"/>
      <c r="B997" s="31"/>
      <c r="C997" s="5"/>
      <c r="D997" s="5"/>
      <c r="E997" s="5"/>
      <c r="F997" s="5"/>
      <c r="G997" s="5"/>
      <c r="H997" s="57"/>
      <c r="I997" s="58"/>
      <c r="J997" s="58"/>
      <c r="K997" s="59"/>
      <c r="L997" s="5"/>
      <c r="M997" s="5"/>
      <c r="N997" s="5"/>
      <c r="O997" s="5"/>
      <c r="P997" s="5"/>
      <c r="Q997" s="5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23.25" customHeight="1" x14ac:dyDescent="0.3">
      <c r="A998" s="56"/>
      <c r="B998" s="31"/>
      <c r="C998" s="5"/>
      <c r="D998" s="5"/>
      <c r="E998" s="5"/>
      <c r="F998" s="5"/>
      <c r="G998" s="5"/>
      <c r="H998" s="57"/>
      <c r="I998" s="58"/>
      <c r="J998" s="58"/>
      <c r="K998" s="59"/>
      <c r="L998" s="5"/>
      <c r="M998" s="5"/>
      <c r="N998" s="5"/>
      <c r="O998" s="5"/>
      <c r="P998" s="5"/>
      <c r="Q998" s="5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23.25" customHeight="1" x14ac:dyDescent="0.3">
      <c r="A999" s="56"/>
      <c r="B999" s="31"/>
      <c r="C999" s="5"/>
      <c r="D999" s="5"/>
      <c r="E999" s="5"/>
      <c r="F999" s="5"/>
      <c r="G999" s="5"/>
      <c r="H999" s="57"/>
      <c r="I999" s="58"/>
      <c r="J999" s="58"/>
      <c r="K999" s="59"/>
      <c r="L999" s="5"/>
      <c r="M999" s="5"/>
      <c r="N999" s="5"/>
      <c r="O999" s="5"/>
      <c r="P999" s="5"/>
      <c r="Q999" s="5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23.25" customHeight="1" x14ac:dyDescent="0.3">
      <c r="A1000" s="56"/>
      <c r="B1000" s="31"/>
      <c r="C1000" s="5"/>
      <c r="D1000" s="5"/>
      <c r="E1000" s="5"/>
      <c r="F1000" s="5"/>
      <c r="G1000" s="5"/>
      <c r="H1000" s="57"/>
      <c r="I1000" s="58"/>
      <c r="J1000" s="58"/>
      <c r="K1000" s="59"/>
      <c r="L1000" s="5"/>
      <c r="M1000" s="5"/>
      <c r="N1000" s="5"/>
      <c r="O1000" s="5"/>
      <c r="P1000" s="5"/>
      <c r="Q1000" s="5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autoFilter ref="A1:R407" xr:uid="{00000000-0009-0000-0000-000003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00"/>
  <sheetViews>
    <sheetView showGridLines="0" workbookViewId="0"/>
  </sheetViews>
  <sheetFormatPr baseColWidth="10" defaultColWidth="14.44140625" defaultRowHeight="15" customHeight="1" x14ac:dyDescent="0.3"/>
  <cols>
    <col min="1" max="1" width="10.6640625" customWidth="1"/>
    <col min="2" max="2" width="6.109375" customWidth="1"/>
    <col min="3" max="11" width="6.6640625" customWidth="1"/>
    <col min="12" max="26" width="10.6640625" customWidth="1"/>
  </cols>
  <sheetData>
    <row r="1" spans="2:11" ht="29.25" customHeight="1" x14ac:dyDescent="0.3">
      <c r="B1" s="60" t="s">
        <v>0</v>
      </c>
      <c r="C1" s="60" t="s">
        <v>3</v>
      </c>
      <c r="D1" s="60" t="s">
        <v>6</v>
      </c>
      <c r="E1" s="60" t="s">
        <v>7</v>
      </c>
      <c r="F1" s="60" t="s">
        <v>8</v>
      </c>
      <c r="G1" s="60" t="s">
        <v>9</v>
      </c>
      <c r="H1" s="60" t="s">
        <v>10</v>
      </c>
      <c r="I1" s="60" t="s">
        <v>11</v>
      </c>
      <c r="J1" s="60" t="s">
        <v>12</v>
      </c>
      <c r="K1" s="60" t="s">
        <v>17</v>
      </c>
    </row>
    <row r="2" spans="2:11" ht="14.25" customHeight="1" x14ac:dyDescent="0.3">
      <c r="B2" s="5">
        <v>1</v>
      </c>
      <c r="C2" s="61">
        <v>14.220975666072439</v>
      </c>
      <c r="D2" s="5">
        <v>0</v>
      </c>
      <c r="E2" s="5">
        <v>0</v>
      </c>
      <c r="F2" s="5">
        <v>0</v>
      </c>
      <c r="G2" s="5">
        <v>1</v>
      </c>
      <c r="H2" s="5">
        <v>0</v>
      </c>
      <c r="I2" s="5">
        <v>1</v>
      </c>
      <c r="J2" s="5">
        <v>26</v>
      </c>
      <c r="K2" s="61">
        <v>2</v>
      </c>
    </row>
    <row r="3" spans="2:11" ht="14.25" customHeight="1" x14ac:dyDescent="0.3">
      <c r="B3" s="5">
        <v>2</v>
      </c>
      <c r="C3" s="61">
        <v>14.648419680899378</v>
      </c>
      <c r="D3" s="5">
        <v>1</v>
      </c>
      <c r="E3" s="5">
        <v>0</v>
      </c>
      <c r="F3" s="5">
        <v>0</v>
      </c>
      <c r="G3" s="5">
        <v>1</v>
      </c>
      <c r="H3" s="5">
        <v>0</v>
      </c>
      <c r="I3" s="5">
        <v>1</v>
      </c>
      <c r="J3" s="5">
        <v>25</v>
      </c>
      <c r="K3" s="61">
        <v>8</v>
      </c>
    </row>
    <row r="4" spans="2:11" ht="14.25" customHeight="1" x14ac:dyDescent="0.3">
      <c r="B4" s="5">
        <v>3</v>
      </c>
      <c r="C4" s="61">
        <v>12.611537753638338</v>
      </c>
      <c r="D4" s="5">
        <v>1</v>
      </c>
      <c r="E4" s="5">
        <v>0</v>
      </c>
      <c r="F4" s="5">
        <v>0</v>
      </c>
      <c r="G4" s="5">
        <v>1</v>
      </c>
      <c r="H4" s="5">
        <v>0</v>
      </c>
      <c r="I4" s="5">
        <v>0</v>
      </c>
      <c r="J4" s="5">
        <v>44</v>
      </c>
      <c r="K4" s="61">
        <v>10</v>
      </c>
    </row>
    <row r="5" spans="2:11" ht="14.25" customHeight="1" x14ac:dyDescent="0.3">
      <c r="B5" s="5">
        <v>4</v>
      </c>
      <c r="C5" s="61">
        <v>14.880221294956703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5">
        <v>1</v>
      </c>
      <c r="J5" s="5">
        <v>54</v>
      </c>
      <c r="K5" s="61">
        <v>28</v>
      </c>
    </row>
    <row r="6" spans="2:11" ht="14.25" customHeight="1" x14ac:dyDescent="0.3">
      <c r="B6" s="5">
        <v>5</v>
      </c>
      <c r="C6" s="61">
        <v>14.648419680899378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63</v>
      </c>
      <c r="K6" s="61">
        <v>20</v>
      </c>
    </row>
    <row r="7" spans="2:11" ht="14.25" customHeight="1" x14ac:dyDescent="0.3">
      <c r="B7" s="5">
        <v>6</v>
      </c>
      <c r="C7" s="61">
        <v>15.424948470398375</v>
      </c>
      <c r="D7" s="5">
        <v>0</v>
      </c>
      <c r="E7" s="5">
        <v>0</v>
      </c>
      <c r="F7" s="5">
        <v>0</v>
      </c>
      <c r="G7" s="5">
        <v>1</v>
      </c>
      <c r="H7" s="5">
        <v>1</v>
      </c>
      <c r="I7" s="5">
        <v>0</v>
      </c>
      <c r="J7" s="5">
        <v>43</v>
      </c>
      <c r="K7" s="61">
        <v>10</v>
      </c>
    </row>
    <row r="8" spans="2:11" ht="14.25" customHeight="1" x14ac:dyDescent="0.3">
      <c r="B8" s="5">
        <v>7</v>
      </c>
      <c r="C8" s="61">
        <v>15.274125580663791</v>
      </c>
      <c r="D8" s="5">
        <v>1</v>
      </c>
      <c r="E8" s="5">
        <v>0</v>
      </c>
      <c r="F8" s="5">
        <v>0</v>
      </c>
      <c r="G8" s="5">
        <v>1</v>
      </c>
      <c r="H8" s="5">
        <v>1</v>
      </c>
      <c r="I8" s="5">
        <v>0</v>
      </c>
      <c r="J8" s="5">
        <v>54</v>
      </c>
      <c r="K8" s="61">
        <v>5</v>
      </c>
    </row>
    <row r="9" spans="2:11" ht="14.25" customHeight="1" x14ac:dyDescent="0.3">
      <c r="B9" s="5">
        <v>8</v>
      </c>
      <c r="C9" s="61">
        <v>15.201804919084164</v>
      </c>
      <c r="D9" s="5">
        <v>1</v>
      </c>
      <c r="E9" s="5">
        <v>0</v>
      </c>
      <c r="F9" s="5">
        <v>0</v>
      </c>
      <c r="G9" s="5">
        <v>1</v>
      </c>
      <c r="H9" s="5">
        <v>1</v>
      </c>
      <c r="I9" s="5">
        <v>0</v>
      </c>
      <c r="J9" s="5">
        <v>39</v>
      </c>
      <c r="K9" s="61">
        <v>5</v>
      </c>
    </row>
    <row r="10" spans="2:11" ht="14.25" customHeight="1" x14ac:dyDescent="0.3">
      <c r="B10" s="5">
        <v>9</v>
      </c>
      <c r="C10" s="61">
        <v>15.60727002719233</v>
      </c>
      <c r="D10" s="5">
        <v>1</v>
      </c>
      <c r="E10" s="5">
        <v>0</v>
      </c>
      <c r="F10" s="5">
        <v>0</v>
      </c>
      <c r="G10" s="5">
        <v>1</v>
      </c>
      <c r="H10" s="5">
        <v>1</v>
      </c>
      <c r="I10" s="5">
        <v>1</v>
      </c>
      <c r="J10" s="5">
        <v>42</v>
      </c>
      <c r="K10" s="61">
        <v>16</v>
      </c>
    </row>
    <row r="11" spans="2:11" ht="14.25" customHeight="1" x14ac:dyDescent="0.3">
      <c r="B11" s="5">
        <v>10</v>
      </c>
      <c r="C11" s="61">
        <v>14.403297222866392</v>
      </c>
      <c r="D11" s="5">
        <v>1</v>
      </c>
      <c r="E11" s="5">
        <v>0</v>
      </c>
      <c r="F11" s="5">
        <v>0</v>
      </c>
      <c r="G11" s="5">
        <v>1</v>
      </c>
      <c r="H11" s="5">
        <v>1</v>
      </c>
      <c r="I11" s="5">
        <v>0</v>
      </c>
      <c r="J11" s="5">
        <v>24</v>
      </c>
      <c r="K11" s="61">
        <v>3</v>
      </c>
    </row>
    <row r="12" spans="2:11" ht="14.25" customHeight="1" x14ac:dyDescent="0.3">
      <c r="B12" s="5">
        <v>11</v>
      </c>
      <c r="C12" s="61">
        <v>13.910820737768599</v>
      </c>
      <c r="D12" s="5">
        <v>1</v>
      </c>
      <c r="E12" s="5">
        <v>0</v>
      </c>
      <c r="F12" s="5">
        <v>1</v>
      </c>
      <c r="G12" s="5">
        <v>0</v>
      </c>
      <c r="H12" s="5">
        <v>1</v>
      </c>
      <c r="I12" s="5">
        <v>0</v>
      </c>
      <c r="J12" s="5">
        <v>24</v>
      </c>
      <c r="K12" s="61">
        <v>7</v>
      </c>
    </row>
    <row r="13" spans="2:11" ht="14.25" customHeight="1" x14ac:dyDescent="0.3">
      <c r="B13" s="5">
        <v>12</v>
      </c>
      <c r="C13" s="61">
        <v>13.710150042306449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18</v>
      </c>
      <c r="K13" s="61">
        <v>1</v>
      </c>
    </row>
    <row r="14" spans="2:11" ht="14.25" customHeight="1" x14ac:dyDescent="0.3">
      <c r="B14" s="5">
        <v>13</v>
      </c>
      <c r="C14" s="61">
        <v>12.206072645530174</v>
      </c>
      <c r="D14" s="5">
        <v>1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15</v>
      </c>
      <c r="K14" s="61">
        <v>1</v>
      </c>
    </row>
    <row r="15" spans="2:11" ht="14.25" customHeight="1" x14ac:dyDescent="0.3">
      <c r="B15" s="5">
        <v>14</v>
      </c>
      <c r="C15" s="61">
        <v>14.73180128983843</v>
      </c>
      <c r="D15" s="5">
        <v>0</v>
      </c>
      <c r="E15" s="5">
        <v>0</v>
      </c>
      <c r="F15" s="5">
        <v>1</v>
      </c>
      <c r="G15" s="5">
        <v>0</v>
      </c>
      <c r="H15" s="5">
        <v>1</v>
      </c>
      <c r="I15" s="5">
        <v>0</v>
      </c>
      <c r="J15" s="5">
        <v>34</v>
      </c>
      <c r="K15" s="61">
        <v>10</v>
      </c>
    </row>
    <row r="16" spans="2:11" ht="14.25" customHeight="1" x14ac:dyDescent="0.3">
      <c r="B16" s="5">
        <v>15</v>
      </c>
      <c r="C16" s="61">
        <v>13.017002861746503</v>
      </c>
      <c r="D16" s="5">
        <v>1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19</v>
      </c>
      <c r="K16" s="61">
        <v>6</v>
      </c>
    </row>
    <row r="17" spans="2:11" ht="14.25" customHeight="1" x14ac:dyDescent="0.3">
      <c r="B17" s="5">
        <v>16</v>
      </c>
      <c r="C17" s="61">
        <v>13.710150042306449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1</v>
      </c>
      <c r="J17" s="5">
        <v>29</v>
      </c>
      <c r="K17" s="61">
        <v>3</v>
      </c>
    </row>
    <row r="18" spans="2:11" ht="14.25" customHeight="1" x14ac:dyDescent="0.3">
      <c r="B18" s="5">
        <v>17</v>
      </c>
      <c r="C18" s="61">
        <v>13.710150042306449</v>
      </c>
      <c r="D18" s="5">
        <v>1</v>
      </c>
      <c r="E18" s="5">
        <v>0</v>
      </c>
      <c r="F18" s="5">
        <v>1</v>
      </c>
      <c r="G18" s="5">
        <v>0</v>
      </c>
      <c r="H18" s="5">
        <v>1</v>
      </c>
      <c r="I18" s="5">
        <v>0</v>
      </c>
      <c r="J18" s="5">
        <v>22</v>
      </c>
      <c r="K18" s="61">
        <v>2</v>
      </c>
    </row>
    <row r="19" spans="2:11" ht="14.25" customHeight="1" x14ac:dyDescent="0.3">
      <c r="B19" s="5">
        <v>18</v>
      </c>
      <c r="C19" s="61">
        <v>14.28551418721001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55</v>
      </c>
      <c r="K19" s="61">
        <v>35</v>
      </c>
    </row>
    <row r="20" spans="2:11" ht="14.25" customHeight="1" x14ac:dyDescent="0.3">
      <c r="B20" s="5">
        <v>19</v>
      </c>
      <c r="C20" s="61">
        <v>14.151982794585487</v>
      </c>
      <c r="D20" s="5">
        <v>1</v>
      </c>
      <c r="E20" s="5">
        <v>0</v>
      </c>
      <c r="F20" s="5">
        <v>1</v>
      </c>
      <c r="G20" s="5">
        <v>0</v>
      </c>
      <c r="H20" s="5">
        <v>1</v>
      </c>
      <c r="I20" s="5">
        <v>0</v>
      </c>
      <c r="J20" s="5">
        <v>26</v>
      </c>
      <c r="K20" s="61">
        <v>8.3333333333333301E-2</v>
      </c>
    </row>
    <row r="21" spans="2:11" ht="14.25" customHeight="1" x14ac:dyDescent="0.3">
      <c r="B21" s="5">
        <v>20</v>
      </c>
      <c r="C21" s="61">
        <v>13.997832114758229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21</v>
      </c>
      <c r="K21" s="61">
        <v>3</v>
      </c>
    </row>
    <row r="22" spans="2:11" ht="14.25" customHeight="1" x14ac:dyDescent="0.3">
      <c r="B22" s="5">
        <v>21</v>
      </c>
      <c r="C22" s="61">
        <v>14.73180128983843</v>
      </c>
      <c r="D22" s="5">
        <v>0</v>
      </c>
      <c r="E22" s="5">
        <v>0</v>
      </c>
      <c r="F22" s="5">
        <v>1</v>
      </c>
      <c r="G22" s="5">
        <v>0</v>
      </c>
      <c r="H22" s="5">
        <v>1</v>
      </c>
      <c r="I22" s="5">
        <v>1</v>
      </c>
      <c r="J22" s="5">
        <v>36</v>
      </c>
      <c r="K22" s="61">
        <v>1</v>
      </c>
    </row>
    <row r="23" spans="2:11" ht="14.25" customHeight="1" x14ac:dyDescent="0.3">
      <c r="B23" s="5">
        <v>22</v>
      </c>
      <c r="C23" s="61">
        <v>14.115615150414612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30</v>
      </c>
      <c r="K23" s="61">
        <v>6</v>
      </c>
    </row>
    <row r="24" spans="2:11" ht="14.25" customHeight="1" x14ac:dyDescent="0.3">
      <c r="B24" s="5">
        <v>23</v>
      </c>
      <c r="C24" s="61">
        <v>13.710150042306449</v>
      </c>
      <c r="D24" s="5">
        <v>1</v>
      </c>
      <c r="E24" s="5">
        <v>0</v>
      </c>
      <c r="F24" s="5">
        <v>1</v>
      </c>
      <c r="G24" s="5">
        <v>0</v>
      </c>
      <c r="H24" s="5">
        <v>1</v>
      </c>
      <c r="I24" s="5">
        <v>0</v>
      </c>
      <c r="J24" s="5">
        <v>20</v>
      </c>
      <c r="K24" s="61">
        <v>2.5</v>
      </c>
    </row>
    <row r="25" spans="2:11" ht="14.25" customHeight="1" x14ac:dyDescent="0.3">
      <c r="B25" s="5">
        <v>24</v>
      </c>
      <c r="C25" s="61">
        <v>13.815510557964274</v>
      </c>
      <c r="D25" s="5">
        <v>1</v>
      </c>
      <c r="E25" s="5">
        <v>0</v>
      </c>
      <c r="F25" s="5">
        <v>1</v>
      </c>
      <c r="G25" s="5">
        <v>0</v>
      </c>
      <c r="H25" s="5">
        <v>1</v>
      </c>
      <c r="I25" s="5">
        <v>0</v>
      </c>
      <c r="J25" s="5">
        <v>23</v>
      </c>
      <c r="K25" s="61">
        <v>5</v>
      </c>
    </row>
    <row r="26" spans="2:11" ht="14.25" customHeight="1" x14ac:dyDescent="0.3">
      <c r="B26" s="5">
        <v>25</v>
      </c>
      <c r="C26" s="61">
        <v>13.997832114758229</v>
      </c>
      <c r="D26" s="5">
        <v>1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26</v>
      </c>
      <c r="K26" s="61">
        <v>6</v>
      </c>
    </row>
    <row r="27" spans="2:11" ht="14.25" customHeight="1" x14ac:dyDescent="0.3">
      <c r="B27" s="5">
        <v>26</v>
      </c>
      <c r="C27" s="61">
        <v>13.652991628466498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19</v>
      </c>
      <c r="K27" s="61">
        <v>1</v>
      </c>
    </row>
    <row r="28" spans="2:11" ht="14.25" customHeight="1" x14ac:dyDescent="0.3">
      <c r="B28" s="5">
        <v>27</v>
      </c>
      <c r="C28" s="61">
        <v>13.997832114758229</v>
      </c>
      <c r="D28" s="5">
        <v>0</v>
      </c>
      <c r="E28" s="5">
        <v>0</v>
      </c>
      <c r="F28" s="5">
        <v>1</v>
      </c>
      <c r="G28" s="5">
        <v>0</v>
      </c>
      <c r="H28" s="5">
        <v>1</v>
      </c>
      <c r="I28" s="5">
        <v>0</v>
      </c>
      <c r="J28" s="5">
        <v>26</v>
      </c>
      <c r="K28" s="61">
        <v>5</v>
      </c>
    </row>
    <row r="29" spans="2:11" ht="14.25" customHeight="1" x14ac:dyDescent="0.3">
      <c r="B29" s="5">
        <v>28</v>
      </c>
      <c r="C29" s="61">
        <v>13.815510557964274</v>
      </c>
      <c r="D29" s="5">
        <v>1</v>
      </c>
      <c r="E29" s="5">
        <v>0</v>
      </c>
      <c r="F29" s="5">
        <v>0</v>
      </c>
      <c r="G29" s="5">
        <v>1</v>
      </c>
      <c r="H29" s="5">
        <v>1</v>
      </c>
      <c r="I29" s="5">
        <v>0</v>
      </c>
      <c r="J29" s="5">
        <v>24</v>
      </c>
      <c r="K29" s="61">
        <v>2</v>
      </c>
    </row>
    <row r="30" spans="2:11" ht="14.25" customHeight="1" x14ac:dyDescent="0.3">
      <c r="B30" s="5">
        <v>29</v>
      </c>
      <c r="C30" s="61">
        <v>15.068273526459642</v>
      </c>
      <c r="D30" s="5">
        <v>1</v>
      </c>
      <c r="E30" s="5">
        <v>0</v>
      </c>
      <c r="F30" s="5">
        <v>0</v>
      </c>
      <c r="G30" s="5">
        <v>1</v>
      </c>
      <c r="H30" s="5">
        <v>1</v>
      </c>
      <c r="I30" s="5">
        <v>1</v>
      </c>
      <c r="J30" s="5">
        <v>37</v>
      </c>
      <c r="K30" s="61">
        <v>6</v>
      </c>
    </row>
    <row r="31" spans="2:11" ht="14.25" customHeight="1" x14ac:dyDescent="0.3">
      <c r="B31" s="5">
        <v>30</v>
      </c>
      <c r="C31" s="61">
        <v>15.068273526459642</v>
      </c>
      <c r="D31" s="5">
        <v>0</v>
      </c>
      <c r="E31" s="5">
        <v>0</v>
      </c>
      <c r="F31" s="5">
        <v>1</v>
      </c>
      <c r="G31" s="5">
        <v>0</v>
      </c>
      <c r="H31" s="5">
        <v>1</v>
      </c>
      <c r="I31" s="5">
        <v>1</v>
      </c>
      <c r="J31" s="5">
        <v>30</v>
      </c>
      <c r="K31" s="61">
        <v>10</v>
      </c>
    </row>
    <row r="32" spans="2:11" ht="14.25" customHeight="1" x14ac:dyDescent="0.3">
      <c r="B32" s="5">
        <v>31</v>
      </c>
      <c r="C32" s="61">
        <v>14.508657738524219</v>
      </c>
      <c r="D32" s="5">
        <v>1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18</v>
      </c>
      <c r="K32" s="61">
        <v>8.3333333333333329E-2</v>
      </c>
    </row>
    <row r="33" spans="2:11" ht="14.25" customHeight="1" x14ac:dyDescent="0.3">
      <c r="B33" s="5">
        <v>32</v>
      </c>
      <c r="C33" s="61">
        <v>14.220975666072439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31</v>
      </c>
      <c r="K33" s="61">
        <v>2</v>
      </c>
    </row>
    <row r="34" spans="2:11" ht="14.25" customHeight="1" x14ac:dyDescent="0.3">
      <c r="B34" s="5">
        <v>33</v>
      </c>
      <c r="C34" s="61">
        <v>13.910820737768599</v>
      </c>
      <c r="D34" s="5">
        <v>0</v>
      </c>
      <c r="E34" s="5">
        <v>1</v>
      </c>
      <c r="F34" s="5">
        <v>0</v>
      </c>
      <c r="G34" s="5">
        <v>0</v>
      </c>
      <c r="H34" s="5">
        <v>0</v>
      </c>
      <c r="I34" s="5">
        <v>1</v>
      </c>
      <c r="J34" s="5">
        <v>24</v>
      </c>
      <c r="K34" s="61">
        <v>4</v>
      </c>
    </row>
    <row r="35" spans="2:11" ht="14.25" customHeight="1" x14ac:dyDescent="0.3">
      <c r="B35" s="5">
        <v>34</v>
      </c>
      <c r="C35" s="61">
        <v>14.220975666072439</v>
      </c>
      <c r="D35" s="5">
        <v>1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32</v>
      </c>
      <c r="K35" s="61">
        <v>8.5</v>
      </c>
    </row>
    <row r="36" spans="2:11" ht="14.25" customHeight="1" x14ac:dyDescent="0.3">
      <c r="B36" s="5">
        <v>35</v>
      </c>
      <c r="C36" s="61">
        <v>14.808762330974558</v>
      </c>
      <c r="D36" s="5">
        <v>1</v>
      </c>
      <c r="E36" s="5">
        <v>0</v>
      </c>
      <c r="F36" s="5">
        <v>0</v>
      </c>
      <c r="G36" s="5">
        <v>1</v>
      </c>
      <c r="H36" s="5">
        <v>1</v>
      </c>
      <c r="I36" s="5">
        <v>1</v>
      </c>
      <c r="J36" s="5">
        <v>27</v>
      </c>
      <c r="K36" s="61">
        <v>1.3333333333333333</v>
      </c>
    </row>
    <row r="37" spans="2:11" ht="14.25" customHeight="1" x14ac:dyDescent="0.3">
      <c r="B37" s="5">
        <v>36</v>
      </c>
      <c r="C37" s="61">
        <v>15.201804919084164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1</v>
      </c>
      <c r="J37" s="5">
        <v>43</v>
      </c>
      <c r="K37" s="61">
        <v>10</v>
      </c>
    </row>
    <row r="38" spans="2:11" ht="14.25" customHeight="1" x14ac:dyDescent="0.3">
      <c r="B38" s="5">
        <v>37</v>
      </c>
      <c r="C38" s="61">
        <v>13.983564142960525</v>
      </c>
      <c r="D38" s="5">
        <v>1</v>
      </c>
      <c r="E38" s="5">
        <v>1</v>
      </c>
      <c r="F38" s="5">
        <v>0</v>
      </c>
      <c r="G38" s="5">
        <v>0</v>
      </c>
      <c r="H38" s="5">
        <v>0</v>
      </c>
      <c r="I38" s="5">
        <v>1</v>
      </c>
      <c r="J38" s="5">
        <v>24</v>
      </c>
      <c r="K38" s="61">
        <v>0.58333333333333337</v>
      </c>
    </row>
    <row r="39" spans="2:11" ht="14.25" customHeight="1" x14ac:dyDescent="0.3">
      <c r="B39" s="5">
        <v>38</v>
      </c>
      <c r="C39" s="61">
        <v>14.914122846632385</v>
      </c>
      <c r="D39" s="5">
        <v>0</v>
      </c>
      <c r="E39" s="5">
        <v>1</v>
      </c>
      <c r="F39" s="5">
        <v>0</v>
      </c>
      <c r="G39" s="5">
        <v>0</v>
      </c>
      <c r="H39" s="5">
        <v>1</v>
      </c>
      <c r="I39" s="5">
        <v>1</v>
      </c>
      <c r="J39" s="5">
        <v>52</v>
      </c>
      <c r="K39" s="61">
        <v>32</v>
      </c>
    </row>
    <row r="40" spans="2:11" ht="14.25" customHeight="1" x14ac:dyDescent="0.3">
      <c r="B40" s="5">
        <v>39</v>
      </c>
      <c r="C40" s="61">
        <v>13.830379465830392</v>
      </c>
      <c r="D40" s="5">
        <v>1</v>
      </c>
      <c r="E40" s="5">
        <v>1</v>
      </c>
      <c r="F40" s="5">
        <v>0</v>
      </c>
      <c r="G40" s="5">
        <v>0</v>
      </c>
      <c r="H40" s="5">
        <v>1</v>
      </c>
      <c r="I40" s="5">
        <v>0</v>
      </c>
      <c r="J40" s="5">
        <v>24</v>
      </c>
      <c r="K40" s="61">
        <v>2</v>
      </c>
    </row>
    <row r="41" spans="2:11" ht="14.25" customHeight="1" x14ac:dyDescent="0.3">
      <c r="B41" s="5">
        <v>40</v>
      </c>
      <c r="C41" s="61">
        <v>15.319587954740548</v>
      </c>
      <c r="D41" s="5">
        <v>1</v>
      </c>
      <c r="E41" s="5">
        <v>0</v>
      </c>
      <c r="F41" s="5">
        <v>0</v>
      </c>
      <c r="G41" s="5">
        <v>1</v>
      </c>
      <c r="H41" s="5">
        <v>1</v>
      </c>
      <c r="I41" s="5">
        <v>1</v>
      </c>
      <c r="J41" s="5">
        <v>31</v>
      </c>
      <c r="K41" s="61">
        <v>5.5</v>
      </c>
    </row>
    <row r="42" spans="2:11" ht="14.25" customHeight="1" x14ac:dyDescent="0.3">
      <c r="B42" s="5">
        <v>41</v>
      </c>
      <c r="C42" s="61">
        <v>14.220975666072439</v>
      </c>
      <c r="D42" s="5">
        <v>1</v>
      </c>
      <c r="E42" s="5">
        <v>0</v>
      </c>
      <c r="F42" s="5">
        <v>1</v>
      </c>
      <c r="G42" s="5">
        <v>0</v>
      </c>
      <c r="H42" s="5">
        <v>0</v>
      </c>
      <c r="I42" s="5">
        <v>0</v>
      </c>
      <c r="J42" s="5">
        <v>26</v>
      </c>
      <c r="K42" s="61">
        <v>4</v>
      </c>
    </row>
    <row r="43" spans="2:11" ht="14.25" customHeight="1" x14ac:dyDescent="0.3">
      <c r="B43" s="5">
        <v>42</v>
      </c>
      <c r="C43" s="61">
        <v>14.220975666072439</v>
      </c>
      <c r="D43" s="5">
        <v>1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46</v>
      </c>
      <c r="K43" s="61">
        <v>5</v>
      </c>
    </row>
    <row r="44" spans="2:11" ht="14.25" customHeight="1" x14ac:dyDescent="0.3">
      <c r="B44" s="5">
        <v>43</v>
      </c>
      <c r="C44" s="61">
        <v>14.73180128983843</v>
      </c>
      <c r="D44" s="5">
        <v>1</v>
      </c>
      <c r="E44" s="5">
        <v>0</v>
      </c>
      <c r="F44" s="5">
        <v>1</v>
      </c>
      <c r="G44" s="5">
        <v>0</v>
      </c>
      <c r="H44" s="5">
        <v>1</v>
      </c>
      <c r="I44" s="5">
        <v>1</v>
      </c>
      <c r="J44" s="5">
        <v>37</v>
      </c>
      <c r="K44" s="61">
        <v>10</v>
      </c>
    </row>
    <row r="45" spans="2:11" ht="14.25" customHeight="1" x14ac:dyDescent="0.3">
      <c r="B45" s="5">
        <v>44</v>
      </c>
      <c r="C45" s="61">
        <v>15.424948470398375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1</v>
      </c>
      <c r="J45" s="5">
        <v>53</v>
      </c>
      <c r="K45" s="61">
        <v>15</v>
      </c>
    </row>
    <row r="46" spans="2:11" ht="14.25" customHeight="1" x14ac:dyDescent="0.3">
      <c r="B46" s="5">
        <v>45</v>
      </c>
      <c r="C46" s="61">
        <v>14.603967918328545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40</v>
      </c>
      <c r="K46" s="61">
        <v>9</v>
      </c>
    </row>
    <row r="47" spans="2:11" ht="14.25" customHeight="1" x14ac:dyDescent="0.3">
      <c r="B47" s="5">
        <v>46</v>
      </c>
      <c r="C47" s="61">
        <v>15.319587954740548</v>
      </c>
      <c r="D47" s="5">
        <v>0</v>
      </c>
      <c r="E47" s="5">
        <v>0</v>
      </c>
      <c r="F47" s="5">
        <v>0</v>
      </c>
      <c r="G47" s="5">
        <v>1</v>
      </c>
      <c r="H47" s="5">
        <v>1</v>
      </c>
      <c r="I47" s="5">
        <v>0</v>
      </c>
      <c r="J47" s="5">
        <v>40</v>
      </c>
      <c r="K47" s="61">
        <v>2</v>
      </c>
    </row>
    <row r="48" spans="2:11" ht="14.25" customHeight="1" x14ac:dyDescent="0.3">
      <c r="B48" s="5">
        <v>47</v>
      </c>
      <c r="C48" s="61">
        <v>14.73180128983843</v>
      </c>
      <c r="D48" s="5">
        <v>1</v>
      </c>
      <c r="E48" s="5">
        <v>0</v>
      </c>
      <c r="F48" s="5">
        <v>1</v>
      </c>
      <c r="G48" s="5">
        <v>0</v>
      </c>
      <c r="H48" s="5">
        <v>0</v>
      </c>
      <c r="I48" s="5">
        <v>0</v>
      </c>
      <c r="J48" s="5">
        <v>46</v>
      </c>
      <c r="K48" s="61">
        <v>8</v>
      </c>
    </row>
    <row r="49" spans="2:11" ht="14.25" customHeight="1" x14ac:dyDescent="0.3">
      <c r="B49" s="5">
        <v>48</v>
      </c>
      <c r="C49" s="61">
        <v>14.220975666072439</v>
      </c>
      <c r="D49" s="5">
        <v>1</v>
      </c>
      <c r="E49" s="5">
        <v>1</v>
      </c>
      <c r="F49" s="5">
        <v>0</v>
      </c>
      <c r="G49" s="5">
        <v>0</v>
      </c>
      <c r="H49" s="5">
        <v>1</v>
      </c>
      <c r="I49" s="5">
        <v>1</v>
      </c>
      <c r="J49" s="5">
        <v>28</v>
      </c>
      <c r="K49" s="61">
        <v>5</v>
      </c>
    </row>
    <row r="50" spans="2:11" ht="14.25" customHeight="1" x14ac:dyDescent="0.3">
      <c r="B50" s="5">
        <v>49</v>
      </c>
      <c r="C50" s="61">
        <v>14.978661367769956</v>
      </c>
      <c r="D50" s="5">
        <v>1</v>
      </c>
      <c r="E50" s="5">
        <v>1</v>
      </c>
      <c r="F50" s="5">
        <v>0</v>
      </c>
      <c r="G50" s="5">
        <v>0</v>
      </c>
      <c r="H50" s="5">
        <v>1</v>
      </c>
      <c r="I50" s="5">
        <v>1</v>
      </c>
      <c r="J50" s="5">
        <v>32</v>
      </c>
      <c r="K50" s="61">
        <v>10</v>
      </c>
    </row>
    <row r="51" spans="2:11" ht="14.25" customHeight="1" x14ac:dyDescent="0.3">
      <c r="B51" s="5">
        <v>50</v>
      </c>
      <c r="C51" s="61">
        <v>13.997832114758229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1</v>
      </c>
      <c r="J51" s="5">
        <v>55</v>
      </c>
      <c r="K51" s="61">
        <v>30</v>
      </c>
    </row>
    <row r="52" spans="2:11" ht="14.25" customHeight="1" x14ac:dyDescent="0.3">
      <c r="B52" s="5">
        <v>51</v>
      </c>
      <c r="C52" s="61">
        <v>13.592367006650065</v>
      </c>
      <c r="D52" s="5">
        <v>1</v>
      </c>
      <c r="E52" s="5">
        <v>1</v>
      </c>
      <c r="F52" s="5">
        <v>0</v>
      </c>
      <c r="G52" s="5">
        <v>0</v>
      </c>
      <c r="H52" s="5">
        <v>1</v>
      </c>
      <c r="I52" s="5">
        <v>0</v>
      </c>
      <c r="J52" s="5">
        <v>22</v>
      </c>
      <c r="K52" s="61">
        <v>0.25</v>
      </c>
    </row>
    <row r="53" spans="2:11" ht="14.25" customHeight="1" x14ac:dyDescent="0.3">
      <c r="B53" s="5">
        <v>52</v>
      </c>
      <c r="C53" s="61">
        <v>13.592367006650065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25</v>
      </c>
      <c r="K53" s="61">
        <v>0.25</v>
      </c>
    </row>
    <row r="54" spans="2:11" ht="14.25" customHeight="1" x14ac:dyDescent="0.3">
      <c r="B54" s="5">
        <v>53</v>
      </c>
      <c r="C54" s="61">
        <v>13.710150042306449</v>
      </c>
      <c r="D54" s="5">
        <v>1</v>
      </c>
      <c r="E54" s="5">
        <v>1</v>
      </c>
      <c r="F54" s="5">
        <v>0</v>
      </c>
      <c r="G54" s="5">
        <v>0</v>
      </c>
      <c r="H54" s="5">
        <v>1</v>
      </c>
      <c r="I54" s="5">
        <v>1</v>
      </c>
      <c r="J54" s="5">
        <v>25</v>
      </c>
      <c r="K54" s="61">
        <v>10</v>
      </c>
    </row>
    <row r="55" spans="2:11" ht="14.25" customHeight="1" x14ac:dyDescent="0.3">
      <c r="B55" s="5">
        <v>54</v>
      </c>
      <c r="C55" s="61">
        <v>13.710150042306449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30</v>
      </c>
      <c r="K55" s="61">
        <v>10</v>
      </c>
    </row>
    <row r="56" spans="2:11" ht="14.25" customHeight="1" x14ac:dyDescent="0.3">
      <c r="B56" s="5">
        <v>55</v>
      </c>
      <c r="C56" s="61">
        <v>14.73180128983843</v>
      </c>
      <c r="D56" s="5">
        <v>0</v>
      </c>
      <c r="E56" s="5">
        <v>1</v>
      </c>
      <c r="F56" s="5">
        <v>0</v>
      </c>
      <c r="G56" s="5">
        <v>0</v>
      </c>
      <c r="H56" s="5">
        <v>1</v>
      </c>
      <c r="I56" s="5">
        <v>0</v>
      </c>
      <c r="J56" s="5">
        <v>28</v>
      </c>
      <c r="K56" s="61">
        <v>5</v>
      </c>
    </row>
    <row r="57" spans="2:11" ht="14.25" customHeight="1" x14ac:dyDescent="0.3">
      <c r="B57" s="5">
        <v>56</v>
      </c>
      <c r="C57" s="61">
        <v>15.60727002719233</v>
      </c>
      <c r="D57" s="5">
        <v>1</v>
      </c>
      <c r="E57" s="5">
        <v>0</v>
      </c>
      <c r="F57" s="5">
        <v>0</v>
      </c>
      <c r="G57" s="5">
        <v>1</v>
      </c>
      <c r="H57" s="5">
        <v>1</v>
      </c>
      <c r="I57" s="5">
        <v>1</v>
      </c>
      <c r="J57" s="5">
        <v>44</v>
      </c>
      <c r="K57" s="61">
        <v>5</v>
      </c>
    </row>
    <row r="58" spans="2:11" ht="14.25" customHeight="1" x14ac:dyDescent="0.3">
      <c r="B58" s="5">
        <v>57</v>
      </c>
      <c r="C58" s="61">
        <v>14.28551418721001</v>
      </c>
      <c r="D58" s="5">
        <v>0</v>
      </c>
      <c r="E58" s="5">
        <v>0</v>
      </c>
      <c r="F58" s="5">
        <v>0</v>
      </c>
      <c r="G58" s="5">
        <v>1</v>
      </c>
      <c r="H58" s="5">
        <v>1</v>
      </c>
      <c r="I58" s="5">
        <v>1</v>
      </c>
      <c r="J58" s="5">
        <v>30</v>
      </c>
      <c r="K58" s="61">
        <v>2</v>
      </c>
    </row>
    <row r="59" spans="2:11" ht="14.25" customHeight="1" x14ac:dyDescent="0.3">
      <c r="B59" s="5">
        <v>58</v>
      </c>
      <c r="C59" s="61">
        <v>15.319587954740548</v>
      </c>
      <c r="D59" s="5">
        <v>1</v>
      </c>
      <c r="E59" s="5">
        <v>0</v>
      </c>
      <c r="F59" s="5">
        <v>0</v>
      </c>
      <c r="G59" s="5">
        <v>1</v>
      </c>
      <c r="H59" s="5">
        <v>1</v>
      </c>
      <c r="I59" s="5">
        <v>0</v>
      </c>
      <c r="J59" s="5">
        <v>34</v>
      </c>
      <c r="K59" s="61">
        <v>6</v>
      </c>
    </row>
    <row r="60" spans="2:11" ht="14.25" customHeight="1" x14ac:dyDescent="0.3">
      <c r="B60" s="5">
        <v>59</v>
      </c>
      <c r="C60" s="61">
        <v>14.457364444136669</v>
      </c>
      <c r="D60" s="5">
        <v>0</v>
      </c>
      <c r="E60" s="5">
        <v>1</v>
      </c>
      <c r="F60" s="5">
        <v>0</v>
      </c>
      <c r="G60" s="5">
        <v>0</v>
      </c>
      <c r="H60" s="5">
        <v>0</v>
      </c>
      <c r="I60" s="5">
        <v>1</v>
      </c>
      <c r="J60" s="5">
        <v>25</v>
      </c>
      <c r="K60" s="61">
        <v>7</v>
      </c>
    </row>
    <row r="61" spans="2:11" ht="14.25" customHeight="1" x14ac:dyDescent="0.3">
      <c r="B61" s="5">
        <v>60</v>
      </c>
      <c r="C61" s="61">
        <v>13.815510557964274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19</v>
      </c>
      <c r="K61" s="61">
        <v>0.5</v>
      </c>
    </row>
    <row r="62" spans="2:11" ht="14.25" customHeight="1" x14ac:dyDescent="0.3">
      <c r="B62" s="5">
        <v>61</v>
      </c>
      <c r="C62" s="61">
        <v>13.910820737768599</v>
      </c>
      <c r="D62" s="5">
        <v>1</v>
      </c>
      <c r="E62" s="5">
        <v>0</v>
      </c>
      <c r="F62" s="5">
        <v>1</v>
      </c>
      <c r="G62" s="5">
        <v>0</v>
      </c>
      <c r="H62" s="5">
        <v>0</v>
      </c>
      <c r="I62" s="5">
        <v>0</v>
      </c>
      <c r="J62" s="5">
        <v>22</v>
      </c>
      <c r="K62" s="61">
        <v>8.3333333333333329E-2</v>
      </c>
    </row>
    <row r="63" spans="2:11" ht="14.25" customHeight="1" x14ac:dyDescent="0.3">
      <c r="B63" s="5">
        <v>62</v>
      </c>
      <c r="C63" s="61">
        <v>15.444751097694555</v>
      </c>
      <c r="D63" s="5">
        <v>1</v>
      </c>
      <c r="E63" s="5">
        <v>0</v>
      </c>
      <c r="F63" s="5">
        <v>0</v>
      </c>
      <c r="G63" s="5">
        <v>1</v>
      </c>
      <c r="H63" s="5">
        <v>1</v>
      </c>
      <c r="I63" s="5">
        <v>0</v>
      </c>
      <c r="J63" s="5">
        <v>28</v>
      </c>
      <c r="K63" s="61">
        <v>2</v>
      </c>
    </row>
    <row r="64" spans="2:11" ht="14.25" customHeight="1" x14ac:dyDescent="0.3">
      <c r="B64" s="5">
        <v>63</v>
      </c>
      <c r="C64" s="61">
        <v>15.096444403426338</v>
      </c>
      <c r="D64" s="5">
        <v>1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38</v>
      </c>
      <c r="K64" s="61">
        <v>4</v>
      </c>
    </row>
    <row r="65" spans="2:11" ht="14.25" customHeight="1" x14ac:dyDescent="0.3">
      <c r="B65" s="5">
        <v>64</v>
      </c>
      <c r="C65" s="61">
        <v>14.77102200299171</v>
      </c>
      <c r="D65" s="5">
        <v>1</v>
      </c>
      <c r="E65" s="5">
        <v>0</v>
      </c>
      <c r="F65" s="5">
        <v>1</v>
      </c>
      <c r="G65" s="5">
        <v>0</v>
      </c>
      <c r="H65" s="5">
        <v>0</v>
      </c>
      <c r="I65" s="5">
        <v>1</v>
      </c>
      <c r="J65" s="5">
        <v>26</v>
      </c>
      <c r="K65" s="61">
        <v>2</v>
      </c>
    </row>
    <row r="66" spans="2:11" ht="14.25" customHeight="1" x14ac:dyDescent="0.3">
      <c r="B66" s="5">
        <v>65</v>
      </c>
      <c r="C66" s="61">
        <v>14.077874822431765</v>
      </c>
      <c r="D66" s="5">
        <v>1</v>
      </c>
      <c r="E66" s="5">
        <v>0</v>
      </c>
      <c r="F66" s="5">
        <v>1</v>
      </c>
      <c r="G66" s="5">
        <v>0</v>
      </c>
      <c r="H66" s="5">
        <v>1</v>
      </c>
      <c r="I66" s="5">
        <v>0</v>
      </c>
      <c r="J66" s="5">
        <v>35</v>
      </c>
      <c r="K66" s="61">
        <v>5</v>
      </c>
    </row>
    <row r="67" spans="2:11" ht="14.25" customHeight="1" x14ac:dyDescent="0.3">
      <c r="B67" s="5">
        <v>66</v>
      </c>
      <c r="C67" s="61">
        <v>14.914122846632385</v>
      </c>
      <c r="D67" s="5">
        <v>1</v>
      </c>
      <c r="E67" s="5">
        <v>0</v>
      </c>
      <c r="F67" s="5">
        <v>0</v>
      </c>
      <c r="G67" s="5">
        <v>1</v>
      </c>
      <c r="H67" s="5">
        <v>1</v>
      </c>
      <c r="I67" s="5">
        <v>0</v>
      </c>
      <c r="J67" s="5">
        <v>33</v>
      </c>
      <c r="K67" s="61">
        <v>8</v>
      </c>
    </row>
    <row r="68" spans="2:11" ht="14.25" customHeight="1" x14ac:dyDescent="0.3">
      <c r="B68" s="5">
        <v>67</v>
      </c>
      <c r="C68" s="61">
        <v>14.508657738524219</v>
      </c>
      <c r="D68" s="5">
        <v>0</v>
      </c>
      <c r="E68" s="5">
        <v>0</v>
      </c>
      <c r="F68" s="5">
        <v>0</v>
      </c>
      <c r="G68" s="5">
        <v>1</v>
      </c>
      <c r="H68" s="5">
        <v>0</v>
      </c>
      <c r="I68" s="5">
        <v>0</v>
      </c>
      <c r="J68" s="5">
        <v>31</v>
      </c>
      <c r="K68" s="61">
        <v>6</v>
      </c>
    </row>
    <row r="69" spans="2:11" ht="14.25" customHeight="1" x14ac:dyDescent="0.3">
      <c r="B69" s="5">
        <v>68</v>
      </c>
      <c r="C69" s="61">
        <v>13.764217263576723</v>
      </c>
      <c r="D69" s="5">
        <v>1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24</v>
      </c>
      <c r="K69" s="61">
        <v>2</v>
      </c>
    </row>
    <row r="70" spans="2:11" ht="14.25" customHeight="1" x14ac:dyDescent="0.3">
      <c r="B70" s="5">
        <v>69</v>
      </c>
      <c r="C70" s="61">
        <v>13.910820737768599</v>
      </c>
      <c r="D70" s="5">
        <v>1</v>
      </c>
      <c r="E70" s="5">
        <v>0</v>
      </c>
      <c r="F70" s="5">
        <v>1</v>
      </c>
      <c r="G70" s="5">
        <v>0</v>
      </c>
      <c r="H70" s="5">
        <v>0</v>
      </c>
      <c r="I70" s="5">
        <v>1</v>
      </c>
      <c r="J70" s="5">
        <v>27</v>
      </c>
      <c r="K70" s="61">
        <v>3</v>
      </c>
    </row>
    <row r="71" spans="2:11" ht="14.25" customHeight="1" x14ac:dyDescent="0.3">
      <c r="B71" s="5">
        <v>70</v>
      </c>
      <c r="C71" s="61">
        <v>11.608235644774552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26</v>
      </c>
      <c r="K71" s="61">
        <v>0.5</v>
      </c>
    </row>
    <row r="72" spans="2:11" ht="14.25" customHeight="1" x14ac:dyDescent="0.3">
      <c r="B72" s="5">
        <v>71</v>
      </c>
      <c r="C72" s="61">
        <v>13.122363377404328</v>
      </c>
      <c r="D72" s="5">
        <v>1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25</v>
      </c>
      <c r="K72" s="61">
        <v>1.5</v>
      </c>
    </row>
    <row r="73" spans="2:11" ht="14.25" customHeight="1" x14ac:dyDescent="0.3">
      <c r="B73" s="5">
        <v>72</v>
      </c>
      <c r="C73" s="61">
        <v>14.220975666072439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29</v>
      </c>
      <c r="K73" s="61">
        <v>12</v>
      </c>
    </row>
    <row r="74" spans="2:11" ht="14.25" customHeight="1" x14ac:dyDescent="0.3">
      <c r="B74" s="5">
        <v>73</v>
      </c>
      <c r="C74" s="61">
        <v>14.220975666072439</v>
      </c>
      <c r="D74" s="5">
        <v>1</v>
      </c>
      <c r="E74" s="5">
        <v>0</v>
      </c>
      <c r="F74" s="5">
        <v>1</v>
      </c>
      <c r="G74" s="5">
        <v>0</v>
      </c>
      <c r="H74" s="5">
        <v>1</v>
      </c>
      <c r="I74" s="5">
        <v>0</v>
      </c>
      <c r="J74" s="5">
        <v>17</v>
      </c>
      <c r="K74" s="61">
        <v>4</v>
      </c>
    </row>
    <row r="75" spans="2:11" ht="14.25" customHeight="1" x14ac:dyDescent="0.3">
      <c r="B75" s="5">
        <v>74</v>
      </c>
      <c r="C75" s="61">
        <v>14.220975666072439</v>
      </c>
      <c r="D75" s="5">
        <v>1</v>
      </c>
      <c r="E75" s="5">
        <v>0</v>
      </c>
      <c r="F75" s="5">
        <v>1</v>
      </c>
      <c r="G75" s="5">
        <v>0</v>
      </c>
      <c r="H75" s="5">
        <v>1</v>
      </c>
      <c r="I75" s="5">
        <v>0</v>
      </c>
      <c r="J75" s="5">
        <v>27</v>
      </c>
      <c r="K75" s="61">
        <v>6</v>
      </c>
    </row>
    <row r="76" spans="2:11" ht="14.25" customHeight="1" x14ac:dyDescent="0.3">
      <c r="B76" s="5">
        <v>75</v>
      </c>
      <c r="C76" s="61">
        <v>14.403297222866392</v>
      </c>
      <c r="D76" s="5">
        <v>1</v>
      </c>
      <c r="E76" s="5">
        <v>0</v>
      </c>
      <c r="F76" s="5">
        <v>1</v>
      </c>
      <c r="G76" s="5">
        <v>0</v>
      </c>
      <c r="H76" s="5">
        <v>1</v>
      </c>
      <c r="I76" s="5">
        <v>1</v>
      </c>
      <c r="J76" s="5">
        <v>40</v>
      </c>
      <c r="K76" s="61">
        <v>5</v>
      </c>
    </row>
    <row r="77" spans="2:11" ht="14.25" customHeight="1" x14ac:dyDescent="0.3">
      <c r="B77" s="5">
        <v>76</v>
      </c>
      <c r="C77" s="61">
        <v>13.592367006650065</v>
      </c>
      <c r="D77" s="5">
        <v>1</v>
      </c>
      <c r="E77" s="5">
        <v>0</v>
      </c>
      <c r="F77" s="5">
        <v>1</v>
      </c>
      <c r="G77" s="5">
        <v>0</v>
      </c>
      <c r="H77" s="5">
        <v>0</v>
      </c>
      <c r="I77" s="5">
        <v>0</v>
      </c>
      <c r="J77" s="5">
        <v>18</v>
      </c>
      <c r="K77" s="61">
        <v>0.66666666666666663</v>
      </c>
    </row>
    <row r="78" spans="2:11" ht="14.25" customHeight="1" x14ac:dyDescent="0.3">
      <c r="B78" s="5">
        <v>77</v>
      </c>
      <c r="C78" s="61">
        <v>13.910820737768599</v>
      </c>
      <c r="D78" s="5">
        <v>0</v>
      </c>
      <c r="E78" s="5">
        <v>0</v>
      </c>
      <c r="F78" s="5">
        <v>1</v>
      </c>
      <c r="G78" s="5">
        <v>0</v>
      </c>
      <c r="H78" s="5">
        <v>0</v>
      </c>
      <c r="I78" s="5">
        <v>1</v>
      </c>
      <c r="J78" s="5">
        <v>24</v>
      </c>
      <c r="K78" s="61">
        <v>6</v>
      </c>
    </row>
    <row r="79" spans="2:11" ht="14.25" customHeight="1" x14ac:dyDescent="0.3">
      <c r="B79" s="5">
        <v>78</v>
      </c>
      <c r="C79" s="61">
        <v>13.795307850646754</v>
      </c>
      <c r="D79" s="5">
        <v>1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32</v>
      </c>
      <c r="K79" s="61">
        <v>1.3</v>
      </c>
    </row>
    <row r="80" spans="2:11" ht="14.25" customHeight="1" x14ac:dyDescent="0.3">
      <c r="B80" s="5">
        <v>79</v>
      </c>
      <c r="C80" s="61">
        <v>15.424948470398375</v>
      </c>
      <c r="D80" s="5">
        <v>1</v>
      </c>
      <c r="E80" s="5">
        <v>0</v>
      </c>
      <c r="F80" s="5">
        <v>0</v>
      </c>
      <c r="G80" s="5">
        <v>1</v>
      </c>
      <c r="H80" s="5">
        <v>1</v>
      </c>
      <c r="I80" s="5">
        <v>1</v>
      </c>
      <c r="J80" s="5">
        <v>42</v>
      </c>
      <c r="K80" s="61">
        <v>15</v>
      </c>
    </row>
    <row r="81" spans="2:11" ht="14.25" customHeight="1" x14ac:dyDescent="0.3">
      <c r="B81" s="5">
        <v>80</v>
      </c>
      <c r="C81" s="61">
        <v>13.304684934198283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20</v>
      </c>
      <c r="K81" s="61">
        <v>8.3333333333333301E-2</v>
      </c>
    </row>
    <row r="82" spans="2:11" ht="14.25" customHeight="1" x14ac:dyDescent="0.3">
      <c r="B82" s="5">
        <v>81</v>
      </c>
      <c r="C82" s="61">
        <v>14.220975666072439</v>
      </c>
      <c r="D82" s="5">
        <v>0</v>
      </c>
      <c r="E82" s="5">
        <v>0</v>
      </c>
      <c r="F82" s="5">
        <v>0</v>
      </c>
      <c r="G82" s="5">
        <v>1</v>
      </c>
      <c r="H82" s="5">
        <v>0</v>
      </c>
      <c r="I82" s="5">
        <v>0</v>
      </c>
      <c r="J82" s="5">
        <v>23</v>
      </c>
      <c r="K82" s="61">
        <v>1</v>
      </c>
    </row>
    <row r="83" spans="2:11" ht="14.25" customHeight="1" x14ac:dyDescent="0.3">
      <c r="B83" s="5">
        <v>82</v>
      </c>
      <c r="C83" s="61">
        <v>14.914122846632385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0</v>
      </c>
      <c r="J83" s="5">
        <v>39</v>
      </c>
      <c r="K83" s="61">
        <v>30</v>
      </c>
    </row>
    <row r="84" spans="2:11" ht="14.25" customHeight="1" x14ac:dyDescent="0.3">
      <c r="B84" s="5">
        <v>83</v>
      </c>
      <c r="C84" s="61">
        <v>13.71899965758343</v>
      </c>
      <c r="D84" s="5">
        <v>1</v>
      </c>
      <c r="E84" s="5">
        <v>0</v>
      </c>
      <c r="F84" s="5">
        <v>1</v>
      </c>
      <c r="G84" s="5">
        <v>0</v>
      </c>
      <c r="H84" s="5">
        <v>0</v>
      </c>
      <c r="I84" s="5">
        <v>1</v>
      </c>
      <c r="J84" s="5">
        <v>53</v>
      </c>
      <c r="K84" s="61">
        <v>15</v>
      </c>
    </row>
    <row r="85" spans="2:11" ht="14.25" customHeight="1" x14ac:dyDescent="0.3">
      <c r="B85" s="5">
        <v>84</v>
      </c>
      <c r="C85" s="61">
        <v>13.742939865129438</v>
      </c>
      <c r="D85" s="5">
        <v>1</v>
      </c>
      <c r="E85" s="5">
        <v>1</v>
      </c>
      <c r="F85" s="5">
        <v>0</v>
      </c>
      <c r="G85" s="5">
        <v>0</v>
      </c>
      <c r="H85" s="5">
        <v>0</v>
      </c>
      <c r="I85" s="5">
        <v>0</v>
      </c>
      <c r="J85" s="5">
        <v>30</v>
      </c>
      <c r="K85" s="61">
        <v>4</v>
      </c>
    </row>
    <row r="86" spans="2:11" ht="14.25" customHeight="1" x14ac:dyDescent="0.3">
      <c r="B86" s="5">
        <v>85</v>
      </c>
      <c r="C86" s="61">
        <v>13.997832114758229</v>
      </c>
      <c r="D86" s="5">
        <v>1</v>
      </c>
      <c r="E86" s="5">
        <v>0</v>
      </c>
      <c r="F86" s="5">
        <v>0</v>
      </c>
      <c r="G86" s="5">
        <v>1</v>
      </c>
      <c r="H86" s="5">
        <v>0</v>
      </c>
      <c r="I86" s="5">
        <v>1</v>
      </c>
      <c r="J86" s="5">
        <v>26</v>
      </c>
      <c r="K86" s="61">
        <v>4</v>
      </c>
    </row>
    <row r="87" spans="2:11" ht="14.25" customHeight="1" x14ac:dyDescent="0.3">
      <c r="B87" s="5">
        <v>86</v>
      </c>
      <c r="C87" s="61">
        <v>13.71899965758343</v>
      </c>
      <c r="D87" s="5">
        <v>1</v>
      </c>
      <c r="E87" s="5">
        <v>1</v>
      </c>
      <c r="F87" s="5">
        <v>0</v>
      </c>
      <c r="G87" s="5">
        <v>0</v>
      </c>
      <c r="H87" s="5">
        <v>0</v>
      </c>
      <c r="I87" s="5">
        <v>1</v>
      </c>
      <c r="J87" s="5">
        <v>28</v>
      </c>
      <c r="K87" s="61">
        <v>1</v>
      </c>
    </row>
    <row r="88" spans="2:11" ht="14.25" customHeight="1" x14ac:dyDescent="0.3">
      <c r="B88" s="5">
        <v>87</v>
      </c>
      <c r="C88" s="61">
        <v>13.71899965758343</v>
      </c>
      <c r="D88" s="5">
        <v>1</v>
      </c>
      <c r="E88" s="5">
        <v>0</v>
      </c>
      <c r="F88" s="5">
        <v>1</v>
      </c>
      <c r="G88" s="5">
        <v>0</v>
      </c>
      <c r="H88" s="5">
        <v>0</v>
      </c>
      <c r="I88" s="5">
        <v>0</v>
      </c>
      <c r="J88" s="5">
        <v>34</v>
      </c>
      <c r="K88" s="61">
        <v>7</v>
      </c>
    </row>
    <row r="89" spans="2:11" ht="14.25" customHeight="1" x14ac:dyDescent="0.3">
      <c r="B89" s="5">
        <v>88</v>
      </c>
      <c r="C89" s="61">
        <v>14.403297222866392</v>
      </c>
      <c r="D89" s="5">
        <v>0</v>
      </c>
      <c r="E89" s="5">
        <v>0</v>
      </c>
      <c r="F89" s="5">
        <v>0</v>
      </c>
      <c r="G89" s="5">
        <v>1</v>
      </c>
      <c r="H89" s="5">
        <v>0</v>
      </c>
      <c r="I89" s="5">
        <v>0</v>
      </c>
      <c r="J89" s="5">
        <v>26</v>
      </c>
      <c r="K89" s="61">
        <v>0.5</v>
      </c>
    </row>
    <row r="90" spans="2:11" ht="14.25" customHeight="1" x14ac:dyDescent="0.3">
      <c r="B90" s="5">
        <v>89</v>
      </c>
      <c r="C90" s="61">
        <v>13.815510557964274</v>
      </c>
      <c r="D90" s="5">
        <v>1</v>
      </c>
      <c r="E90" s="5">
        <v>0</v>
      </c>
      <c r="F90" s="5">
        <v>0</v>
      </c>
      <c r="G90" s="5">
        <v>1</v>
      </c>
      <c r="H90" s="5">
        <v>0</v>
      </c>
      <c r="I90" s="5">
        <v>0</v>
      </c>
      <c r="J90" s="5">
        <v>27</v>
      </c>
      <c r="K90" s="61">
        <v>6</v>
      </c>
    </row>
    <row r="91" spans="2:11" ht="14.25" customHeight="1" x14ac:dyDescent="0.3">
      <c r="B91" s="5">
        <v>90</v>
      </c>
      <c r="C91" s="61">
        <v>13.815510557964274</v>
      </c>
      <c r="D91" s="5">
        <v>1</v>
      </c>
      <c r="E91" s="5">
        <v>0</v>
      </c>
      <c r="F91" s="5">
        <v>1</v>
      </c>
      <c r="G91" s="5">
        <v>0</v>
      </c>
      <c r="H91" s="5">
        <v>0</v>
      </c>
      <c r="I91" s="5">
        <v>0</v>
      </c>
      <c r="J91" s="5">
        <v>23</v>
      </c>
      <c r="K91" s="61">
        <v>2</v>
      </c>
    </row>
    <row r="92" spans="2:11" ht="14.25" customHeight="1" x14ac:dyDescent="0.3">
      <c r="B92" s="5">
        <v>91</v>
      </c>
      <c r="C92" s="61">
        <v>14.77102200299171</v>
      </c>
      <c r="D92" s="5">
        <v>1</v>
      </c>
      <c r="E92" s="5">
        <v>1</v>
      </c>
      <c r="F92" s="5">
        <v>0</v>
      </c>
      <c r="G92" s="5">
        <v>0</v>
      </c>
      <c r="H92" s="5">
        <v>1</v>
      </c>
      <c r="I92" s="5">
        <v>1</v>
      </c>
      <c r="J92" s="5">
        <v>58</v>
      </c>
      <c r="K92" s="61">
        <v>34</v>
      </c>
    </row>
    <row r="93" spans="2:11" ht="14.25" customHeight="1" x14ac:dyDescent="0.3">
      <c r="B93" s="5">
        <v>92</v>
      </c>
      <c r="C93" s="61">
        <v>15.60727002719233</v>
      </c>
      <c r="D93" s="5">
        <v>1</v>
      </c>
      <c r="E93" s="5">
        <v>0</v>
      </c>
      <c r="F93" s="5">
        <v>0</v>
      </c>
      <c r="G93" s="5">
        <v>1</v>
      </c>
      <c r="H93" s="5">
        <v>1</v>
      </c>
      <c r="I93" s="5">
        <v>1</v>
      </c>
      <c r="J93" s="5">
        <v>53</v>
      </c>
      <c r="K93" s="61">
        <v>14</v>
      </c>
    </row>
    <row r="94" spans="2:11" ht="14.25" customHeight="1" x14ac:dyDescent="0.3">
      <c r="B94" s="5">
        <v>93</v>
      </c>
      <c r="C94" s="61">
        <v>14.914122846632385</v>
      </c>
      <c r="D94" s="5">
        <v>1</v>
      </c>
      <c r="E94" s="5">
        <v>0</v>
      </c>
      <c r="F94" s="5">
        <v>0</v>
      </c>
      <c r="G94" s="5">
        <v>1</v>
      </c>
      <c r="H94" s="5">
        <v>0</v>
      </c>
      <c r="I94" s="5">
        <v>1</v>
      </c>
      <c r="J94" s="5">
        <v>30</v>
      </c>
      <c r="K94" s="61">
        <v>6</v>
      </c>
    </row>
    <row r="95" spans="2:11" ht="14.25" customHeight="1" x14ac:dyDescent="0.3">
      <c r="B95" s="5">
        <v>94</v>
      </c>
      <c r="C95" s="61">
        <v>13.304684934198283</v>
      </c>
      <c r="D95" s="5">
        <v>1</v>
      </c>
      <c r="E95" s="5">
        <v>0</v>
      </c>
      <c r="F95" s="5">
        <v>1</v>
      </c>
      <c r="G95" s="5">
        <v>0</v>
      </c>
      <c r="H95" s="5">
        <v>0</v>
      </c>
      <c r="I95" s="5">
        <v>0</v>
      </c>
      <c r="J95" s="5">
        <v>25</v>
      </c>
      <c r="K95" s="61">
        <v>0.75</v>
      </c>
    </row>
    <row r="96" spans="2:11" ht="14.25" customHeight="1" x14ac:dyDescent="0.3">
      <c r="B96" s="5">
        <v>95</v>
      </c>
      <c r="C96" s="61">
        <v>13.815510557964274</v>
      </c>
      <c r="D96" s="5">
        <v>1</v>
      </c>
      <c r="E96" s="5">
        <v>1</v>
      </c>
      <c r="F96" s="5">
        <v>0</v>
      </c>
      <c r="G96" s="5">
        <v>0</v>
      </c>
      <c r="H96" s="5">
        <v>0</v>
      </c>
      <c r="I96" s="5">
        <v>1</v>
      </c>
      <c r="J96" s="5">
        <v>23</v>
      </c>
      <c r="K96" s="61">
        <v>0.25</v>
      </c>
    </row>
    <row r="97" spans="2:11" ht="14.25" customHeight="1" x14ac:dyDescent="0.3">
      <c r="B97" s="5">
        <v>96</v>
      </c>
      <c r="C97" s="61">
        <v>13.997832114758229</v>
      </c>
      <c r="D97" s="5">
        <v>1</v>
      </c>
      <c r="E97" s="5">
        <v>0</v>
      </c>
      <c r="F97" s="5">
        <v>1</v>
      </c>
      <c r="G97" s="5">
        <v>0</v>
      </c>
      <c r="H97" s="5">
        <v>1</v>
      </c>
      <c r="I97" s="5">
        <v>1</v>
      </c>
      <c r="J97" s="5">
        <v>21</v>
      </c>
      <c r="K97" s="61">
        <v>2</v>
      </c>
    </row>
    <row r="98" spans="2:11" ht="14.25" customHeight="1" x14ac:dyDescent="0.3">
      <c r="B98" s="5">
        <v>97</v>
      </c>
      <c r="C98" s="61">
        <v>14.73180128983843</v>
      </c>
      <c r="D98" s="5">
        <v>0</v>
      </c>
      <c r="E98" s="5">
        <v>1</v>
      </c>
      <c r="F98" s="5">
        <v>0</v>
      </c>
      <c r="G98" s="5">
        <v>0</v>
      </c>
      <c r="H98" s="5">
        <v>0</v>
      </c>
      <c r="I98" s="5">
        <v>0</v>
      </c>
      <c r="J98" s="5">
        <v>25</v>
      </c>
      <c r="K98" s="61">
        <v>3</v>
      </c>
    </row>
    <row r="99" spans="2:11" ht="14.25" customHeight="1" x14ac:dyDescent="0.3">
      <c r="B99" s="5">
        <v>98</v>
      </c>
      <c r="C99" s="61">
        <v>14.28551418721001</v>
      </c>
      <c r="D99" s="5">
        <v>0</v>
      </c>
      <c r="E99" s="5">
        <v>0</v>
      </c>
      <c r="F99" s="5">
        <v>1</v>
      </c>
      <c r="G99" s="5">
        <v>0</v>
      </c>
      <c r="H99" s="5">
        <v>0</v>
      </c>
      <c r="I99" s="5">
        <v>0</v>
      </c>
      <c r="J99" s="5">
        <v>38</v>
      </c>
      <c r="K99" s="61">
        <v>5</v>
      </c>
    </row>
    <row r="100" spans="2:11" ht="14.25" customHeight="1" x14ac:dyDescent="0.3">
      <c r="B100" s="5">
        <v>99</v>
      </c>
      <c r="C100" s="61">
        <v>14.151982794585487</v>
      </c>
      <c r="D100" s="5">
        <v>1</v>
      </c>
      <c r="E100" s="5">
        <v>1</v>
      </c>
      <c r="F100" s="5">
        <v>0</v>
      </c>
      <c r="G100" s="5">
        <v>0</v>
      </c>
      <c r="H100" s="5">
        <v>1</v>
      </c>
      <c r="I100" s="5">
        <v>0</v>
      </c>
      <c r="J100" s="5">
        <v>25</v>
      </c>
      <c r="K100" s="61">
        <v>4</v>
      </c>
    </row>
    <row r="101" spans="2:11" ht="14.25" customHeight="1" x14ac:dyDescent="0.3">
      <c r="B101" s="5">
        <v>100</v>
      </c>
      <c r="C101" s="61">
        <v>13.910820737768599</v>
      </c>
      <c r="D101" s="5">
        <v>1</v>
      </c>
      <c r="E101" s="5">
        <v>1</v>
      </c>
      <c r="F101" s="5">
        <v>0</v>
      </c>
      <c r="G101" s="5">
        <v>0</v>
      </c>
      <c r="H101" s="5">
        <v>0</v>
      </c>
      <c r="I101" s="5">
        <v>1</v>
      </c>
      <c r="J101" s="5">
        <v>24</v>
      </c>
      <c r="K101" s="61">
        <v>2</v>
      </c>
    </row>
    <row r="102" spans="2:11" ht="14.25" customHeight="1" x14ac:dyDescent="0.3">
      <c r="B102" s="5">
        <v>101</v>
      </c>
      <c r="C102" s="61">
        <v>13.997832114758229</v>
      </c>
      <c r="D102" s="5">
        <v>1</v>
      </c>
      <c r="E102" s="5">
        <v>0</v>
      </c>
      <c r="F102" s="5">
        <v>1</v>
      </c>
      <c r="G102" s="5">
        <v>0</v>
      </c>
      <c r="H102" s="5">
        <v>0</v>
      </c>
      <c r="I102" s="5">
        <v>0</v>
      </c>
      <c r="J102" s="5">
        <v>30</v>
      </c>
      <c r="K102" s="61">
        <v>5</v>
      </c>
    </row>
    <row r="103" spans="2:11" ht="14.25" customHeight="1" x14ac:dyDescent="0.3">
      <c r="B103" s="5">
        <v>102</v>
      </c>
      <c r="C103" s="61">
        <v>14.73180128983843</v>
      </c>
      <c r="D103" s="5">
        <v>0</v>
      </c>
      <c r="E103" s="5">
        <v>0</v>
      </c>
      <c r="F103" s="5">
        <v>0</v>
      </c>
      <c r="G103" s="5">
        <v>1</v>
      </c>
      <c r="H103" s="5">
        <v>0</v>
      </c>
      <c r="I103" s="5">
        <v>0</v>
      </c>
      <c r="J103" s="5">
        <v>38</v>
      </c>
      <c r="K103" s="61">
        <v>25</v>
      </c>
    </row>
    <row r="104" spans="2:11" ht="14.25" customHeight="1" x14ac:dyDescent="0.3">
      <c r="B104" s="5">
        <v>103</v>
      </c>
      <c r="C104" s="61">
        <v>13.921670753792664</v>
      </c>
      <c r="D104" s="5">
        <v>1</v>
      </c>
      <c r="E104" s="5">
        <v>0</v>
      </c>
      <c r="F104" s="5">
        <v>1</v>
      </c>
      <c r="G104" s="5">
        <v>0</v>
      </c>
      <c r="H104" s="5">
        <v>0</v>
      </c>
      <c r="I104" s="5">
        <v>0</v>
      </c>
      <c r="J104" s="5">
        <v>23</v>
      </c>
      <c r="K104" s="61">
        <v>4</v>
      </c>
    </row>
    <row r="105" spans="2:11" ht="14.25" customHeight="1" x14ac:dyDescent="0.3">
      <c r="B105" s="5">
        <v>104</v>
      </c>
      <c r="C105" s="61">
        <v>14.077874822431765</v>
      </c>
      <c r="D105" s="5">
        <v>1</v>
      </c>
      <c r="E105" s="5">
        <v>1</v>
      </c>
      <c r="F105" s="5">
        <v>0</v>
      </c>
      <c r="G105" s="5">
        <v>0</v>
      </c>
      <c r="H105" s="5">
        <v>1</v>
      </c>
      <c r="I105" s="5">
        <v>0</v>
      </c>
      <c r="J105" s="5">
        <v>31</v>
      </c>
      <c r="K105" s="61">
        <v>5</v>
      </c>
    </row>
    <row r="106" spans="2:11" ht="14.25" customHeight="1" x14ac:dyDescent="0.3">
      <c r="B106" s="5">
        <v>105</v>
      </c>
      <c r="C106" s="61">
        <v>13.795307850646754</v>
      </c>
      <c r="D106" s="5">
        <v>0</v>
      </c>
      <c r="E106" s="5">
        <v>0</v>
      </c>
      <c r="F106" s="5">
        <v>0</v>
      </c>
      <c r="G106" s="5">
        <v>1</v>
      </c>
      <c r="H106" s="5">
        <v>1</v>
      </c>
      <c r="I106" s="5">
        <v>1</v>
      </c>
      <c r="J106" s="5">
        <v>31</v>
      </c>
      <c r="K106" s="61">
        <v>5</v>
      </c>
    </row>
    <row r="107" spans="2:11" ht="14.25" customHeight="1" x14ac:dyDescent="0.3">
      <c r="B107" s="5">
        <v>106</v>
      </c>
      <c r="C107" s="61">
        <v>15.424948470398375</v>
      </c>
      <c r="D107" s="5">
        <v>1</v>
      </c>
      <c r="E107" s="5">
        <v>1</v>
      </c>
      <c r="F107" s="5">
        <v>0</v>
      </c>
      <c r="G107" s="5">
        <v>0</v>
      </c>
      <c r="H107" s="5">
        <v>1</v>
      </c>
      <c r="I107" s="5">
        <v>1</v>
      </c>
      <c r="J107" s="5">
        <v>58</v>
      </c>
      <c r="K107" s="61">
        <v>28</v>
      </c>
    </row>
    <row r="108" spans="2:11" ht="14.25" customHeight="1" x14ac:dyDescent="0.3">
      <c r="B108" s="5">
        <v>107</v>
      </c>
      <c r="C108" s="61">
        <v>13.815510557964274</v>
      </c>
      <c r="D108" s="5">
        <v>1</v>
      </c>
      <c r="E108" s="5">
        <v>1</v>
      </c>
      <c r="F108" s="5">
        <v>0</v>
      </c>
      <c r="G108" s="5">
        <v>0</v>
      </c>
      <c r="H108" s="5">
        <v>0</v>
      </c>
      <c r="I108" s="5">
        <v>0</v>
      </c>
      <c r="J108" s="5">
        <v>20</v>
      </c>
      <c r="K108" s="61">
        <v>2</v>
      </c>
    </row>
    <row r="109" spans="2:11" ht="14.25" customHeight="1" x14ac:dyDescent="0.3">
      <c r="B109" s="5">
        <v>108</v>
      </c>
      <c r="C109" s="61">
        <v>13.710150042306449</v>
      </c>
      <c r="D109" s="5">
        <v>0</v>
      </c>
      <c r="E109" s="5">
        <v>1</v>
      </c>
      <c r="F109" s="5">
        <v>0</v>
      </c>
      <c r="G109" s="5">
        <v>0</v>
      </c>
      <c r="H109" s="5">
        <v>0</v>
      </c>
      <c r="I109" s="5">
        <v>0</v>
      </c>
      <c r="J109" s="5">
        <v>47</v>
      </c>
      <c r="K109" s="61">
        <v>15</v>
      </c>
    </row>
    <row r="110" spans="2:11" ht="14.25" customHeight="1" x14ac:dyDescent="0.3">
      <c r="B110" s="5">
        <v>109</v>
      </c>
      <c r="C110" s="61">
        <v>13.815510557964274</v>
      </c>
      <c r="D110" s="5">
        <v>1</v>
      </c>
      <c r="E110" s="5">
        <v>1</v>
      </c>
      <c r="F110" s="5">
        <v>0</v>
      </c>
      <c r="G110" s="5">
        <v>0</v>
      </c>
      <c r="H110" s="5">
        <v>1</v>
      </c>
      <c r="I110" s="5">
        <v>0</v>
      </c>
      <c r="J110" s="5">
        <v>43</v>
      </c>
      <c r="K110" s="61">
        <v>1</v>
      </c>
    </row>
    <row r="111" spans="2:11" ht="14.25" customHeight="1" x14ac:dyDescent="0.3">
      <c r="B111" s="5">
        <v>110</v>
      </c>
      <c r="C111" s="61">
        <v>14.220975666072439</v>
      </c>
      <c r="D111" s="5">
        <v>1</v>
      </c>
      <c r="E111" s="5">
        <v>0</v>
      </c>
      <c r="F111" s="5">
        <v>1</v>
      </c>
      <c r="G111" s="5">
        <v>0</v>
      </c>
      <c r="H111" s="5">
        <v>0</v>
      </c>
      <c r="I111" s="5">
        <v>1</v>
      </c>
      <c r="J111" s="5">
        <v>25</v>
      </c>
      <c r="K111" s="61">
        <v>6</v>
      </c>
    </row>
    <row r="112" spans="2:11" ht="14.25" customHeight="1" x14ac:dyDescent="0.3">
      <c r="B112" s="5">
        <v>111</v>
      </c>
      <c r="C112" s="61">
        <v>14.28551418721001</v>
      </c>
      <c r="D112" s="5">
        <v>1</v>
      </c>
      <c r="E112" s="5">
        <v>0</v>
      </c>
      <c r="F112" s="5">
        <v>1</v>
      </c>
      <c r="G112" s="5">
        <v>0</v>
      </c>
      <c r="H112" s="5">
        <v>0</v>
      </c>
      <c r="I112" s="5">
        <v>1</v>
      </c>
      <c r="J112" s="5">
        <v>38</v>
      </c>
      <c r="K112" s="61">
        <v>15</v>
      </c>
    </row>
    <row r="113" spans="2:11" ht="14.25" customHeight="1" x14ac:dyDescent="0.3">
      <c r="B113" s="5">
        <v>112</v>
      </c>
      <c r="C113" s="61">
        <v>14.346138809026444</v>
      </c>
      <c r="D113" s="5">
        <v>1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24</v>
      </c>
      <c r="K113" s="61">
        <v>0.58333333333333337</v>
      </c>
    </row>
    <row r="114" spans="2:11" ht="14.25" customHeight="1" x14ac:dyDescent="0.3">
      <c r="B114" s="5">
        <v>113</v>
      </c>
      <c r="C114" s="61">
        <v>14.508657738524219</v>
      </c>
      <c r="D114" s="5">
        <v>1</v>
      </c>
      <c r="E114" s="5">
        <v>1</v>
      </c>
      <c r="F114" s="5">
        <v>0</v>
      </c>
      <c r="G114" s="5">
        <v>0</v>
      </c>
      <c r="H114" s="5">
        <v>1</v>
      </c>
      <c r="I114" s="5">
        <v>1</v>
      </c>
      <c r="J114" s="5">
        <v>22</v>
      </c>
      <c r="K114" s="61">
        <v>1</v>
      </c>
    </row>
    <row r="115" spans="2:11" ht="14.25" customHeight="1" x14ac:dyDescent="0.3">
      <c r="B115" s="5">
        <v>114</v>
      </c>
      <c r="C115" s="61">
        <v>14.28551418721001</v>
      </c>
      <c r="D115" s="5">
        <v>0</v>
      </c>
      <c r="E115" s="5">
        <v>0</v>
      </c>
      <c r="F115" s="5">
        <v>1</v>
      </c>
      <c r="G115" s="5">
        <v>0</v>
      </c>
      <c r="H115" s="5">
        <v>0</v>
      </c>
      <c r="I115" s="5">
        <v>0</v>
      </c>
      <c r="J115" s="5">
        <v>34</v>
      </c>
      <c r="K115" s="61">
        <v>0.5</v>
      </c>
    </row>
    <row r="116" spans="2:11" ht="14.25" customHeight="1" x14ac:dyDescent="0.3">
      <c r="B116" s="5">
        <v>115</v>
      </c>
      <c r="C116" s="61">
        <v>14.151982794585487</v>
      </c>
      <c r="D116" s="5">
        <v>1</v>
      </c>
      <c r="E116" s="5">
        <v>0</v>
      </c>
      <c r="F116" s="5">
        <v>0</v>
      </c>
      <c r="G116" s="5">
        <v>1</v>
      </c>
      <c r="H116" s="5">
        <v>0</v>
      </c>
      <c r="I116" s="5">
        <v>1</v>
      </c>
      <c r="J116" s="5">
        <v>24</v>
      </c>
      <c r="K116" s="61">
        <v>10</v>
      </c>
    </row>
    <row r="117" spans="2:11" ht="14.25" customHeight="1" x14ac:dyDescent="0.3">
      <c r="B117" s="5">
        <v>116</v>
      </c>
      <c r="C117" s="61">
        <v>14.603967918328545</v>
      </c>
      <c r="D117" s="5">
        <v>1</v>
      </c>
      <c r="E117" s="5">
        <v>0</v>
      </c>
      <c r="F117" s="5">
        <v>0</v>
      </c>
      <c r="G117" s="5">
        <v>1</v>
      </c>
      <c r="H117" s="5">
        <v>1</v>
      </c>
      <c r="I117" s="5">
        <v>1</v>
      </c>
      <c r="J117" s="5">
        <v>40</v>
      </c>
      <c r="K117" s="61">
        <v>2</v>
      </c>
    </row>
    <row r="118" spans="2:11" ht="14.25" customHeight="1" x14ac:dyDescent="0.3">
      <c r="B118" s="5">
        <v>117</v>
      </c>
      <c r="C118" s="61">
        <v>13.815510557964274</v>
      </c>
      <c r="D118" s="5">
        <v>1</v>
      </c>
      <c r="E118" s="5">
        <v>1</v>
      </c>
      <c r="F118" s="5">
        <v>0</v>
      </c>
      <c r="G118" s="5">
        <v>0</v>
      </c>
      <c r="H118" s="5">
        <v>0</v>
      </c>
      <c r="I118" s="5">
        <v>0</v>
      </c>
      <c r="J118" s="5">
        <v>27</v>
      </c>
      <c r="K118" s="61">
        <v>2</v>
      </c>
    </row>
    <row r="119" spans="2:11" ht="14.25" customHeight="1" x14ac:dyDescent="0.3">
      <c r="B119" s="5">
        <v>118</v>
      </c>
      <c r="C119" s="61">
        <v>13.830379465830392</v>
      </c>
      <c r="D119" s="5">
        <v>1</v>
      </c>
      <c r="E119" s="5">
        <v>0</v>
      </c>
      <c r="F119" s="5">
        <v>1</v>
      </c>
      <c r="G119" s="5">
        <v>0</v>
      </c>
      <c r="H119" s="5">
        <v>0</v>
      </c>
      <c r="I119" s="5">
        <v>0</v>
      </c>
      <c r="J119" s="5">
        <v>35</v>
      </c>
      <c r="K119" s="61">
        <v>15</v>
      </c>
    </row>
    <row r="120" spans="2:11" ht="14.25" customHeight="1" x14ac:dyDescent="0.3">
      <c r="B120" s="5">
        <v>119</v>
      </c>
      <c r="C120" s="61">
        <v>13.997832114758229</v>
      </c>
      <c r="D120" s="5">
        <v>1</v>
      </c>
      <c r="E120" s="5">
        <v>0</v>
      </c>
      <c r="F120" s="5">
        <v>1</v>
      </c>
      <c r="G120" s="5">
        <v>0</v>
      </c>
      <c r="H120" s="5">
        <v>0</v>
      </c>
      <c r="I120" s="5">
        <v>0</v>
      </c>
      <c r="J120" s="5">
        <v>34</v>
      </c>
      <c r="K120" s="61">
        <v>5</v>
      </c>
    </row>
    <row r="121" spans="2:11" ht="14.25" customHeight="1" x14ac:dyDescent="0.3">
      <c r="B121" s="5">
        <v>120</v>
      </c>
      <c r="C121" s="61">
        <v>14.220975666072439</v>
      </c>
      <c r="D121" s="5">
        <v>0</v>
      </c>
      <c r="E121" s="5">
        <v>0</v>
      </c>
      <c r="F121" s="5">
        <v>1</v>
      </c>
      <c r="G121" s="5">
        <v>0</v>
      </c>
      <c r="H121" s="5">
        <v>1</v>
      </c>
      <c r="I121" s="5">
        <v>0</v>
      </c>
      <c r="J121" s="5">
        <v>30</v>
      </c>
      <c r="K121" s="61">
        <v>8.3333333333333301E-2</v>
      </c>
    </row>
    <row r="122" spans="2:11" ht="14.25" customHeight="1" x14ac:dyDescent="0.3">
      <c r="B122" s="5">
        <v>121</v>
      </c>
      <c r="C122" s="61">
        <v>13.830379465830392</v>
      </c>
      <c r="D122" s="5">
        <v>0</v>
      </c>
      <c r="E122" s="5">
        <v>0</v>
      </c>
      <c r="F122" s="5">
        <v>1</v>
      </c>
      <c r="G122" s="5">
        <v>0</v>
      </c>
      <c r="H122" s="5">
        <v>0</v>
      </c>
      <c r="I122" s="5">
        <v>0</v>
      </c>
      <c r="J122" s="5">
        <v>35</v>
      </c>
      <c r="K122" s="61">
        <v>18</v>
      </c>
    </row>
    <row r="123" spans="2:11" ht="14.25" customHeight="1" x14ac:dyDescent="0.3">
      <c r="B123" s="5">
        <v>122</v>
      </c>
      <c r="C123" s="61">
        <v>14.523526646390337</v>
      </c>
      <c r="D123" s="5">
        <v>0</v>
      </c>
      <c r="E123" s="5">
        <v>1</v>
      </c>
      <c r="F123" s="5">
        <v>0</v>
      </c>
      <c r="G123" s="5">
        <v>0</v>
      </c>
      <c r="H123" s="5">
        <v>0</v>
      </c>
      <c r="I123" s="5">
        <v>0</v>
      </c>
      <c r="J123" s="5">
        <v>18</v>
      </c>
      <c r="K123" s="61">
        <v>0.5</v>
      </c>
    </row>
    <row r="124" spans="2:11" ht="14.25" customHeight="1" x14ac:dyDescent="0.3">
      <c r="B124" s="5">
        <v>123</v>
      </c>
      <c r="C124" s="61">
        <v>13.997832114758229</v>
      </c>
      <c r="D124" s="5">
        <v>1</v>
      </c>
      <c r="E124" s="5">
        <v>0</v>
      </c>
      <c r="F124" s="5">
        <v>1</v>
      </c>
      <c r="G124" s="5">
        <v>0</v>
      </c>
      <c r="H124" s="5">
        <v>1</v>
      </c>
      <c r="I124" s="5">
        <v>0</v>
      </c>
      <c r="J124" s="5">
        <v>20</v>
      </c>
      <c r="K124" s="61">
        <v>0.33333333333333331</v>
      </c>
    </row>
    <row r="125" spans="2:11" ht="14.25" customHeight="1" x14ac:dyDescent="0.3">
      <c r="B125" s="5">
        <v>124</v>
      </c>
      <c r="C125" s="61">
        <v>13.830379465830392</v>
      </c>
      <c r="D125" s="5">
        <v>1</v>
      </c>
      <c r="E125" s="5">
        <v>1</v>
      </c>
      <c r="F125" s="5">
        <v>0</v>
      </c>
      <c r="G125" s="5">
        <v>0</v>
      </c>
      <c r="H125" s="5">
        <v>0</v>
      </c>
      <c r="I125" s="5">
        <v>0</v>
      </c>
      <c r="J125" s="5">
        <v>54</v>
      </c>
      <c r="K125" s="61">
        <v>25</v>
      </c>
    </row>
    <row r="126" spans="2:11" ht="14.25" customHeight="1" x14ac:dyDescent="0.3">
      <c r="B126" s="5">
        <v>125</v>
      </c>
      <c r="C126" s="61">
        <v>13.997832114758229</v>
      </c>
      <c r="D126" s="5">
        <v>1</v>
      </c>
      <c r="E126" s="5">
        <v>1</v>
      </c>
      <c r="F126" s="5">
        <v>0</v>
      </c>
      <c r="G126" s="5">
        <v>0</v>
      </c>
      <c r="H126" s="5">
        <v>1</v>
      </c>
      <c r="I126" s="5">
        <v>0</v>
      </c>
      <c r="J126" s="5">
        <v>45</v>
      </c>
      <c r="K126" s="61">
        <v>8</v>
      </c>
    </row>
    <row r="127" spans="2:11" ht="14.25" customHeight="1" x14ac:dyDescent="0.3">
      <c r="B127" s="5">
        <v>126</v>
      </c>
      <c r="C127" s="61">
        <v>13.997832114758229</v>
      </c>
      <c r="D127" s="5">
        <v>1</v>
      </c>
      <c r="E127" s="5">
        <v>0</v>
      </c>
      <c r="F127" s="5">
        <v>1</v>
      </c>
      <c r="G127" s="5">
        <v>0</v>
      </c>
      <c r="H127" s="5">
        <v>0</v>
      </c>
      <c r="I127" s="5">
        <v>0</v>
      </c>
      <c r="J127" s="5">
        <v>21</v>
      </c>
      <c r="K127" s="61">
        <v>3</v>
      </c>
    </row>
    <row r="128" spans="2:11" ht="14.25" customHeight="1" x14ac:dyDescent="0.3">
      <c r="B128" s="5">
        <v>127</v>
      </c>
      <c r="C128" s="61">
        <v>14.508657738524219</v>
      </c>
      <c r="D128" s="5">
        <v>0</v>
      </c>
      <c r="E128" s="5">
        <v>0</v>
      </c>
      <c r="F128" s="5">
        <v>1</v>
      </c>
      <c r="G128" s="5">
        <v>0</v>
      </c>
      <c r="H128" s="5">
        <v>1</v>
      </c>
      <c r="I128" s="5">
        <v>1</v>
      </c>
      <c r="J128" s="5">
        <v>29</v>
      </c>
      <c r="K128" s="61">
        <v>5</v>
      </c>
    </row>
    <row r="129" spans="2:11" ht="14.25" customHeight="1" x14ac:dyDescent="0.3">
      <c r="B129" s="5">
        <v>128</v>
      </c>
      <c r="C129" s="61">
        <v>14.220975666072439</v>
      </c>
      <c r="D129" s="5">
        <v>1</v>
      </c>
      <c r="E129" s="5">
        <v>1</v>
      </c>
      <c r="F129" s="5">
        <v>0</v>
      </c>
      <c r="G129" s="5">
        <v>0</v>
      </c>
      <c r="H129" s="5">
        <v>1</v>
      </c>
      <c r="I129" s="5">
        <v>1</v>
      </c>
      <c r="J129" s="5">
        <v>62</v>
      </c>
      <c r="K129" s="61">
        <v>27</v>
      </c>
    </row>
    <row r="130" spans="2:11" ht="14.25" customHeight="1" x14ac:dyDescent="0.3">
      <c r="B130" s="5">
        <v>129</v>
      </c>
      <c r="C130" s="61">
        <v>13.997832114758229</v>
      </c>
      <c r="D130" s="5">
        <v>1</v>
      </c>
      <c r="E130" s="5">
        <v>0</v>
      </c>
      <c r="F130" s="5">
        <v>0</v>
      </c>
      <c r="G130" s="5">
        <v>1</v>
      </c>
      <c r="H130" s="5">
        <v>0</v>
      </c>
      <c r="I130" s="5">
        <v>0</v>
      </c>
      <c r="J130" s="5">
        <v>24</v>
      </c>
      <c r="K130" s="61">
        <v>2</v>
      </c>
    </row>
    <row r="131" spans="2:11" ht="14.25" customHeight="1" x14ac:dyDescent="0.3">
      <c r="B131" s="5">
        <v>130</v>
      </c>
      <c r="C131" s="61">
        <v>13.71899965758343</v>
      </c>
      <c r="D131" s="5">
        <v>0</v>
      </c>
      <c r="E131" s="5">
        <v>1</v>
      </c>
      <c r="F131" s="5">
        <v>0</v>
      </c>
      <c r="G131" s="5">
        <v>0</v>
      </c>
      <c r="H131" s="5">
        <v>0</v>
      </c>
      <c r="I131" s="5">
        <v>1</v>
      </c>
      <c r="J131" s="5">
        <v>58</v>
      </c>
      <c r="K131" s="61">
        <v>35</v>
      </c>
    </row>
    <row r="132" spans="2:11" ht="14.25" customHeight="1" x14ac:dyDescent="0.3">
      <c r="B132" s="5">
        <v>131</v>
      </c>
      <c r="C132" s="61">
        <v>14.73180128983843</v>
      </c>
      <c r="D132" s="5">
        <v>1</v>
      </c>
      <c r="E132" s="5">
        <v>1</v>
      </c>
      <c r="F132" s="5">
        <v>0</v>
      </c>
      <c r="G132" s="5">
        <v>0</v>
      </c>
      <c r="H132" s="5">
        <v>1</v>
      </c>
      <c r="I132" s="5">
        <v>0</v>
      </c>
      <c r="J132" s="5">
        <v>20</v>
      </c>
      <c r="K132" s="61">
        <v>1.5</v>
      </c>
    </row>
    <row r="133" spans="2:11" ht="14.25" customHeight="1" x14ac:dyDescent="0.3">
      <c r="B133" s="5">
        <v>132</v>
      </c>
      <c r="C133" s="61">
        <v>14.73180128983843</v>
      </c>
      <c r="D133" s="5">
        <v>1</v>
      </c>
      <c r="E133" s="5">
        <v>1</v>
      </c>
      <c r="F133" s="5">
        <v>0</v>
      </c>
      <c r="G133" s="5">
        <v>0</v>
      </c>
      <c r="H133" s="5">
        <v>1</v>
      </c>
      <c r="I133" s="5">
        <v>0</v>
      </c>
      <c r="J133" s="5">
        <v>21</v>
      </c>
      <c r="K133" s="61">
        <v>1</v>
      </c>
    </row>
    <row r="134" spans="2:11" ht="14.25" customHeight="1" x14ac:dyDescent="0.3">
      <c r="B134" s="5">
        <v>133</v>
      </c>
      <c r="C134" s="61">
        <v>14.220975666072439</v>
      </c>
      <c r="D134" s="5">
        <v>1</v>
      </c>
      <c r="E134" s="5">
        <v>1</v>
      </c>
      <c r="F134" s="5">
        <v>0</v>
      </c>
      <c r="G134" s="5">
        <v>0</v>
      </c>
      <c r="H134" s="5">
        <v>1</v>
      </c>
      <c r="I134" s="5">
        <v>1</v>
      </c>
      <c r="J134" s="5">
        <v>53</v>
      </c>
      <c r="K134" s="61">
        <v>10</v>
      </c>
    </row>
    <row r="135" spans="2:11" ht="14.25" customHeight="1" x14ac:dyDescent="0.3">
      <c r="B135" s="5">
        <v>134</v>
      </c>
      <c r="C135" s="61">
        <v>13.997832114758229</v>
      </c>
      <c r="D135" s="5">
        <v>1</v>
      </c>
      <c r="E135" s="5">
        <v>1</v>
      </c>
      <c r="F135" s="5">
        <v>0</v>
      </c>
      <c r="G135" s="5">
        <v>0</v>
      </c>
      <c r="H135" s="5">
        <v>0</v>
      </c>
      <c r="I135" s="5">
        <v>0</v>
      </c>
      <c r="J135" s="5">
        <v>20</v>
      </c>
      <c r="K135" s="61">
        <v>0.58333333333333337</v>
      </c>
    </row>
    <row r="136" spans="2:11" ht="14.25" customHeight="1" x14ac:dyDescent="0.3">
      <c r="B136" s="5">
        <v>135</v>
      </c>
      <c r="C136" s="61">
        <v>14.914122846632385</v>
      </c>
      <c r="D136" s="5">
        <v>0</v>
      </c>
      <c r="E136" s="5">
        <v>0</v>
      </c>
      <c r="F136" s="5">
        <v>0</v>
      </c>
      <c r="G136" s="5">
        <v>1</v>
      </c>
      <c r="H136" s="5">
        <v>1</v>
      </c>
      <c r="I136" s="5">
        <v>1</v>
      </c>
      <c r="J136" s="5">
        <v>62</v>
      </c>
      <c r="K136" s="61">
        <v>30</v>
      </c>
    </row>
    <row r="137" spans="2:11" ht="14.25" customHeight="1" x14ac:dyDescent="0.3">
      <c r="B137" s="5">
        <v>136</v>
      </c>
      <c r="C137" s="61">
        <v>13.997832114758229</v>
      </c>
      <c r="D137" s="5">
        <v>1</v>
      </c>
      <c r="E137" s="5">
        <v>0</v>
      </c>
      <c r="F137" s="5">
        <v>0</v>
      </c>
      <c r="G137" s="5">
        <v>1</v>
      </c>
      <c r="H137" s="5">
        <v>0</v>
      </c>
      <c r="I137" s="5">
        <v>0</v>
      </c>
      <c r="J137" s="5">
        <v>40</v>
      </c>
      <c r="K137" s="61">
        <v>15</v>
      </c>
    </row>
    <row r="138" spans="2:11" ht="14.25" customHeight="1" x14ac:dyDescent="0.3">
      <c r="B138" s="5">
        <v>137</v>
      </c>
      <c r="C138" s="61">
        <v>13.592367006650065</v>
      </c>
      <c r="D138" s="5">
        <v>1</v>
      </c>
      <c r="E138" s="5">
        <v>1</v>
      </c>
      <c r="F138" s="5">
        <v>0</v>
      </c>
      <c r="G138" s="5">
        <v>0</v>
      </c>
      <c r="H138" s="5">
        <v>0</v>
      </c>
      <c r="I138" s="5">
        <v>1</v>
      </c>
      <c r="J138" s="5">
        <v>21</v>
      </c>
      <c r="K138" s="61">
        <v>1</v>
      </c>
    </row>
    <row r="139" spans="2:11" ht="14.25" customHeight="1" x14ac:dyDescent="0.3">
      <c r="B139" s="5">
        <v>138</v>
      </c>
      <c r="C139" s="61">
        <v>13.71899965758343</v>
      </c>
      <c r="D139" s="5">
        <v>1</v>
      </c>
      <c r="E139" s="5">
        <v>0</v>
      </c>
      <c r="F139" s="5">
        <v>1</v>
      </c>
      <c r="G139" s="5">
        <v>0</v>
      </c>
      <c r="H139" s="5">
        <v>0</v>
      </c>
      <c r="I139" s="5">
        <v>1</v>
      </c>
      <c r="J139" s="5">
        <v>17</v>
      </c>
      <c r="K139" s="61">
        <v>1</v>
      </c>
    </row>
    <row r="140" spans="2:11" ht="14.25" customHeight="1" x14ac:dyDescent="0.3">
      <c r="B140" s="5">
        <v>139</v>
      </c>
      <c r="C140" s="61">
        <v>13.71899965758343</v>
      </c>
      <c r="D140" s="5">
        <v>1</v>
      </c>
      <c r="E140" s="5">
        <v>0</v>
      </c>
      <c r="F140" s="5">
        <v>0</v>
      </c>
      <c r="G140" s="5">
        <v>1</v>
      </c>
      <c r="H140" s="5">
        <v>0</v>
      </c>
      <c r="I140" s="5">
        <v>0</v>
      </c>
      <c r="J140" s="5">
        <v>25</v>
      </c>
      <c r="K140" s="61">
        <v>3</v>
      </c>
    </row>
    <row r="141" spans="2:11" ht="14.25" customHeight="1" x14ac:dyDescent="0.3">
      <c r="B141" s="5">
        <v>140</v>
      </c>
      <c r="C141" s="61">
        <v>13.71899965758343</v>
      </c>
      <c r="D141" s="5">
        <v>1</v>
      </c>
      <c r="E141" s="5">
        <v>1</v>
      </c>
      <c r="F141" s="5">
        <v>0</v>
      </c>
      <c r="G141" s="5">
        <v>0</v>
      </c>
      <c r="H141" s="5">
        <v>0</v>
      </c>
      <c r="I141" s="5">
        <v>0</v>
      </c>
      <c r="J141" s="5">
        <v>18</v>
      </c>
      <c r="K141" s="61">
        <v>0.16666666669999999</v>
      </c>
    </row>
    <row r="142" spans="2:11" ht="14.25" customHeight="1" x14ac:dyDescent="0.3">
      <c r="B142" s="5">
        <v>141</v>
      </c>
      <c r="C142" s="61">
        <v>14.508657738524219</v>
      </c>
      <c r="D142" s="5">
        <v>1</v>
      </c>
      <c r="E142" s="5">
        <v>0</v>
      </c>
      <c r="F142" s="5">
        <v>0</v>
      </c>
      <c r="G142" s="5">
        <v>1</v>
      </c>
      <c r="H142" s="5">
        <v>0</v>
      </c>
      <c r="I142" s="5">
        <v>0</v>
      </c>
      <c r="J142" s="5">
        <v>25</v>
      </c>
      <c r="K142" s="61">
        <v>8.3333333300000006E-2</v>
      </c>
    </row>
    <row r="143" spans="2:11" ht="14.25" customHeight="1" x14ac:dyDescent="0.3">
      <c r="B143" s="5">
        <v>142</v>
      </c>
      <c r="C143" s="61">
        <v>13.71899965758343</v>
      </c>
      <c r="D143" s="5">
        <v>1</v>
      </c>
      <c r="E143" s="5">
        <v>1</v>
      </c>
      <c r="F143" s="5">
        <v>0</v>
      </c>
      <c r="G143" s="5">
        <v>0</v>
      </c>
      <c r="H143" s="5">
        <v>0</v>
      </c>
      <c r="I143" s="5">
        <v>0</v>
      </c>
      <c r="J143" s="5">
        <v>21</v>
      </c>
      <c r="K143" s="61">
        <v>8.3333333300000006E-2</v>
      </c>
    </row>
    <row r="144" spans="2:11" ht="14.25" customHeight="1" x14ac:dyDescent="0.3">
      <c r="B144" s="5">
        <v>143</v>
      </c>
      <c r="C144" s="61">
        <v>13.815510557964274</v>
      </c>
      <c r="D144" s="5">
        <v>1</v>
      </c>
      <c r="E144" s="5">
        <v>1</v>
      </c>
      <c r="F144" s="5">
        <v>0</v>
      </c>
      <c r="G144" s="5">
        <v>0</v>
      </c>
      <c r="H144" s="5">
        <v>1</v>
      </c>
      <c r="I144" s="5">
        <v>0</v>
      </c>
      <c r="J144" s="5">
        <v>46</v>
      </c>
      <c r="K144" s="61">
        <v>3</v>
      </c>
    </row>
    <row r="145" spans="2:11" ht="14.25" customHeight="1" x14ac:dyDescent="0.3">
      <c r="B145" s="5">
        <v>144</v>
      </c>
      <c r="C145" s="61">
        <v>14.508657738524219</v>
      </c>
      <c r="D145" s="5">
        <v>1</v>
      </c>
      <c r="E145" s="5">
        <v>0</v>
      </c>
      <c r="F145" s="5">
        <v>1</v>
      </c>
      <c r="G145" s="5">
        <v>0</v>
      </c>
      <c r="H145" s="5">
        <v>1</v>
      </c>
      <c r="I145" s="5">
        <v>1</v>
      </c>
      <c r="J145" s="5">
        <v>41</v>
      </c>
      <c r="K145" s="61">
        <v>1.5</v>
      </c>
    </row>
    <row r="146" spans="2:11" ht="14.25" customHeight="1" x14ac:dyDescent="0.3">
      <c r="B146" s="5">
        <v>145</v>
      </c>
      <c r="C146" s="61">
        <v>13.910820737768599</v>
      </c>
      <c r="D146" s="5">
        <v>1</v>
      </c>
      <c r="E146" s="5">
        <v>1</v>
      </c>
      <c r="F146" s="5">
        <v>0</v>
      </c>
      <c r="G146" s="5">
        <v>0</v>
      </c>
      <c r="H146" s="5">
        <v>1</v>
      </c>
      <c r="I146" s="5">
        <v>0</v>
      </c>
      <c r="J146" s="5">
        <v>22</v>
      </c>
      <c r="K146" s="61">
        <v>3</v>
      </c>
    </row>
    <row r="147" spans="2:11" ht="14.25" customHeight="1" x14ac:dyDescent="0.3">
      <c r="B147" s="5">
        <v>146</v>
      </c>
      <c r="C147" s="61">
        <v>14.403297222866392</v>
      </c>
      <c r="D147" s="5">
        <v>1</v>
      </c>
      <c r="E147" s="5">
        <v>0</v>
      </c>
      <c r="F147" s="5">
        <v>0</v>
      </c>
      <c r="G147" s="5">
        <v>1</v>
      </c>
      <c r="H147" s="5">
        <v>0</v>
      </c>
      <c r="I147" s="5">
        <v>0</v>
      </c>
      <c r="J147" s="5">
        <v>24</v>
      </c>
      <c r="K147" s="61">
        <v>1</v>
      </c>
    </row>
    <row r="148" spans="2:11" ht="14.25" customHeight="1" x14ac:dyDescent="0.3">
      <c r="B148" s="5">
        <v>147</v>
      </c>
      <c r="C148" s="61">
        <v>14.73180128983843</v>
      </c>
      <c r="D148" s="5">
        <v>1</v>
      </c>
      <c r="E148" s="5">
        <v>0</v>
      </c>
      <c r="F148" s="5">
        <v>0</v>
      </c>
      <c r="G148" s="5">
        <v>1</v>
      </c>
      <c r="H148" s="5">
        <v>0</v>
      </c>
      <c r="I148" s="5">
        <v>0</v>
      </c>
      <c r="J148" s="5">
        <v>28</v>
      </c>
      <c r="K148" s="61">
        <v>4</v>
      </c>
    </row>
    <row r="149" spans="2:11" ht="14.25" customHeight="1" x14ac:dyDescent="0.3">
      <c r="B149" s="5">
        <v>148</v>
      </c>
      <c r="C149" s="61">
        <v>13.71899965758343</v>
      </c>
      <c r="D149" s="5">
        <v>0</v>
      </c>
      <c r="E149" s="5">
        <v>1</v>
      </c>
      <c r="F149" s="5">
        <v>0</v>
      </c>
      <c r="G149" s="5">
        <v>0</v>
      </c>
      <c r="H149" s="5">
        <v>1</v>
      </c>
      <c r="I149" s="5">
        <v>0</v>
      </c>
      <c r="J149" s="5">
        <v>29</v>
      </c>
      <c r="K149" s="61">
        <v>1</v>
      </c>
    </row>
    <row r="150" spans="2:11" ht="14.25" customHeight="1" x14ac:dyDescent="0.3">
      <c r="B150" s="5">
        <v>149</v>
      </c>
      <c r="C150" s="61">
        <v>13.939496537745265</v>
      </c>
      <c r="D150" s="5">
        <v>1</v>
      </c>
      <c r="E150" s="5">
        <v>1</v>
      </c>
      <c r="F150" s="5">
        <v>0</v>
      </c>
      <c r="G150" s="5">
        <v>0</v>
      </c>
      <c r="H150" s="5">
        <v>1</v>
      </c>
      <c r="I150" s="5">
        <v>0</v>
      </c>
      <c r="J150" s="5">
        <v>24</v>
      </c>
      <c r="K150" s="61">
        <v>3</v>
      </c>
    </row>
    <row r="151" spans="2:11" ht="14.25" customHeight="1" x14ac:dyDescent="0.3">
      <c r="B151" s="5">
        <v>150</v>
      </c>
      <c r="C151" s="61">
        <v>14.403297222866392</v>
      </c>
      <c r="D151" s="5">
        <v>0</v>
      </c>
      <c r="E151" s="5">
        <v>0</v>
      </c>
      <c r="F151" s="5">
        <v>1</v>
      </c>
      <c r="G151" s="5">
        <v>0</v>
      </c>
      <c r="H151" s="5">
        <v>1</v>
      </c>
      <c r="I151" s="5">
        <v>1</v>
      </c>
      <c r="J151" s="5">
        <v>28</v>
      </c>
      <c r="K151" s="61">
        <v>3</v>
      </c>
    </row>
    <row r="152" spans="2:11" ht="14.25" customHeight="1" x14ac:dyDescent="0.3">
      <c r="B152" s="5">
        <v>151</v>
      </c>
      <c r="C152" s="61">
        <v>13.71899965758343</v>
      </c>
      <c r="D152" s="5">
        <v>0</v>
      </c>
      <c r="E152" s="5">
        <v>1</v>
      </c>
      <c r="F152" s="5">
        <v>0</v>
      </c>
      <c r="G152" s="5">
        <v>0</v>
      </c>
      <c r="H152" s="5">
        <v>0</v>
      </c>
      <c r="I152" s="5">
        <v>0</v>
      </c>
      <c r="J152" s="5">
        <v>27</v>
      </c>
      <c r="K152" s="61">
        <v>0.16666666669999999</v>
      </c>
    </row>
    <row r="153" spans="2:11" ht="14.25" customHeight="1" x14ac:dyDescent="0.3">
      <c r="B153" s="5">
        <v>152</v>
      </c>
      <c r="C153" s="61">
        <v>13.71899965758343</v>
      </c>
      <c r="D153" s="5">
        <v>1</v>
      </c>
      <c r="E153" s="5">
        <v>0</v>
      </c>
      <c r="F153" s="5">
        <v>1</v>
      </c>
      <c r="G153" s="5">
        <v>0</v>
      </c>
      <c r="H153" s="5">
        <v>0</v>
      </c>
      <c r="I153" s="5">
        <v>0</v>
      </c>
      <c r="J153" s="5">
        <v>23</v>
      </c>
      <c r="K153" s="61">
        <v>0.5</v>
      </c>
    </row>
    <row r="154" spans="2:11" ht="14.25" customHeight="1" x14ac:dyDescent="0.3">
      <c r="B154" s="5">
        <v>153</v>
      </c>
      <c r="C154" s="61">
        <v>13.71899965758343</v>
      </c>
      <c r="D154" s="5">
        <v>0</v>
      </c>
      <c r="E154" s="5">
        <v>0</v>
      </c>
      <c r="F154" s="5">
        <v>1</v>
      </c>
      <c r="G154" s="5">
        <v>0</v>
      </c>
      <c r="H154" s="5">
        <v>1</v>
      </c>
      <c r="I154" s="5">
        <v>0</v>
      </c>
      <c r="J154" s="5">
        <v>34</v>
      </c>
      <c r="K154" s="61">
        <v>6</v>
      </c>
    </row>
    <row r="155" spans="2:11" ht="14.25" customHeight="1" x14ac:dyDescent="0.3">
      <c r="B155" s="5">
        <v>154</v>
      </c>
      <c r="C155" s="61">
        <v>13.815510557964274</v>
      </c>
      <c r="D155" s="5">
        <v>0</v>
      </c>
      <c r="E155" s="5">
        <v>0</v>
      </c>
      <c r="F155" s="5">
        <v>1</v>
      </c>
      <c r="G155" s="5">
        <v>0</v>
      </c>
      <c r="H155" s="5">
        <v>0</v>
      </c>
      <c r="I155" s="5">
        <v>0</v>
      </c>
      <c r="J155" s="5">
        <v>23</v>
      </c>
      <c r="K155" s="61">
        <v>2</v>
      </c>
    </row>
    <row r="156" spans="2:11" ht="14.25" customHeight="1" x14ac:dyDescent="0.3">
      <c r="B156" s="5">
        <v>155</v>
      </c>
      <c r="C156" s="61">
        <v>13.815510557964274</v>
      </c>
      <c r="D156" s="5">
        <v>1</v>
      </c>
      <c r="E156" s="5">
        <v>0</v>
      </c>
      <c r="F156" s="5">
        <v>1</v>
      </c>
      <c r="G156" s="5">
        <v>0</v>
      </c>
      <c r="H156" s="5">
        <v>0</v>
      </c>
      <c r="I156" s="5">
        <v>0</v>
      </c>
      <c r="J156" s="5">
        <v>26</v>
      </c>
      <c r="K156" s="61">
        <v>5</v>
      </c>
    </row>
    <row r="157" spans="2:11" ht="14.25" customHeight="1" x14ac:dyDescent="0.3">
      <c r="B157" s="5">
        <v>156</v>
      </c>
      <c r="C157" s="61">
        <v>13.997832114758229</v>
      </c>
      <c r="D157" s="5">
        <v>1</v>
      </c>
      <c r="E157" s="5">
        <v>0</v>
      </c>
      <c r="F157" s="5">
        <v>1</v>
      </c>
      <c r="G157" s="5">
        <v>0</v>
      </c>
      <c r="H157" s="5">
        <v>0</v>
      </c>
      <c r="I157" s="5">
        <v>0</v>
      </c>
      <c r="J157" s="5">
        <v>30</v>
      </c>
      <c r="K157" s="61">
        <v>11</v>
      </c>
    </row>
    <row r="158" spans="2:11" ht="14.25" customHeight="1" x14ac:dyDescent="0.3">
      <c r="B158" s="5">
        <v>157</v>
      </c>
      <c r="C158" s="61">
        <v>13.71899965758343</v>
      </c>
      <c r="D158" s="5">
        <v>1</v>
      </c>
      <c r="E158" s="5">
        <v>1</v>
      </c>
      <c r="F158" s="5">
        <v>0</v>
      </c>
      <c r="G158" s="5">
        <v>0</v>
      </c>
      <c r="H158" s="5">
        <v>0</v>
      </c>
      <c r="I158" s="5">
        <v>0</v>
      </c>
      <c r="J158" s="5">
        <v>29</v>
      </c>
      <c r="K158" s="61">
        <v>3</v>
      </c>
    </row>
    <row r="159" spans="2:11" ht="14.25" customHeight="1" x14ac:dyDescent="0.3">
      <c r="B159" s="5">
        <v>158</v>
      </c>
      <c r="C159" s="61">
        <v>13.815510557964274</v>
      </c>
      <c r="D159" s="5">
        <v>1</v>
      </c>
      <c r="E159" s="5">
        <v>0</v>
      </c>
      <c r="F159" s="5">
        <v>1</v>
      </c>
      <c r="G159" s="5">
        <v>0</v>
      </c>
      <c r="H159" s="5">
        <v>0</v>
      </c>
      <c r="I159" s="5">
        <v>0</v>
      </c>
      <c r="J159" s="5">
        <v>31</v>
      </c>
      <c r="K159" s="61">
        <v>10</v>
      </c>
    </row>
    <row r="160" spans="2:11" ht="14.25" customHeight="1" x14ac:dyDescent="0.3">
      <c r="B160" s="5">
        <v>159</v>
      </c>
      <c r="C160" s="61">
        <v>14.220975666072439</v>
      </c>
      <c r="D160" s="5">
        <v>1</v>
      </c>
      <c r="E160" s="5">
        <v>0</v>
      </c>
      <c r="F160" s="5">
        <v>1</v>
      </c>
      <c r="G160" s="5">
        <v>0</v>
      </c>
      <c r="H160" s="5">
        <v>1</v>
      </c>
      <c r="I160" s="5">
        <v>1</v>
      </c>
      <c r="J160" s="5">
        <v>26</v>
      </c>
      <c r="K160" s="61">
        <v>0.33333333300000001</v>
      </c>
    </row>
    <row r="161" spans="2:11" ht="14.25" customHeight="1" x14ac:dyDescent="0.3">
      <c r="B161" s="5">
        <v>160</v>
      </c>
      <c r="C161" s="61">
        <v>15.068273526459642</v>
      </c>
      <c r="D161" s="5">
        <v>1</v>
      </c>
      <c r="E161" s="5">
        <v>0</v>
      </c>
      <c r="F161" s="5">
        <v>1</v>
      </c>
      <c r="G161" s="5">
        <v>0</v>
      </c>
      <c r="H161" s="5">
        <v>1</v>
      </c>
      <c r="I161" s="5">
        <v>0</v>
      </c>
      <c r="J161" s="5">
        <v>21</v>
      </c>
      <c r="K161" s="61">
        <v>5</v>
      </c>
    </row>
    <row r="162" spans="2:11" ht="14.25" customHeight="1" x14ac:dyDescent="0.3">
      <c r="B162" s="5">
        <v>161</v>
      </c>
      <c r="C162" s="61">
        <v>13.77468856344402</v>
      </c>
      <c r="D162" s="5">
        <v>1</v>
      </c>
      <c r="E162" s="5">
        <v>0</v>
      </c>
      <c r="F162" s="5">
        <v>1</v>
      </c>
      <c r="G162" s="5">
        <v>0</v>
      </c>
      <c r="H162" s="5">
        <v>0</v>
      </c>
      <c r="I162" s="5">
        <v>0</v>
      </c>
      <c r="J162" s="5">
        <v>21</v>
      </c>
      <c r="K162" s="61">
        <v>8.3333333300000006E-2</v>
      </c>
    </row>
    <row r="163" spans="2:11" ht="14.25" customHeight="1" x14ac:dyDescent="0.3">
      <c r="B163" s="5">
        <v>162</v>
      </c>
      <c r="C163" s="61">
        <v>14.403297222866392</v>
      </c>
      <c r="D163" s="5">
        <v>1</v>
      </c>
      <c r="E163" s="5">
        <v>0</v>
      </c>
      <c r="F163" s="5">
        <v>0</v>
      </c>
      <c r="G163" s="5">
        <v>1</v>
      </c>
      <c r="H163" s="5">
        <v>0</v>
      </c>
      <c r="I163" s="5">
        <v>0</v>
      </c>
      <c r="J163" s="5">
        <v>33</v>
      </c>
      <c r="K163" s="61">
        <v>5</v>
      </c>
    </row>
    <row r="164" spans="2:11" ht="14.25" customHeight="1" x14ac:dyDescent="0.3">
      <c r="B164" s="5">
        <v>163</v>
      </c>
      <c r="C164" s="61">
        <v>13.815510557964274</v>
      </c>
      <c r="D164" s="5">
        <v>1</v>
      </c>
      <c r="E164" s="5">
        <v>0</v>
      </c>
      <c r="F164" s="5">
        <v>1</v>
      </c>
      <c r="G164" s="5">
        <v>0</v>
      </c>
      <c r="H164" s="5">
        <v>0</v>
      </c>
      <c r="I164" s="5">
        <v>0</v>
      </c>
      <c r="J164" s="5">
        <v>18</v>
      </c>
      <c r="K164" s="61">
        <v>4</v>
      </c>
    </row>
    <row r="165" spans="2:11" ht="14.25" customHeight="1" x14ac:dyDescent="0.3">
      <c r="B165" s="5">
        <v>164</v>
      </c>
      <c r="C165" s="61">
        <v>13.997832114758229</v>
      </c>
      <c r="D165" s="5">
        <v>1</v>
      </c>
      <c r="E165" s="5">
        <v>0</v>
      </c>
      <c r="F165" s="5">
        <v>1</v>
      </c>
      <c r="G165" s="5">
        <v>0</v>
      </c>
      <c r="H165" s="5">
        <v>0</v>
      </c>
      <c r="I165" s="5">
        <v>1</v>
      </c>
      <c r="J165" s="5">
        <v>24</v>
      </c>
      <c r="K165" s="61">
        <v>5</v>
      </c>
    </row>
    <row r="166" spans="2:11" ht="14.25" customHeight="1" x14ac:dyDescent="0.3">
      <c r="B166" s="5">
        <v>165</v>
      </c>
      <c r="C166" s="61">
        <v>13.710150042306449</v>
      </c>
      <c r="D166" s="5">
        <v>1</v>
      </c>
      <c r="E166" s="5">
        <v>1</v>
      </c>
      <c r="F166" s="5">
        <v>0</v>
      </c>
      <c r="G166" s="5">
        <v>0</v>
      </c>
      <c r="H166" s="5">
        <v>0</v>
      </c>
      <c r="I166" s="5">
        <v>1</v>
      </c>
      <c r="J166" s="5">
        <v>20</v>
      </c>
      <c r="K166" s="61">
        <v>8.3333333300000006E-2</v>
      </c>
    </row>
    <row r="167" spans="2:11" ht="14.25" customHeight="1" x14ac:dyDescent="0.3">
      <c r="B167" s="5">
        <v>166</v>
      </c>
      <c r="C167" s="61">
        <v>13.710150042306449</v>
      </c>
      <c r="D167" s="5">
        <v>1</v>
      </c>
      <c r="E167" s="5">
        <v>1</v>
      </c>
      <c r="F167" s="5">
        <v>0</v>
      </c>
      <c r="G167" s="5">
        <v>0</v>
      </c>
      <c r="H167" s="5">
        <v>1</v>
      </c>
      <c r="I167" s="5">
        <v>0</v>
      </c>
      <c r="J167" s="5">
        <v>21</v>
      </c>
      <c r="K167" s="61">
        <v>3</v>
      </c>
    </row>
    <row r="168" spans="2:11" ht="14.25" customHeight="1" x14ac:dyDescent="0.3">
      <c r="B168" s="5">
        <v>167</v>
      </c>
      <c r="C168" s="61">
        <v>13.764217263576723</v>
      </c>
      <c r="D168" s="5">
        <v>1</v>
      </c>
      <c r="E168" s="5">
        <v>0</v>
      </c>
      <c r="F168" s="5">
        <v>1</v>
      </c>
      <c r="G168" s="5">
        <v>0</v>
      </c>
      <c r="H168" s="5">
        <v>0</v>
      </c>
      <c r="I168" s="5">
        <v>0</v>
      </c>
      <c r="J168" s="5">
        <v>19</v>
      </c>
      <c r="K168" s="61">
        <v>0.16666666669999999</v>
      </c>
    </row>
    <row r="169" spans="2:11" ht="14.25" customHeight="1" x14ac:dyDescent="0.3">
      <c r="B169" s="5">
        <v>168</v>
      </c>
      <c r="C169" s="61">
        <v>13.815510557964274</v>
      </c>
      <c r="D169" s="5">
        <v>0</v>
      </c>
      <c r="E169" s="5">
        <v>0</v>
      </c>
      <c r="F169" s="5">
        <v>1</v>
      </c>
      <c r="G169" s="5">
        <v>0</v>
      </c>
      <c r="H169" s="5">
        <v>0</v>
      </c>
      <c r="I169" s="5">
        <v>1</v>
      </c>
      <c r="J169" s="5">
        <v>24</v>
      </c>
      <c r="K169" s="61">
        <v>1</v>
      </c>
    </row>
    <row r="170" spans="2:11" ht="14.25" customHeight="1" x14ac:dyDescent="0.3">
      <c r="B170" s="5">
        <v>169</v>
      </c>
      <c r="C170" s="61">
        <v>13.910820737768599</v>
      </c>
      <c r="D170" s="5">
        <v>1</v>
      </c>
      <c r="E170" s="5">
        <v>0</v>
      </c>
      <c r="F170" s="5">
        <v>1</v>
      </c>
      <c r="G170" s="5">
        <v>0</v>
      </c>
      <c r="H170" s="5">
        <v>1</v>
      </c>
      <c r="I170" s="5">
        <v>0</v>
      </c>
      <c r="J170" s="5">
        <v>21</v>
      </c>
      <c r="K170" s="61">
        <v>8.3333333300000006E-2</v>
      </c>
    </row>
    <row r="171" spans="2:11" ht="14.25" customHeight="1" x14ac:dyDescent="0.3">
      <c r="B171" s="5">
        <v>170</v>
      </c>
      <c r="C171" s="61">
        <v>13.592367006650065</v>
      </c>
      <c r="D171" s="5">
        <v>1</v>
      </c>
      <c r="E171" s="5">
        <v>0</v>
      </c>
      <c r="F171" s="5">
        <v>0</v>
      </c>
      <c r="G171" s="5">
        <v>1</v>
      </c>
      <c r="H171" s="5">
        <v>1</v>
      </c>
      <c r="I171" s="5">
        <v>0</v>
      </c>
      <c r="J171" s="5">
        <v>21</v>
      </c>
      <c r="K171" s="61">
        <v>5</v>
      </c>
    </row>
    <row r="172" spans="2:11" ht="14.25" customHeight="1" x14ac:dyDescent="0.3">
      <c r="B172" s="5">
        <v>171</v>
      </c>
      <c r="C172" s="61">
        <v>14.220975666072439</v>
      </c>
      <c r="D172" s="5">
        <v>1</v>
      </c>
      <c r="E172" s="5">
        <v>0</v>
      </c>
      <c r="F172" s="5">
        <v>1</v>
      </c>
      <c r="G172" s="5">
        <v>0</v>
      </c>
      <c r="H172" s="5">
        <v>0</v>
      </c>
      <c r="I172" s="5">
        <v>0</v>
      </c>
      <c r="J172" s="5">
        <v>30</v>
      </c>
      <c r="K172" s="61">
        <v>8.3333333300000006E-2</v>
      </c>
    </row>
    <row r="173" spans="2:11" ht="14.25" customHeight="1" x14ac:dyDescent="0.3">
      <c r="B173" s="5">
        <v>172</v>
      </c>
      <c r="C173" s="61">
        <v>14.73180128983843</v>
      </c>
      <c r="D173" s="5">
        <v>0</v>
      </c>
      <c r="E173" s="5">
        <v>0</v>
      </c>
      <c r="F173" s="5">
        <v>0</v>
      </c>
      <c r="G173" s="5">
        <v>1</v>
      </c>
      <c r="H173" s="5">
        <v>0</v>
      </c>
      <c r="I173" s="5">
        <v>1</v>
      </c>
      <c r="J173" s="5">
        <v>24</v>
      </c>
      <c r="K173" s="61">
        <v>6</v>
      </c>
    </row>
    <row r="174" spans="2:11" ht="14.25" customHeight="1" x14ac:dyDescent="0.3">
      <c r="B174" s="5">
        <v>173</v>
      </c>
      <c r="C174" s="61">
        <v>13.910820737768599</v>
      </c>
      <c r="D174" s="5">
        <v>0</v>
      </c>
      <c r="E174" s="5">
        <v>0</v>
      </c>
      <c r="F174" s="5">
        <v>1</v>
      </c>
      <c r="G174" s="5">
        <v>0</v>
      </c>
      <c r="H174" s="5">
        <v>0</v>
      </c>
      <c r="I174" s="5">
        <v>1</v>
      </c>
      <c r="J174" s="5">
        <v>28</v>
      </c>
      <c r="K174" s="61">
        <v>4.5</v>
      </c>
    </row>
    <row r="175" spans="2:11" ht="14.25" customHeight="1" x14ac:dyDescent="0.3">
      <c r="B175" s="5">
        <v>174</v>
      </c>
      <c r="C175" s="61">
        <v>13.815510557964274</v>
      </c>
      <c r="D175" s="5">
        <v>1</v>
      </c>
      <c r="E175" s="5">
        <v>0</v>
      </c>
      <c r="F175" s="5">
        <v>1</v>
      </c>
      <c r="G175" s="5">
        <v>0</v>
      </c>
      <c r="H175" s="5">
        <v>0</v>
      </c>
      <c r="I175" s="5">
        <v>0</v>
      </c>
      <c r="J175" s="5">
        <v>18</v>
      </c>
      <c r="K175" s="61">
        <v>0.5</v>
      </c>
    </row>
    <row r="176" spans="2:11" ht="14.25" customHeight="1" x14ac:dyDescent="0.3">
      <c r="B176" s="5">
        <v>175</v>
      </c>
      <c r="C176" s="61">
        <v>13.71899965758343</v>
      </c>
      <c r="D176" s="5">
        <v>1</v>
      </c>
      <c r="E176" s="5">
        <v>0</v>
      </c>
      <c r="F176" s="5">
        <v>1</v>
      </c>
      <c r="G176" s="5">
        <v>0</v>
      </c>
      <c r="H176" s="5">
        <v>0</v>
      </c>
      <c r="I176" s="5">
        <v>0</v>
      </c>
      <c r="J176" s="5">
        <v>22</v>
      </c>
      <c r="K176" s="61">
        <v>2</v>
      </c>
    </row>
    <row r="177" spans="2:11" ht="14.25" customHeight="1" x14ac:dyDescent="0.3">
      <c r="B177" s="5">
        <v>176</v>
      </c>
      <c r="C177" s="61">
        <v>13.71899965758343</v>
      </c>
      <c r="D177" s="5">
        <v>1</v>
      </c>
      <c r="E177" s="5">
        <v>0</v>
      </c>
      <c r="F177" s="5">
        <v>0</v>
      </c>
      <c r="G177" s="5">
        <v>1</v>
      </c>
      <c r="H177" s="5">
        <v>1</v>
      </c>
      <c r="I177" s="5">
        <v>1</v>
      </c>
      <c r="J177" s="5">
        <v>24</v>
      </c>
      <c r="K177" s="61">
        <v>8.3333333300000006E-2</v>
      </c>
    </row>
    <row r="178" spans="2:11" ht="14.25" customHeight="1" x14ac:dyDescent="0.3">
      <c r="B178" s="5">
        <v>177</v>
      </c>
      <c r="C178" s="61">
        <v>13.815510557964274</v>
      </c>
      <c r="D178" s="5">
        <v>0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21</v>
      </c>
      <c r="K178" s="61">
        <v>2</v>
      </c>
    </row>
    <row r="179" spans="2:11" ht="14.25" customHeight="1" x14ac:dyDescent="0.3">
      <c r="B179" s="5">
        <v>178</v>
      </c>
      <c r="C179" s="61">
        <v>14.403297222866392</v>
      </c>
      <c r="D179" s="5">
        <v>1</v>
      </c>
      <c r="E179" s="5">
        <v>0</v>
      </c>
      <c r="F179" s="5">
        <v>0</v>
      </c>
      <c r="G179" s="5">
        <v>1</v>
      </c>
      <c r="H179" s="5">
        <v>0</v>
      </c>
      <c r="I179" s="5">
        <v>1</v>
      </c>
      <c r="J179" s="5">
        <v>25</v>
      </c>
      <c r="K179" s="61">
        <v>4</v>
      </c>
    </row>
    <row r="180" spans="2:11" ht="14.25" customHeight="1" x14ac:dyDescent="0.3">
      <c r="B180" s="5">
        <v>179</v>
      </c>
      <c r="C180" s="61">
        <v>15.424948470398375</v>
      </c>
      <c r="D180" s="5">
        <v>0</v>
      </c>
      <c r="E180" s="5">
        <v>0</v>
      </c>
      <c r="F180" s="5">
        <v>0</v>
      </c>
      <c r="G180" s="5">
        <v>1</v>
      </c>
      <c r="H180" s="5">
        <v>1</v>
      </c>
      <c r="I180" s="5">
        <v>0</v>
      </c>
      <c r="J180" s="5">
        <v>38</v>
      </c>
      <c r="K180" s="61">
        <v>1</v>
      </c>
    </row>
    <row r="181" spans="2:11" ht="14.25" customHeight="1" x14ac:dyDescent="0.3">
      <c r="B181" s="5">
        <v>180</v>
      </c>
      <c r="C181" s="61">
        <v>14.73180128983843</v>
      </c>
      <c r="D181" s="5">
        <v>1</v>
      </c>
      <c r="E181" s="5">
        <v>0</v>
      </c>
      <c r="F181" s="5">
        <v>1</v>
      </c>
      <c r="G181" s="5">
        <v>0</v>
      </c>
      <c r="H181" s="5">
        <v>0</v>
      </c>
      <c r="I181" s="5">
        <v>1</v>
      </c>
      <c r="J181" s="5">
        <v>22</v>
      </c>
      <c r="K181" s="61">
        <v>2</v>
      </c>
    </row>
    <row r="182" spans="2:11" ht="14.25" customHeight="1" x14ac:dyDescent="0.3">
      <c r="B182" s="5">
        <v>181</v>
      </c>
      <c r="C182" s="61">
        <v>14.73180128983843</v>
      </c>
      <c r="D182" s="5">
        <v>0</v>
      </c>
      <c r="E182" s="5">
        <v>0</v>
      </c>
      <c r="F182" s="5">
        <v>0</v>
      </c>
      <c r="G182" s="5">
        <v>1</v>
      </c>
      <c r="H182" s="5">
        <v>1</v>
      </c>
      <c r="I182" s="5">
        <v>1</v>
      </c>
      <c r="J182" s="5">
        <v>25</v>
      </c>
      <c r="K182" s="61">
        <v>0.16666666669999999</v>
      </c>
    </row>
    <row r="183" spans="2:11" ht="14.25" customHeight="1" x14ac:dyDescent="0.3">
      <c r="B183" s="5">
        <v>182</v>
      </c>
      <c r="C183" s="61">
        <v>13.71899965758343</v>
      </c>
      <c r="D183" s="5">
        <v>0</v>
      </c>
      <c r="E183" s="5">
        <v>0</v>
      </c>
      <c r="F183" s="5">
        <v>1</v>
      </c>
      <c r="G183" s="5">
        <v>0</v>
      </c>
      <c r="H183" s="5">
        <v>0</v>
      </c>
      <c r="I183" s="5">
        <v>0</v>
      </c>
      <c r="J183" s="5">
        <v>20</v>
      </c>
      <c r="K183" s="61">
        <v>1</v>
      </c>
    </row>
    <row r="184" spans="2:11" ht="14.25" customHeight="1" x14ac:dyDescent="0.3">
      <c r="B184" s="5">
        <v>183</v>
      </c>
      <c r="C184" s="61">
        <v>14.508657738524219</v>
      </c>
      <c r="D184" s="5">
        <v>0</v>
      </c>
      <c r="E184" s="5">
        <v>0</v>
      </c>
      <c r="F184" s="5">
        <v>1</v>
      </c>
      <c r="G184" s="5">
        <v>0</v>
      </c>
      <c r="H184" s="5">
        <v>1</v>
      </c>
      <c r="I184" s="5">
        <v>1</v>
      </c>
      <c r="J184" s="5">
        <v>50</v>
      </c>
      <c r="K184" s="61">
        <v>20</v>
      </c>
    </row>
    <row r="185" spans="2:11" ht="14.25" customHeight="1" x14ac:dyDescent="0.3">
      <c r="B185" s="5">
        <v>184</v>
      </c>
      <c r="C185" s="61">
        <v>14.220975666072439</v>
      </c>
      <c r="D185" s="5">
        <v>1</v>
      </c>
      <c r="E185" s="5">
        <v>1</v>
      </c>
      <c r="F185" s="5">
        <v>0</v>
      </c>
      <c r="G185" s="5">
        <v>0</v>
      </c>
      <c r="H185" s="5">
        <v>0</v>
      </c>
      <c r="I185" s="5">
        <v>1</v>
      </c>
      <c r="J185" s="5">
        <v>60</v>
      </c>
      <c r="K185" s="61">
        <v>13</v>
      </c>
    </row>
    <row r="186" spans="2:11" ht="14.25" customHeight="1" x14ac:dyDescent="0.3">
      <c r="B186" s="5">
        <v>185</v>
      </c>
      <c r="C186" s="61">
        <v>13.815510557964274</v>
      </c>
      <c r="D186" s="5">
        <v>1</v>
      </c>
      <c r="E186" s="5">
        <v>1</v>
      </c>
      <c r="F186" s="5">
        <v>0</v>
      </c>
      <c r="G186" s="5">
        <v>0</v>
      </c>
      <c r="H186" s="5">
        <v>0</v>
      </c>
      <c r="I186" s="5">
        <v>0</v>
      </c>
      <c r="J186" s="5">
        <v>30</v>
      </c>
      <c r="K186" s="61">
        <v>1.5</v>
      </c>
    </row>
    <row r="187" spans="2:11" ht="14.25" customHeight="1" x14ac:dyDescent="0.3">
      <c r="B187" s="5">
        <v>186</v>
      </c>
      <c r="C187" s="61">
        <v>13.997832114758229</v>
      </c>
      <c r="D187" s="5">
        <v>1</v>
      </c>
      <c r="E187" s="5">
        <v>1</v>
      </c>
      <c r="F187" s="5">
        <v>0</v>
      </c>
      <c r="G187" s="5">
        <v>0</v>
      </c>
      <c r="H187" s="5">
        <v>0</v>
      </c>
      <c r="I187" s="5">
        <v>1</v>
      </c>
      <c r="J187" s="5">
        <v>24</v>
      </c>
      <c r="K187" s="61">
        <v>1</v>
      </c>
    </row>
    <row r="188" spans="2:11" ht="14.25" customHeight="1" x14ac:dyDescent="0.3">
      <c r="B188" s="5">
        <v>187</v>
      </c>
      <c r="C188" s="61">
        <v>14.220975666072439</v>
      </c>
      <c r="D188" s="5">
        <v>1</v>
      </c>
      <c r="E188" s="5">
        <v>1</v>
      </c>
      <c r="F188" s="5">
        <v>0</v>
      </c>
      <c r="G188" s="5">
        <v>0</v>
      </c>
      <c r="H188" s="5">
        <v>0</v>
      </c>
      <c r="I188" s="5">
        <v>1</v>
      </c>
      <c r="J188" s="5">
        <v>60</v>
      </c>
      <c r="K188" s="61">
        <v>10</v>
      </c>
    </row>
    <row r="189" spans="2:11" ht="14.25" customHeight="1" x14ac:dyDescent="0.3">
      <c r="B189" s="5">
        <v>188</v>
      </c>
      <c r="C189" s="61">
        <v>14.077874822431765</v>
      </c>
      <c r="D189" s="5">
        <v>1</v>
      </c>
      <c r="E189" s="5">
        <v>1</v>
      </c>
      <c r="F189" s="5">
        <v>0</v>
      </c>
      <c r="G189" s="5">
        <v>0</v>
      </c>
      <c r="H189" s="5">
        <v>0</v>
      </c>
      <c r="I189" s="5">
        <v>1</v>
      </c>
      <c r="J189" s="5">
        <v>32</v>
      </c>
      <c r="K189" s="61">
        <v>3</v>
      </c>
    </row>
    <row r="190" spans="2:11" ht="14.25" customHeight="1" x14ac:dyDescent="0.3">
      <c r="B190" s="5">
        <v>189</v>
      </c>
      <c r="C190" s="61">
        <v>13.910820737768599</v>
      </c>
      <c r="D190" s="5">
        <v>1</v>
      </c>
      <c r="E190" s="5">
        <v>0</v>
      </c>
      <c r="F190" s="5">
        <v>0</v>
      </c>
      <c r="G190" s="5">
        <v>1</v>
      </c>
      <c r="H190" s="5">
        <v>1</v>
      </c>
      <c r="I190" s="5">
        <v>1</v>
      </c>
      <c r="J190" s="5">
        <v>40</v>
      </c>
      <c r="K190" s="61">
        <v>1</v>
      </c>
    </row>
    <row r="191" spans="2:11" ht="14.25" customHeight="1" x14ac:dyDescent="0.3">
      <c r="B191" s="5">
        <v>190</v>
      </c>
      <c r="C191" s="61">
        <v>13.830399170458024</v>
      </c>
      <c r="D191" s="5">
        <v>1</v>
      </c>
      <c r="E191" s="5">
        <v>0</v>
      </c>
      <c r="F191" s="5">
        <v>1</v>
      </c>
      <c r="G191" s="5">
        <v>0</v>
      </c>
      <c r="H191" s="5">
        <v>0</v>
      </c>
      <c r="I191" s="5">
        <v>1</v>
      </c>
      <c r="J191" s="5">
        <v>20</v>
      </c>
      <c r="K191" s="61">
        <v>1</v>
      </c>
    </row>
    <row r="192" spans="2:11" ht="14.25" customHeight="1" x14ac:dyDescent="0.3">
      <c r="B192" s="5">
        <v>191</v>
      </c>
      <c r="C192" s="61">
        <v>15.201804919084164</v>
      </c>
      <c r="D192" s="5">
        <v>0</v>
      </c>
      <c r="E192" s="5">
        <v>1</v>
      </c>
      <c r="F192" s="5">
        <v>0</v>
      </c>
      <c r="G192" s="5">
        <v>0</v>
      </c>
      <c r="H192" s="5">
        <v>1</v>
      </c>
      <c r="I192" s="5">
        <v>1</v>
      </c>
      <c r="J192" s="5">
        <v>56</v>
      </c>
      <c r="K192" s="61">
        <v>30</v>
      </c>
    </row>
    <row r="193" spans="2:11" ht="14.25" customHeight="1" x14ac:dyDescent="0.3">
      <c r="B193" s="5">
        <v>192</v>
      </c>
      <c r="C193" s="61">
        <v>13.815510557964274</v>
      </c>
      <c r="D193" s="5">
        <v>1</v>
      </c>
      <c r="E193" s="5">
        <v>0</v>
      </c>
      <c r="F193" s="5">
        <v>1</v>
      </c>
      <c r="G193" s="5">
        <v>0</v>
      </c>
      <c r="H193" s="5">
        <v>0</v>
      </c>
      <c r="I193" s="5">
        <v>0</v>
      </c>
      <c r="J193" s="5">
        <v>30</v>
      </c>
      <c r="K193" s="61">
        <v>2.5</v>
      </c>
    </row>
    <row r="194" spans="2:11" ht="14.25" customHeight="1" x14ac:dyDescent="0.3">
      <c r="B194" s="5">
        <v>193</v>
      </c>
      <c r="C194" s="61">
        <v>13.71899965758343</v>
      </c>
      <c r="D194" s="5">
        <v>0</v>
      </c>
      <c r="E194" s="5">
        <v>1</v>
      </c>
      <c r="F194" s="5">
        <v>0</v>
      </c>
      <c r="G194" s="5">
        <v>0</v>
      </c>
      <c r="H194" s="5">
        <v>0</v>
      </c>
      <c r="I194" s="5">
        <v>1</v>
      </c>
      <c r="J194" s="5">
        <v>34</v>
      </c>
      <c r="K194" s="61">
        <v>6</v>
      </c>
    </row>
    <row r="195" spans="2:11" ht="14.25" customHeight="1" x14ac:dyDescent="0.3">
      <c r="B195" s="5">
        <v>194</v>
      </c>
      <c r="C195" s="61">
        <v>13.71899965758343</v>
      </c>
      <c r="D195" s="5">
        <v>1</v>
      </c>
      <c r="E195" s="5">
        <v>1</v>
      </c>
      <c r="F195" s="5">
        <v>0</v>
      </c>
      <c r="G195" s="5">
        <v>0</v>
      </c>
      <c r="H195" s="5">
        <v>0</v>
      </c>
      <c r="I195" s="5">
        <v>1</v>
      </c>
      <c r="J195" s="5">
        <v>40</v>
      </c>
      <c r="K195" s="61">
        <v>3</v>
      </c>
    </row>
    <row r="196" spans="2:11" ht="14.25" customHeight="1" x14ac:dyDescent="0.3">
      <c r="B196" s="5">
        <v>195</v>
      </c>
      <c r="C196" s="61">
        <v>13.592367006650065</v>
      </c>
      <c r="D196" s="5">
        <v>1</v>
      </c>
      <c r="E196" s="5">
        <v>0</v>
      </c>
      <c r="F196" s="5">
        <v>1</v>
      </c>
      <c r="G196" s="5">
        <v>0</v>
      </c>
      <c r="H196" s="5">
        <v>0</v>
      </c>
      <c r="I196" s="5">
        <v>1</v>
      </c>
      <c r="J196" s="5">
        <v>39</v>
      </c>
      <c r="K196" s="61">
        <v>2</v>
      </c>
    </row>
    <row r="197" spans="2:11" ht="14.25" customHeight="1" x14ac:dyDescent="0.3">
      <c r="B197" s="5">
        <v>196</v>
      </c>
      <c r="C197" s="61">
        <v>14.914122846632385</v>
      </c>
      <c r="D197" s="5">
        <v>0</v>
      </c>
      <c r="E197" s="5">
        <v>0</v>
      </c>
      <c r="F197" s="5">
        <v>1</v>
      </c>
      <c r="G197" s="5">
        <v>0</v>
      </c>
      <c r="H197" s="5">
        <v>0</v>
      </c>
      <c r="I197" s="5">
        <v>1</v>
      </c>
      <c r="J197" s="5">
        <v>45</v>
      </c>
      <c r="K197" s="61">
        <v>12</v>
      </c>
    </row>
    <row r="198" spans="2:11" ht="14.25" customHeight="1" x14ac:dyDescent="0.3">
      <c r="B198" s="5">
        <v>197</v>
      </c>
      <c r="C198" s="61">
        <v>14.914122846632385</v>
      </c>
      <c r="D198" s="5">
        <v>0</v>
      </c>
      <c r="E198" s="5">
        <v>0</v>
      </c>
      <c r="F198" s="5">
        <v>0</v>
      </c>
      <c r="G198" s="5">
        <v>1</v>
      </c>
      <c r="H198" s="5">
        <v>1</v>
      </c>
      <c r="I198" s="5">
        <v>0</v>
      </c>
      <c r="J198" s="5">
        <v>57</v>
      </c>
      <c r="K198" s="61">
        <v>30</v>
      </c>
    </row>
    <row r="199" spans="2:11" ht="14.25" customHeight="1" x14ac:dyDescent="0.3">
      <c r="B199" s="5">
        <v>198</v>
      </c>
      <c r="C199" s="61">
        <v>14.73180128983843</v>
      </c>
      <c r="D199" s="5">
        <v>1</v>
      </c>
      <c r="E199" s="5">
        <v>1</v>
      </c>
      <c r="F199" s="5">
        <v>0</v>
      </c>
      <c r="G199" s="5">
        <v>0</v>
      </c>
      <c r="H199" s="5">
        <v>1</v>
      </c>
      <c r="I199" s="5">
        <v>1</v>
      </c>
      <c r="J199" s="5">
        <v>78</v>
      </c>
      <c r="K199" s="61">
        <v>40</v>
      </c>
    </row>
    <row r="200" spans="2:11" ht="14.25" customHeight="1" x14ac:dyDescent="0.3">
      <c r="B200" s="5">
        <v>199</v>
      </c>
      <c r="C200" s="61">
        <v>14.73180128983843</v>
      </c>
      <c r="D200" s="5">
        <v>1</v>
      </c>
      <c r="E200" s="5">
        <v>1</v>
      </c>
      <c r="F200" s="5">
        <v>0</v>
      </c>
      <c r="G200" s="5">
        <v>0</v>
      </c>
      <c r="H200" s="5">
        <v>0</v>
      </c>
      <c r="I200" s="5">
        <v>1</v>
      </c>
      <c r="J200" s="5">
        <v>43</v>
      </c>
      <c r="K200" s="61">
        <v>35</v>
      </c>
    </row>
    <row r="201" spans="2:11" ht="14.25" customHeight="1" x14ac:dyDescent="0.3">
      <c r="B201" s="5">
        <v>200</v>
      </c>
      <c r="C201" s="61">
        <v>13.815510557964274</v>
      </c>
      <c r="D201" s="5">
        <v>1</v>
      </c>
      <c r="E201" s="5">
        <v>0</v>
      </c>
      <c r="F201" s="5">
        <v>1</v>
      </c>
      <c r="G201" s="5">
        <v>0</v>
      </c>
      <c r="H201" s="5">
        <v>0</v>
      </c>
      <c r="I201" s="5">
        <v>0</v>
      </c>
      <c r="J201" s="5">
        <v>20</v>
      </c>
      <c r="K201" s="61">
        <v>5</v>
      </c>
    </row>
    <row r="202" spans="2:11" ht="14.25" customHeight="1" x14ac:dyDescent="0.3">
      <c r="B202" s="5">
        <v>201</v>
      </c>
      <c r="C202" s="61">
        <v>14.508657738524219</v>
      </c>
      <c r="D202" s="5">
        <v>1</v>
      </c>
      <c r="E202" s="5">
        <v>1</v>
      </c>
      <c r="F202" s="5">
        <v>0</v>
      </c>
      <c r="G202" s="5">
        <v>0</v>
      </c>
      <c r="H202" s="5">
        <v>0</v>
      </c>
      <c r="I202" s="5">
        <v>1</v>
      </c>
      <c r="J202" s="5">
        <v>25</v>
      </c>
      <c r="K202" s="61">
        <v>10</v>
      </c>
    </row>
    <row r="203" spans="2:11" ht="14.25" customHeight="1" x14ac:dyDescent="0.3">
      <c r="B203" s="5">
        <v>202</v>
      </c>
      <c r="C203" s="61">
        <v>14.508657738524219</v>
      </c>
      <c r="D203" s="5">
        <v>0</v>
      </c>
      <c r="E203" s="5">
        <v>1</v>
      </c>
      <c r="F203" s="5">
        <v>0</v>
      </c>
      <c r="G203" s="5">
        <v>0</v>
      </c>
      <c r="H203" s="5">
        <v>0</v>
      </c>
      <c r="I203" s="5">
        <v>1</v>
      </c>
      <c r="J203" s="5">
        <v>41</v>
      </c>
      <c r="K203" s="61">
        <v>25</v>
      </c>
    </row>
    <row r="204" spans="2:11" ht="14.25" customHeight="1" x14ac:dyDescent="0.3">
      <c r="B204" s="5">
        <v>203</v>
      </c>
      <c r="C204" s="61">
        <v>14.914122846632385</v>
      </c>
      <c r="D204" s="5">
        <v>0</v>
      </c>
      <c r="E204" s="5">
        <v>0</v>
      </c>
      <c r="F204" s="5">
        <v>1</v>
      </c>
      <c r="G204" s="5">
        <v>0</v>
      </c>
      <c r="H204" s="5">
        <v>0</v>
      </c>
      <c r="I204" s="5">
        <v>0</v>
      </c>
      <c r="J204" s="5">
        <v>45</v>
      </c>
      <c r="K204" s="61">
        <v>20</v>
      </c>
    </row>
    <row r="205" spans="2:11" ht="14.25" customHeight="1" x14ac:dyDescent="0.3">
      <c r="B205" s="5">
        <v>204</v>
      </c>
      <c r="C205" s="61">
        <v>13.71899965758343</v>
      </c>
      <c r="D205" s="5">
        <v>1</v>
      </c>
      <c r="E205" s="5">
        <v>1</v>
      </c>
      <c r="F205" s="5">
        <v>0</v>
      </c>
      <c r="G205" s="5">
        <v>0</v>
      </c>
      <c r="H205" s="5">
        <v>1</v>
      </c>
      <c r="I205" s="5">
        <v>1</v>
      </c>
      <c r="J205" s="5">
        <v>55</v>
      </c>
      <c r="K205" s="61">
        <v>7</v>
      </c>
    </row>
    <row r="206" spans="2:11" ht="14.25" customHeight="1" x14ac:dyDescent="0.3">
      <c r="B206" s="5">
        <v>205</v>
      </c>
      <c r="C206" s="61">
        <v>14.220975666072439</v>
      </c>
      <c r="D206" s="5">
        <v>0</v>
      </c>
      <c r="E206" s="5">
        <v>0</v>
      </c>
      <c r="F206" s="5">
        <v>1</v>
      </c>
      <c r="G206" s="5">
        <v>0</v>
      </c>
      <c r="H206" s="5">
        <v>1</v>
      </c>
      <c r="I206" s="5">
        <v>1</v>
      </c>
      <c r="J206" s="5">
        <v>62</v>
      </c>
      <c r="K206" s="61">
        <v>40</v>
      </c>
    </row>
    <row r="207" spans="2:11" ht="14.25" customHeight="1" x14ac:dyDescent="0.3">
      <c r="B207" s="5">
        <v>206</v>
      </c>
      <c r="C207" s="61">
        <v>14.508657738524219</v>
      </c>
      <c r="D207" s="5">
        <v>0</v>
      </c>
      <c r="E207" s="5">
        <v>0</v>
      </c>
      <c r="F207" s="5">
        <v>1</v>
      </c>
      <c r="G207" s="5">
        <v>0</v>
      </c>
      <c r="H207" s="5">
        <v>0</v>
      </c>
      <c r="I207" s="5">
        <v>1</v>
      </c>
      <c r="J207" s="5">
        <v>48</v>
      </c>
      <c r="K207" s="61">
        <v>10</v>
      </c>
    </row>
    <row r="208" spans="2:11" ht="14.25" customHeight="1" x14ac:dyDescent="0.3">
      <c r="B208" s="5">
        <v>207</v>
      </c>
      <c r="C208" s="61">
        <v>15.319587954740548</v>
      </c>
      <c r="D208" s="5">
        <v>1</v>
      </c>
      <c r="E208" s="5">
        <v>0</v>
      </c>
      <c r="F208" s="5">
        <v>0</v>
      </c>
      <c r="G208" s="5">
        <v>1</v>
      </c>
      <c r="H208" s="5">
        <v>1</v>
      </c>
      <c r="I208" s="5">
        <v>1</v>
      </c>
      <c r="J208" s="5">
        <v>38</v>
      </c>
      <c r="K208" s="61">
        <v>20</v>
      </c>
    </row>
    <row r="209" spans="2:11" ht="14.25" customHeight="1" x14ac:dyDescent="0.3">
      <c r="B209" s="5">
        <v>208</v>
      </c>
      <c r="C209" s="61">
        <v>15.60727002719233</v>
      </c>
      <c r="D209" s="5">
        <v>0</v>
      </c>
      <c r="E209" s="5">
        <v>1</v>
      </c>
      <c r="F209" s="5">
        <v>0</v>
      </c>
      <c r="G209" s="5">
        <v>0</v>
      </c>
      <c r="H209" s="5">
        <v>0</v>
      </c>
      <c r="I209" s="5">
        <v>1</v>
      </c>
      <c r="J209" s="5">
        <v>62</v>
      </c>
      <c r="K209" s="61">
        <v>42</v>
      </c>
    </row>
    <row r="210" spans="2:11" ht="14.25" customHeight="1" x14ac:dyDescent="0.3">
      <c r="B210" s="5">
        <v>209</v>
      </c>
      <c r="C210" s="61">
        <v>13.815510557964274</v>
      </c>
      <c r="D210" s="5">
        <v>1</v>
      </c>
      <c r="E210" s="5">
        <v>1</v>
      </c>
      <c r="F210" s="5">
        <v>0</v>
      </c>
      <c r="G210" s="5">
        <v>0</v>
      </c>
      <c r="H210" s="5">
        <v>0</v>
      </c>
      <c r="I210" s="5">
        <v>1</v>
      </c>
      <c r="J210" s="5">
        <v>21</v>
      </c>
      <c r="K210" s="61">
        <v>1</v>
      </c>
    </row>
    <row r="211" spans="2:11" ht="14.25" customHeight="1" x14ac:dyDescent="0.3">
      <c r="B211" s="5">
        <v>210</v>
      </c>
      <c r="C211" s="61">
        <v>14.73180128983843</v>
      </c>
      <c r="D211" s="5">
        <v>0</v>
      </c>
      <c r="E211" s="5">
        <v>0</v>
      </c>
      <c r="F211" s="5">
        <v>0</v>
      </c>
      <c r="G211" s="5">
        <v>1</v>
      </c>
      <c r="H211" s="5">
        <v>0</v>
      </c>
      <c r="I211" s="5">
        <v>0</v>
      </c>
      <c r="J211" s="5">
        <v>54</v>
      </c>
      <c r="K211" s="61">
        <v>15</v>
      </c>
    </row>
    <row r="212" spans="2:11" ht="14.25" customHeight="1" x14ac:dyDescent="0.3">
      <c r="B212" s="5">
        <v>211</v>
      </c>
      <c r="C212" s="61">
        <v>14.508657738524219</v>
      </c>
      <c r="D212" s="5">
        <v>1</v>
      </c>
      <c r="E212" s="5">
        <v>0</v>
      </c>
      <c r="F212" s="5">
        <v>1</v>
      </c>
      <c r="G212" s="5">
        <v>0</v>
      </c>
      <c r="H212" s="5">
        <v>0</v>
      </c>
      <c r="I212" s="5">
        <v>1</v>
      </c>
      <c r="J212" s="5">
        <v>34</v>
      </c>
      <c r="K212" s="61">
        <v>6</v>
      </c>
    </row>
    <row r="213" spans="2:11" ht="14.25" customHeight="1" x14ac:dyDescent="0.3">
      <c r="B213" s="5">
        <v>212</v>
      </c>
      <c r="C213" s="61">
        <v>14.077874822431765</v>
      </c>
      <c r="D213" s="5">
        <v>1</v>
      </c>
      <c r="E213" s="5">
        <v>0</v>
      </c>
      <c r="F213" s="5">
        <v>1</v>
      </c>
      <c r="G213" s="5">
        <v>0</v>
      </c>
      <c r="H213" s="5">
        <v>1</v>
      </c>
      <c r="I213" s="5">
        <v>0</v>
      </c>
      <c r="J213" s="5">
        <v>25</v>
      </c>
      <c r="K213" s="61">
        <v>1</v>
      </c>
    </row>
    <row r="214" spans="2:11" ht="14.25" customHeight="1" x14ac:dyDescent="0.3">
      <c r="B214" s="5">
        <v>213</v>
      </c>
      <c r="C214" s="61">
        <v>15.201804919084164</v>
      </c>
      <c r="D214" s="5">
        <v>0</v>
      </c>
      <c r="E214" s="5">
        <v>0</v>
      </c>
      <c r="F214" s="5">
        <v>0</v>
      </c>
      <c r="G214" s="5">
        <v>1</v>
      </c>
      <c r="H214" s="5">
        <v>1</v>
      </c>
      <c r="I214" s="5">
        <v>1</v>
      </c>
      <c r="J214" s="5">
        <v>50</v>
      </c>
      <c r="K214" s="61">
        <v>15</v>
      </c>
    </row>
    <row r="215" spans="2:11" ht="14.25" customHeight="1" x14ac:dyDescent="0.3">
      <c r="B215" s="5">
        <v>214</v>
      </c>
      <c r="C215" s="61">
        <v>14.508657738524219</v>
      </c>
      <c r="D215" s="5">
        <v>0</v>
      </c>
      <c r="E215" s="5">
        <v>0</v>
      </c>
      <c r="F215" s="5">
        <v>0</v>
      </c>
      <c r="G215" s="5">
        <v>1</v>
      </c>
      <c r="H215" s="5">
        <v>0</v>
      </c>
      <c r="I215" s="5">
        <v>0</v>
      </c>
      <c r="J215" s="5">
        <v>30</v>
      </c>
      <c r="K215" s="61">
        <v>3</v>
      </c>
    </row>
    <row r="216" spans="2:11" ht="14.25" customHeight="1" x14ac:dyDescent="0.3">
      <c r="B216" s="5">
        <v>215</v>
      </c>
      <c r="C216" s="61">
        <v>13.997832114758229</v>
      </c>
      <c r="D216" s="5">
        <v>0</v>
      </c>
      <c r="E216" s="5">
        <v>0</v>
      </c>
      <c r="F216" s="5">
        <v>0</v>
      </c>
      <c r="G216" s="5">
        <v>1</v>
      </c>
      <c r="H216" s="5">
        <v>0</v>
      </c>
      <c r="I216" s="5">
        <v>0</v>
      </c>
      <c r="J216" s="5">
        <v>36</v>
      </c>
      <c r="K216" s="61">
        <v>16</v>
      </c>
    </row>
    <row r="217" spans="2:11" ht="14.25" customHeight="1" x14ac:dyDescent="0.3">
      <c r="B217" s="5">
        <v>216</v>
      </c>
      <c r="C217" s="61">
        <v>14.220975666072439</v>
      </c>
      <c r="D217" s="5">
        <v>1</v>
      </c>
      <c r="E217" s="5">
        <v>0</v>
      </c>
      <c r="F217" s="5">
        <v>1</v>
      </c>
      <c r="G217" s="5">
        <v>0</v>
      </c>
      <c r="H217" s="5">
        <v>1</v>
      </c>
      <c r="I217" s="5">
        <v>0</v>
      </c>
      <c r="J217" s="5">
        <v>27</v>
      </c>
      <c r="K217" s="61">
        <v>2.5</v>
      </c>
    </row>
    <row r="218" spans="2:11" ht="14.25" customHeight="1" x14ac:dyDescent="0.3">
      <c r="B218" s="5">
        <v>217</v>
      </c>
      <c r="C218" s="61">
        <v>12.899219826090119</v>
      </c>
      <c r="D218" s="5">
        <v>1</v>
      </c>
      <c r="E218" s="5">
        <v>1</v>
      </c>
      <c r="F218" s="5">
        <v>0</v>
      </c>
      <c r="G218" s="5">
        <v>0</v>
      </c>
      <c r="H218" s="5">
        <v>0</v>
      </c>
      <c r="I218" s="5">
        <v>0</v>
      </c>
      <c r="J218" s="5">
        <v>19</v>
      </c>
      <c r="K218" s="61">
        <v>0.5</v>
      </c>
    </row>
    <row r="219" spans="2:11" ht="14.25" customHeight="1" x14ac:dyDescent="0.3">
      <c r="B219" s="5">
        <v>218</v>
      </c>
      <c r="C219" s="61">
        <v>13.71899965758343</v>
      </c>
      <c r="D219" s="5">
        <v>1</v>
      </c>
      <c r="E219" s="5">
        <v>1</v>
      </c>
      <c r="F219" s="5">
        <v>0</v>
      </c>
      <c r="G219" s="5">
        <v>0</v>
      </c>
      <c r="H219" s="5">
        <v>1</v>
      </c>
      <c r="I219" s="5">
        <v>0</v>
      </c>
      <c r="J219" s="5">
        <v>26</v>
      </c>
      <c r="K219" s="61">
        <v>4</v>
      </c>
    </row>
    <row r="220" spans="2:11" ht="14.25" customHeight="1" x14ac:dyDescent="0.3">
      <c r="B220" s="5">
        <v>219</v>
      </c>
      <c r="C220" s="61">
        <v>13.71899965758343</v>
      </c>
      <c r="D220" s="5">
        <v>1</v>
      </c>
      <c r="E220" s="5">
        <v>0</v>
      </c>
      <c r="F220" s="5">
        <v>1</v>
      </c>
      <c r="G220" s="5">
        <v>0</v>
      </c>
      <c r="H220" s="5">
        <v>0</v>
      </c>
      <c r="I220" s="5">
        <v>0</v>
      </c>
      <c r="J220" s="5">
        <v>20</v>
      </c>
      <c r="K220" s="61">
        <v>1</v>
      </c>
    </row>
    <row r="221" spans="2:11" ht="14.25" customHeight="1" x14ac:dyDescent="0.3">
      <c r="B221" s="5">
        <v>220</v>
      </c>
      <c r="C221" s="61">
        <v>13.71899965758343</v>
      </c>
      <c r="D221" s="5">
        <v>1</v>
      </c>
      <c r="E221" s="5">
        <v>0</v>
      </c>
      <c r="F221" s="5">
        <v>0</v>
      </c>
      <c r="G221" s="5">
        <v>1</v>
      </c>
      <c r="H221" s="5">
        <v>0</v>
      </c>
      <c r="I221" s="5">
        <v>0</v>
      </c>
      <c r="J221" s="5">
        <v>25</v>
      </c>
      <c r="K221" s="61">
        <v>4</v>
      </c>
    </row>
    <row r="222" spans="2:11" ht="14.25" customHeight="1" x14ac:dyDescent="0.3">
      <c r="B222" s="5">
        <v>221</v>
      </c>
      <c r="C222" s="61">
        <v>14.508657738524219</v>
      </c>
      <c r="D222" s="5">
        <v>1</v>
      </c>
      <c r="E222" s="5">
        <v>1</v>
      </c>
      <c r="F222" s="5">
        <v>0</v>
      </c>
      <c r="G222" s="5">
        <v>0</v>
      </c>
      <c r="H222" s="5">
        <v>1</v>
      </c>
      <c r="I222" s="5">
        <v>0</v>
      </c>
      <c r="J222" s="5">
        <v>35</v>
      </c>
      <c r="K222" s="61">
        <v>3.5</v>
      </c>
    </row>
    <row r="223" spans="2:11" ht="14.25" customHeight="1" x14ac:dyDescent="0.3">
      <c r="B223" s="5">
        <v>222</v>
      </c>
      <c r="C223" s="61">
        <v>13.71899965758343</v>
      </c>
      <c r="D223" s="5">
        <v>0</v>
      </c>
      <c r="E223" s="5">
        <v>0</v>
      </c>
      <c r="F223" s="5">
        <v>1</v>
      </c>
      <c r="G223" s="5">
        <v>0</v>
      </c>
      <c r="H223" s="5">
        <v>0</v>
      </c>
      <c r="I223" s="5">
        <v>0</v>
      </c>
      <c r="J223" s="5">
        <v>31</v>
      </c>
      <c r="K223" s="61">
        <v>0.5</v>
      </c>
    </row>
    <row r="224" spans="2:11" ht="14.25" customHeight="1" x14ac:dyDescent="0.3">
      <c r="B224" s="5">
        <v>223</v>
      </c>
      <c r="C224" s="61">
        <v>14.220975666072439</v>
      </c>
      <c r="D224" s="5">
        <v>1</v>
      </c>
      <c r="E224" s="5">
        <v>0</v>
      </c>
      <c r="F224" s="5">
        <v>0</v>
      </c>
      <c r="G224" s="5">
        <v>1</v>
      </c>
      <c r="H224" s="5">
        <v>0</v>
      </c>
      <c r="I224" s="5">
        <v>0</v>
      </c>
      <c r="J224" s="5">
        <v>26</v>
      </c>
      <c r="K224" s="61">
        <v>0.5</v>
      </c>
    </row>
    <row r="225" spans="2:11" ht="14.25" customHeight="1" x14ac:dyDescent="0.3">
      <c r="B225" s="5">
        <v>224</v>
      </c>
      <c r="C225" s="61">
        <v>14.914122846632385</v>
      </c>
      <c r="D225" s="5">
        <v>1</v>
      </c>
      <c r="E225" s="5">
        <v>0</v>
      </c>
      <c r="F225" s="5">
        <v>0</v>
      </c>
      <c r="G225" s="5">
        <v>1</v>
      </c>
      <c r="H225" s="5">
        <v>1</v>
      </c>
      <c r="I225" s="5">
        <v>0</v>
      </c>
      <c r="J225" s="5">
        <v>36</v>
      </c>
      <c r="K225" s="61">
        <v>9</v>
      </c>
    </row>
    <row r="226" spans="2:11" ht="14.25" customHeight="1" x14ac:dyDescent="0.3">
      <c r="B226" s="5">
        <v>225</v>
      </c>
      <c r="C226" s="61">
        <v>14.220975666072439</v>
      </c>
      <c r="D226" s="5">
        <v>1</v>
      </c>
      <c r="E226" s="5">
        <v>0</v>
      </c>
      <c r="F226" s="5">
        <v>0</v>
      </c>
      <c r="G226" s="5">
        <v>1</v>
      </c>
      <c r="H226" s="5">
        <v>1</v>
      </c>
      <c r="I226" s="5">
        <v>0</v>
      </c>
      <c r="J226" s="5">
        <v>38</v>
      </c>
      <c r="K226" s="61">
        <v>8</v>
      </c>
    </row>
    <row r="227" spans="2:11" ht="14.25" customHeight="1" x14ac:dyDescent="0.3">
      <c r="B227" s="5">
        <v>226</v>
      </c>
      <c r="C227" s="61">
        <v>13.71899965758343</v>
      </c>
      <c r="D227" s="5">
        <v>1</v>
      </c>
      <c r="E227" s="5">
        <v>1</v>
      </c>
      <c r="F227" s="5">
        <v>0</v>
      </c>
      <c r="G227" s="5">
        <v>0</v>
      </c>
      <c r="H227" s="5">
        <v>1</v>
      </c>
      <c r="I227" s="5">
        <v>1</v>
      </c>
      <c r="J227" s="5">
        <v>22</v>
      </c>
      <c r="K227" s="61">
        <v>1.5</v>
      </c>
    </row>
    <row r="228" spans="2:11" ht="14.25" customHeight="1" x14ac:dyDescent="0.3">
      <c r="B228" s="5">
        <v>227</v>
      </c>
      <c r="C228" s="61">
        <v>13.71899965758343</v>
      </c>
      <c r="D228" s="5">
        <v>1</v>
      </c>
      <c r="E228" s="5">
        <v>1</v>
      </c>
      <c r="F228" s="5">
        <v>0</v>
      </c>
      <c r="G228" s="5">
        <v>0</v>
      </c>
      <c r="H228" s="5">
        <v>0</v>
      </c>
      <c r="I228" s="5">
        <v>0</v>
      </c>
      <c r="J228" s="5">
        <v>21</v>
      </c>
      <c r="K228" s="61">
        <v>0.5</v>
      </c>
    </row>
    <row r="229" spans="2:11" ht="14.25" customHeight="1" x14ac:dyDescent="0.3">
      <c r="B229" s="5">
        <v>228</v>
      </c>
      <c r="C229" s="61">
        <v>13.38472764187182</v>
      </c>
      <c r="D229" s="5">
        <v>1</v>
      </c>
      <c r="E229" s="5">
        <v>1</v>
      </c>
      <c r="F229" s="5">
        <v>0</v>
      </c>
      <c r="G229" s="5">
        <v>0</v>
      </c>
      <c r="H229" s="5">
        <v>0</v>
      </c>
      <c r="I229" s="5">
        <v>0</v>
      </c>
      <c r="J229" s="5">
        <v>20</v>
      </c>
      <c r="K229" s="61">
        <v>0.5</v>
      </c>
    </row>
    <row r="230" spans="2:11" ht="14.25" customHeight="1" x14ac:dyDescent="0.3">
      <c r="B230" s="5">
        <v>229</v>
      </c>
      <c r="C230" s="61">
        <v>13.71899965758343</v>
      </c>
      <c r="D230" s="5">
        <v>1</v>
      </c>
      <c r="E230" s="5">
        <v>0</v>
      </c>
      <c r="F230" s="5">
        <v>1</v>
      </c>
      <c r="G230" s="5">
        <v>0</v>
      </c>
      <c r="H230" s="5">
        <v>0</v>
      </c>
      <c r="I230" s="5">
        <v>0</v>
      </c>
      <c r="J230" s="5">
        <v>21</v>
      </c>
      <c r="K230" s="61">
        <v>0.5</v>
      </c>
    </row>
    <row r="231" spans="2:11" ht="14.25" customHeight="1" x14ac:dyDescent="0.3">
      <c r="B231" s="5">
        <v>230</v>
      </c>
      <c r="C231" s="61">
        <v>13.017002861746503</v>
      </c>
      <c r="D231" s="5">
        <v>1</v>
      </c>
      <c r="E231" s="5">
        <v>1</v>
      </c>
      <c r="F231" s="5">
        <v>0</v>
      </c>
      <c r="G231" s="5">
        <v>0</v>
      </c>
      <c r="H231" s="5">
        <v>0</v>
      </c>
      <c r="I231" s="5">
        <v>0</v>
      </c>
      <c r="J231" s="5">
        <v>21</v>
      </c>
      <c r="K231" s="61">
        <v>0.75</v>
      </c>
    </row>
    <row r="232" spans="2:11" ht="14.25" customHeight="1" x14ac:dyDescent="0.3">
      <c r="B232" s="5">
        <v>231</v>
      </c>
      <c r="C232" s="61">
        <v>15.201804919084164</v>
      </c>
      <c r="D232" s="5">
        <v>0</v>
      </c>
      <c r="E232" s="5">
        <v>0</v>
      </c>
      <c r="F232" s="5">
        <v>0</v>
      </c>
      <c r="G232" s="5">
        <v>1</v>
      </c>
      <c r="H232" s="5">
        <v>1</v>
      </c>
      <c r="I232" s="5">
        <v>1</v>
      </c>
      <c r="J232" s="5">
        <v>33</v>
      </c>
      <c r="K232" s="61">
        <v>7</v>
      </c>
    </row>
    <row r="233" spans="2:11" ht="14.25" customHeight="1" x14ac:dyDescent="0.3">
      <c r="B233" s="5">
        <v>232</v>
      </c>
      <c r="C233" s="61">
        <v>13.910820737768599</v>
      </c>
      <c r="D233" s="5">
        <v>1</v>
      </c>
      <c r="E233" s="5">
        <v>0</v>
      </c>
      <c r="F233" s="5">
        <v>1</v>
      </c>
      <c r="G233" s="5">
        <v>0</v>
      </c>
      <c r="H233" s="5">
        <v>0</v>
      </c>
      <c r="I233" s="5">
        <v>0</v>
      </c>
      <c r="J233" s="5">
        <v>37</v>
      </c>
      <c r="K233" s="61">
        <v>1</v>
      </c>
    </row>
    <row r="234" spans="2:11" ht="14.25" customHeight="1" x14ac:dyDescent="0.3">
      <c r="B234" s="5">
        <v>233</v>
      </c>
      <c r="C234" s="61">
        <v>13.487006490992238</v>
      </c>
      <c r="D234" s="5">
        <v>1</v>
      </c>
      <c r="E234" s="5">
        <v>1</v>
      </c>
      <c r="F234" s="5">
        <v>0</v>
      </c>
      <c r="G234" s="5">
        <v>0</v>
      </c>
      <c r="H234" s="5">
        <v>0</v>
      </c>
      <c r="I234" s="5">
        <v>0</v>
      </c>
      <c r="J234" s="5">
        <v>20</v>
      </c>
      <c r="K234" s="61">
        <v>0.5</v>
      </c>
    </row>
    <row r="235" spans="2:11" ht="14.25" customHeight="1" x14ac:dyDescent="0.3">
      <c r="B235" s="5">
        <v>234</v>
      </c>
      <c r="C235" s="61">
        <v>14.457364444136669</v>
      </c>
      <c r="D235" s="5">
        <v>0</v>
      </c>
      <c r="E235" s="5">
        <v>0</v>
      </c>
      <c r="F235" s="5">
        <v>1</v>
      </c>
      <c r="G235" s="5">
        <v>0</v>
      </c>
      <c r="H235" s="5">
        <v>1</v>
      </c>
      <c r="I235" s="5">
        <v>1</v>
      </c>
      <c r="J235" s="5">
        <v>21</v>
      </c>
      <c r="K235" s="61">
        <v>2.2999999999999998</v>
      </c>
    </row>
    <row r="236" spans="2:11" ht="14.25" customHeight="1" x14ac:dyDescent="0.3">
      <c r="B236" s="5">
        <v>235</v>
      </c>
      <c r="C236" s="61">
        <v>14.845129975145433</v>
      </c>
      <c r="D236" s="5">
        <v>1</v>
      </c>
      <c r="E236" s="5">
        <v>0</v>
      </c>
      <c r="F236" s="5">
        <v>0</v>
      </c>
      <c r="G236" s="5">
        <v>1</v>
      </c>
      <c r="H236" s="5">
        <v>1</v>
      </c>
      <c r="I236" s="5">
        <v>0</v>
      </c>
      <c r="J236" s="5">
        <v>51</v>
      </c>
      <c r="K236" s="61">
        <v>0.5</v>
      </c>
    </row>
    <row r="237" spans="2:11" ht="14.25" customHeight="1" x14ac:dyDescent="0.3">
      <c r="B237" s="5">
        <v>236</v>
      </c>
      <c r="C237" s="61">
        <v>15.424948470398375</v>
      </c>
      <c r="D237" s="5">
        <v>0</v>
      </c>
      <c r="E237" s="5">
        <v>1</v>
      </c>
      <c r="F237" s="5">
        <v>0</v>
      </c>
      <c r="G237" s="5">
        <v>0</v>
      </c>
      <c r="H237" s="5">
        <v>1</v>
      </c>
      <c r="I237" s="5">
        <v>1</v>
      </c>
      <c r="J237" s="5">
        <v>45</v>
      </c>
      <c r="K237" s="61">
        <v>12</v>
      </c>
    </row>
    <row r="238" spans="2:11" ht="14.25" customHeight="1" x14ac:dyDescent="0.3">
      <c r="B238" s="5">
        <v>237</v>
      </c>
      <c r="C238" s="61">
        <v>13.910820737768599</v>
      </c>
      <c r="D238" s="5">
        <v>0</v>
      </c>
      <c r="E238" s="5">
        <v>0</v>
      </c>
      <c r="F238" s="5">
        <v>0</v>
      </c>
      <c r="G238" s="5">
        <v>1</v>
      </c>
      <c r="H238" s="5">
        <v>1</v>
      </c>
      <c r="I238" s="5">
        <v>0</v>
      </c>
      <c r="J238" s="5">
        <v>25</v>
      </c>
      <c r="K238" s="61">
        <v>0.5</v>
      </c>
    </row>
    <row r="239" spans="2:11" ht="14.25" customHeight="1" x14ac:dyDescent="0.3">
      <c r="B239" s="5">
        <v>238</v>
      </c>
      <c r="C239" s="61">
        <v>14.28551418721001</v>
      </c>
      <c r="D239" s="5">
        <v>1</v>
      </c>
      <c r="E239" s="5">
        <v>0</v>
      </c>
      <c r="F239" s="5">
        <v>1</v>
      </c>
      <c r="G239" s="5">
        <v>0</v>
      </c>
      <c r="H239" s="5">
        <v>1</v>
      </c>
      <c r="I239" s="5">
        <v>1</v>
      </c>
      <c r="J239" s="5">
        <v>45</v>
      </c>
      <c r="K239" s="61">
        <v>21</v>
      </c>
    </row>
    <row r="240" spans="2:11" ht="14.25" customHeight="1" x14ac:dyDescent="0.3">
      <c r="B240" s="5">
        <v>239</v>
      </c>
      <c r="C240" s="61">
        <v>15.201804919084164</v>
      </c>
      <c r="D240" s="5">
        <v>1</v>
      </c>
      <c r="E240" s="5">
        <v>0</v>
      </c>
      <c r="F240" s="5">
        <v>0</v>
      </c>
      <c r="G240" s="5">
        <v>1</v>
      </c>
      <c r="H240" s="5">
        <v>1</v>
      </c>
      <c r="I240" s="5">
        <v>1</v>
      </c>
      <c r="J240" s="5">
        <v>40</v>
      </c>
      <c r="K240" s="61">
        <v>6</v>
      </c>
    </row>
    <row r="241" spans="2:11" ht="14.25" customHeight="1" x14ac:dyDescent="0.3">
      <c r="B241" s="5">
        <v>240</v>
      </c>
      <c r="C241" s="61">
        <v>13.997832114758229</v>
      </c>
      <c r="D241" s="5">
        <v>1</v>
      </c>
      <c r="E241" s="5">
        <v>1</v>
      </c>
      <c r="F241" s="5">
        <v>0</v>
      </c>
      <c r="G241" s="5">
        <v>0</v>
      </c>
      <c r="H241" s="5">
        <v>0</v>
      </c>
      <c r="I241" s="5">
        <v>0</v>
      </c>
      <c r="J241" s="5">
        <v>46</v>
      </c>
      <c r="K241" s="61">
        <v>21</v>
      </c>
    </row>
    <row r="242" spans="2:11" ht="14.25" customHeight="1" x14ac:dyDescent="0.3">
      <c r="B242" s="5">
        <v>241</v>
      </c>
      <c r="C242" s="61">
        <v>15.201804919084164</v>
      </c>
      <c r="D242" s="5">
        <v>1</v>
      </c>
      <c r="E242" s="5">
        <v>0</v>
      </c>
      <c r="F242" s="5">
        <v>0</v>
      </c>
      <c r="G242" s="5">
        <v>1</v>
      </c>
      <c r="H242" s="5">
        <v>1</v>
      </c>
      <c r="I242" s="5">
        <v>0</v>
      </c>
      <c r="J242" s="5">
        <v>31</v>
      </c>
      <c r="K242" s="61">
        <v>6</v>
      </c>
    </row>
    <row r="243" spans="2:11" ht="14.25" customHeight="1" x14ac:dyDescent="0.3">
      <c r="B243" s="5">
        <v>242</v>
      </c>
      <c r="C243" s="61">
        <v>13.71899965758343</v>
      </c>
      <c r="D243" s="5">
        <v>0</v>
      </c>
      <c r="E243" s="5">
        <v>0</v>
      </c>
      <c r="F243" s="5">
        <v>1</v>
      </c>
      <c r="G243" s="5">
        <v>0</v>
      </c>
      <c r="H243" s="5">
        <v>0</v>
      </c>
      <c r="I243" s="5">
        <v>0</v>
      </c>
      <c r="J243" s="5">
        <v>43</v>
      </c>
      <c r="K243" s="61">
        <v>1</v>
      </c>
    </row>
    <row r="244" spans="2:11" ht="14.25" customHeight="1" x14ac:dyDescent="0.3">
      <c r="B244" s="5">
        <v>243</v>
      </c>
      <c r="C244" s="61">
        <v>14.508657738524219</v>
      </c>
      <c r="D244" s="5">
        <v>0</v>
      </c>
      <c r="E244" s="5">
        <v>0</v>
      </c>
      <c r="F244" s="5">
        <v>0</v>
      </c>
      <c r="G244" s="5">
        <v>1</v>
      </c>
      <c r="H244" s="5">
        <v>1</v>
      </c>
      <c r="I244" s="5">
        <v>1</v>
      </c>
      <c r="J244" s="5">
        <v>29</v>
      </c>
      <c r="K244" s="61">
        <v>12</v>
      </c>
    </row>
    <row r="245" spans="2:11" ht="14.25" customHeight="1" x14ac:dyDescent="0.3">
      <c r="B245" s="5">
        <v>244</v>
      </c>
      <c r="C245" s="61">
        <v>14.73180128983843</v>
      </c>
      <c r="D245" s="5">
        <v>0</v>
      </c>
      <c r="E245" s="5">
        <v>0</v>
      </c>
      <c r="F245" s="5">
        <v>1</v>
      </c>
      <c r="G245" s="5">
        <v>0</v>
      </c>
      <c r="H245" s="5">
        <v>1</v>
      </c>
      <c r="I245" s="5">
        <v>1</v>
      </c>
      <c r="J245" s="5">
        <v>41</v>
      </c>
      <c r="K245" s="61">
        <v>24</v>
      </c>
    </row>
    <row r="246" spans="2:11" ht="14.25" customHeight="1" x14ac:dyDescent="0.3">
      <c r="B246" s="5">
        <v>245</v>
      </c>
      <c r="C246" s="61">
        <v>13.71899965758343</v>
      </c>
      <c r="D246" s="5">
        <v>1</v>
      </c>
      <c r="E246" s="5">
        <v>0</v>
      </c>
      <c r="F246" s="5">
        <v>0</v>
      </c>
      <c r="G246" s="5">
        <v>1</v>
      </c>
      <c r="H246" s="5">
        <v>0</v>
      </c>
      <c r="I246" s="5">
        <v>0</v>
      </c>
      <c r="J246" s="5">
        <v>26</v>
      </c>
      <c r="K246" s="61">
        <v>2</v>
      </c>
    </row>
    <row r="247" spans="2:11" ht="14.25" customHeight="1" x14ac:dyDescent="0.3">
      <c r="B247" s="5">
        <v>246</v>
      </c>
      <c r="C247" s="61">
        <v>13.71899965758343</v>
      </c>
      <c r="D247" s="5">
        <v>1</v>
      </c>
      <c r="E247" s="5">
        <v>0</v>
      </c>
      <c r="F247" s="5">
        <v>1</v>
      </c>
      <c r="G247" s="5">
        <v>0</v>
      </c>
      <c r="H247" s="5">
        <v>1</v>
      </c>
      <c r="I247" s="5">
        <v>0</v>
      </c>
      <c r="J247" s="5">
        <v>34</v>
      </c>
      <c r="K247" s="61">
        <v>2</v>
      </c>
    </row>
    <row r="248" spans="2:11" ht="14.25" customHeight="1" x14ac:dyDescent="0.3">
      <c r="B248" s="5">
        <v>247</v>
      </c>
      <c r="C248" s="61">
        <v>13.71899965758343</v>
      </c>
      <c r="D248" s="5">
        <v>1</v>
      </c>
      <c r="E248" s="5">
        <v>0</v>
      </c>
      <c r="F248" s="5">
        <v>1</v>
      </c>
      <c r="G248" s="5">
        <v>0</v>
      </c>
      <c r="H248" s="5">
        <v>1</v>
      </c>
      <c r="I248" s="5">
        <v>0</v>
      </c>
      <c r="J248" s="5">
        <v>30</v>
      </c>
      <c r="K248" s="61">
        <v>2</v>
      </c>
    </row>
    <row r="249" spans="2:11" ht="14.25" customHeight="1" x14ac:dyDescent="0.3">
      <c r="B249" s="5">
        <v>248</v>
      </c>
      <c r="C249" s="61">
        <v>13.71899965758343</v>
      </c>
      <c r="D249" s="5">
        <v>0</v>
      </c>
      <c r="E249" s="5">
        <v>0</v>
      </c>
      <c r="F249" s="5">
        <v>1</v>
      </c>
      <c r="G249" s="5">
        <v>0</v>
      </c>
      <c r="H249" s="5">
        <v>0</v>
      </c>
      <c r="I249" s="5">
        <v>0</v>
      </c>
      <c r="J249" s="5">
        <v>28</v>
      </c>
      <c r="K249" s="61">
        <v>8</v>
      </c>
    </row>
    <row r="250" spans="2:11" ht="14.25" customHeight="1" x14ac:dyDescent="0.3">
      <c r="B250" s="5">
        <v>249</v>
      </c>
      <c r="C250" s="61">
        <v>14.508657738524219</v>
      </c>
      <c r="D250" s="5">
        <v>1</v>
      </c>
      <c r="E250" s="5">
        <v>0</v>
      </c>
      <c r="F250" s="5">
        <v>0</v>
      </c>
      <c r="G250" s="5">
        <v>1</v>
      </c>
      <c r="H250" s="5">
        <v>1</v>
      </c>
      <c r="I250" s="5">
        <v>0</v>
      </c>
      <c r="J250" s="5">
        <v>25</v>
      </c>
      <c r="K250" s="61">
        <v>4</v>
      </c>
    </row>
    <row r="251" spans="2:11" ht="14.25" customHeight="1" x14ac:dyDescent="0.3">
      <c r="B251" s="5">
        <v>250</v>
      </c>
      <c r="C251" s="61">
        <v>13.815510557964274</v>
      </c>
      <c r="D251" s="5">
        <v>1</v>
      </c>
      <c r="E251" s="5">
        <v>0</v>
      </c>
      <c r="F251" s="5">
        <v>1</v>
      </c>
      <c r="G251" s="5">
        <v>0</v>
      </c>
      <c r="H251" s="5">
        <v>0</v>
      </c>
      <c r="I251" s="5">
        <v>1</v>
      </c>
      <c r="J251" s="5">
        <v>26</v>
      </c>
      <c r="K251" s="61">
        <v>3</v>
      </c>
    </row>
    <row r="252" spans="2:11" ht="14.25" customHeight="1" x14ac:dyDescent="0.3">
      <c r="B252" s="5">
        <v>251</v>
      </c>
      <c r="C252" s="61">
        <v>13.815510557964274</v>
      </c>
      <c r="D252" s="5">
        <v>1</v>
      </c>
      <c r="E252" s="5">
        <v>1</v>
      </c>
      <c r="F252" s="5">
        <v>0</v>
      </c>
      <c r="G252" s="5">
        <v>0</v>
      </c>
      <c r="H252" s="5">
        <v>0</v>
      </c>
      <c r="I252" s="5">
        <v>0</v>
      </c>
      <c r="J252" s="5">
        <v>24</v>
      </c>
      <c r="K252" s="61">
        <v>5</v>
      </c>
    </row>
    <row r="253" spans="2:11" ht="14.25" customHeight="1" x14ac:dyDescent="0.3">
      <c r="B253" s="5">
        <v>252</v>
      </c>
      <c r="C253" s="61">
        <v>13.71899965758343</v>
      </c>
      <c r="D253" s="5">
        <v>1</v>
      </c>
      <c r="E253" s="5">
        <v>1</v>
      </c>
      <c r="F253" s="5">
        <v>0</v>
      </c>
      <c r="G253" s="5">
        <v>0</v>
      </c>
      <c r="H253" s="5">
        <v>0</v>
      </c>
      <c r="I253" s="5">
        <v>1</v>
      </c>
      <c r="J253" s="5">
        <v>17</v>
      </c>
      <c r="K253" s="61">
        <v>5</v>
      </c>
    </row>
    <row r="254" spans="2:11" ht="14.25" customHeight="1" x14ac:dyDescent="0.3">
      <c r="B254" s="5">
        <v>253</v>
      </c>
      <c r="C254" s="61">
        <v>13.71899965758343</v>
      </c>
      <c r="D254" s="5">
        <v>1</v>
      </c>
      <c r="E254" s="5">
        <v>0</v>
      </c>
      <c r="F254" s="5">
        <v>1</v>
      </c>
      <c r="G254" s="5">
        <v>0</v>
      </c>
      <c r="H254" s="5">
        <v>1</v>
      </c>
      <c r="I254" s="5">
        <v>0</v>
      </c>
      <c r="J254" s="5">
        <v>18</v>
      </c>
      <c r="K254" s="61">
        <v>2</v>
      </c>
    </row>
    <row r="255" spans="2:11" ht="14.25" customHeight="1" x14ac:dyDescent="0.3">
      <c r="B255" s="5">
        <v>254</v>
      </c>
      <c r="C255" s="61">
        <v>14.508657738524219</v>
      </c>
      <c r="D255" s="5">
        <v>0</v>
      </c>
      <c r="E255" s="5">
        <v>1</v>
      </c>
      <c r="F255" s="5">
        <v>0</v>
      </c>
      <c r="G255" s="5">
        <v>0</v>
      </c>
      <c r="H255" s="5">
        <v>0</v>
      </c>
      <c r="I255" s="5">
        <v>1</v>
      </c>
      <c r="J255" s="5">
        <v>57</v>
      </c>
      <c r="K255" s="61">
        <v>25</v>
      </c>
    </row>
    <row r="256" spans="2:11" ht="14.25" customHeight="1" x14ac:dyDescent="0.3">
      <c r="B256" s="5">
        <v>255</v>
      </c>
      <c r="C256" s="61">
        <v>14.28551418721001</v>
      </c>
      <c r="D256" s="5">
        <v>1</v>
      </c>
      <c r="E256" s="5">
        <v>0</v>
      </c>
      <c r="F256" s="5">
        <v>1</v>
      </c>
      <c r="G256" s="5">
        <v>0</v>
      </c>
      <c r="H256" s="5">
        <v>0</v>
      </c>
      <c r="I256" s="5">
        <v>1</v>
      </c>
      <c r="J256" s="5">
        <v>32</v>
      </c>
      <c r="K256" s="61">
        <v>19</v>
      </c>
    </row>
    <row r="257" spans="2:11" ht="14.25" customHeight="1" x14ac:dyDescent="0.3">
      <c r="B257" s="5">
        <v>256</v>
      </c>
      <c r="C257" s="61">
        <v>14.403297222866392</v>
      </c>
      <c r="D257" s="5">
        <v>1</v>
      </c>
      <c r="E257" s="5">
        <v>0</v>
      </c>
      <c r="F257" s="5">
        <v>0</v>
      </c>
      <c r="G257" s="5">
        <v>1</v>
      </c>
      <c r="H257" s="5">
        <v>0</v>
      </c>
      <c r="I257" s="5">
        <v>1</v>
      </c>
      <c r="J257" s="5">
        <v>32</v>
      </c>
      <c r="K257" s="61">
        <v>10</v>
      </c>
    </row>
    <row r="258" spans="2:11" ht="14.25" customHeight="1" x14ac:dyDescent="0.3">
      <c r="B258" s="5">
        <v>257</v>
      </c>
      <c r="C258" s="61">
        <v>13.815510557964274</v>
      </c>
      <c r="D258" s="5">
        <v>1</v>
      </c>
      <c r="E258" s="5">
        <v>1</v>
      </c>
      <c r="F258" s="5">
        <v>0</v>
      </c>
      <c r="G258" s="5">
        <v>0</v>
      </c>
      <c r="H258" s="5">
        <v>0</v>
      </c>
      <c r="I258" s="5">
        <v>0</v>
      </c>
      <c r="J258" s="5">
        <v>27</v>
      </c>
      <c r="K258" s="61">
        <v>8</v>
      </c>
    </row>
    <row r="259" spans="2:11" ht="14.25" customHeight="1" x14ac:dyDescent="0.3">
      <c r="B259" s="5">
        <v>258</v>
      </c>
      <c r="C259" s="61">
        <v>14.914122846632385</v>
      </c>
      <c r="D259" s="5">
        <v>1</v>
      </c>
      <c r="E259" s="5">
        <v>0</v>
      </c>
      <c r="F259" s="5">
        <v>0</v>
      </c>
      <c r="G259" s="5">
        <v>1</v>
      </c>
      <c r="H259" s="5">
        <v>1</v>
      </c>
      <c r="I259" s="5">
        <v>0</v>
      </c>
      <c r="J259" s="5">
        <v>32</v>
      </c>
      <c r="K259" s="61">
        <v>15</v>
      </c>
    </row>
    <row r="260" spans="2:11" ht="14.25" customHeight="1" x14ac:dyDescent="0.3">
      <c r="B260" s="5">
        <v>259</v>
      </c>
      <c r="C260" s="61">
        <v>14.220975666072439</v>
      </c>
      <c r="D260" s="5">
        <v>0</v>
      </c>
      <c r="E260" s="5">
        <v>0</v>
      </c>
      <c r="F260" s="5">
        <v>1</v>
      </c>
      <c r="G260" s="5">
        <v>0</v>
      </c>
      <c r="H260" s="5">
        <v>0</v>
      </c>
      <c r="I260" s="5">
        <v>1</v>
      </c>
      <c r="J260" s="5">
        <v>27</v>
      </c>
      <c r="K260" s="61">
        <v>6</v>
      </c>
    </row>
    <row r="261" spans="2:11" ht="14.25" customHeight="1" x14ac:dyDescent="0.3">
      <c r="B261" s="5">
        <v>260</v>
      </c>
      <c r="C261" s="61">
        <v>14.151982794585487</v>
      </c>
      <c r="D261" s="5">
        <v>0</v>
      </c>
      <c r="E261" s="5">
        <v>1</v>
      </c>
      <c r="F261" s="5">
        <v>0</v>
      </c>
      <c r="G261" s="5">
        <v>0</v>
      </c>
      <c r="H261" s="5">
        <v>0</v>
      </c>
      <c r="I261" s="5">
        <v>1</v>
      </c>
      <c r="J261" s="5">
        <v>63</v>
      </c>
      <c r="K261" s="61">
        <v>50</v>
      </c>
    </row>
    <row r="262" spans="2:11" ht="14.25" customHeight="1" x14ac:dyDescent="0.3">
      <c r="B262" s="5">
        <v>261</v>
      </c>
      <c r="C262" s="61">
        <v>14.73180128983843</v>
      </c>
      <c r="D262" s="5">
        <v>0</v>
      </c>
      <c r="E262" s="5">
        <v>0</v>
      </c>
      <c r="F262" s="5">
        <v>1</v>
      </c>
      <c r="G262" s="5">
        <v>0</v>
      </c>
      <c r="H262" s="5">
        <v>1</v>
      </c>
      <c r="I262" s="5">
        <v>1</v>
      </c>
      <c r="J262" s="5">
        <v>30</v>
      </c>
      <c r="K262" s="61">
        <v>8</v>
      </c>
    </row>
    <row r="263" spans="2:11" ht="14.25" customHeight="1" x14ac:dyDescent="0.3">
      <c r="B263" s="5">
        <v>262</v>
      </c>
      <c r="C263" s="61">
        <v>14.457364444136669</v>
      </c>
      <c r="D263" s="5">
        <v>0</v>
      </c>
      <c r="E263" s="5">
        <v>0</v>
      </c>
      <c r="F263" s="5">
        <v>1</v>
      </c>
      <c r="G263" s="5">
        <v>0</v>
      </c>
      <c r="H263" s="5">
        <v>1</v>
      </c>
      <c r="I263" s="5">
        <v>1</v>
      </c>
      <c r="J263" s="5">
        <v>29</v>
      </c>
      <c r="K263" s="61">
        <v>5</v>
      </c>
    </row>
    <row r="264" spans="2:11" ht="14.25" customHeight="1" x14ac:dyDescent="0.3">
      <c r="B264" s="5">
        <v>263</v>
      </c>
      <c r="C264" s="61">
        <v>15.068273526459642</v>
      </c>
      <c r="D264" s="5">
        <v>1</v>
      </c>
      <c r="E264" s="5">
        <v>0</v>
      </c>
      <c r="F264" s="5">
        <v>0</v>
      </c>
      <c r="G264" s="5">
        <v>1</v>
      </c>
      <c r="H264" s="5">
        <v>0</v>
      </c>
      <c r="I264" s="5">
        <v>0</v>
      </c>
      <c r="J264" s="5">
        <v>28</v>
      </c>
      <c r="K264" s="61">
        <v>10</v>
      </c>
    </row>
    <row r="265" spans="2:11" ht="14.25" customHeight="1" x14ac:dyDescent="0.3">
      <c r="B265" s="5">
        <v>264</v>
      </c>
      <c r="C265" s="61">
        <v>13.997832114758229</v>
      </c>
      <c r="D265" s="5">
        <v>1</v>
      </c>
      <c r="E265" s="5">
        <v>0</v>
      </c>
      <c r="F265" s="5">
        <v>0</v>
      </c>
      <c r="G265" s="5">
        <v>1</v>
      </c>
      <c r="H265" s="5">
        <v>0</v>
      </c>
      <c r="I265" s="5">
        <v>1</v>
      </c>
      <c r="J265" s="5">
        <v>24</v>
      </c>
      <c r="K265" s="61">
        <v>2</v>
      </c>
    </row>
    <row r="266" spans="2:11" ht="14.25" customHeight="1" x14ac:dyDescent="0.3">
      <c r="B266" s="5">
        <v>265</v>
      </c>
      <c r="C266" s="61">
        <v>13.815510557964274</v>
      </c>
      <c r="D266" s="5">
        <v>1</v>
      </c>
      <c r="E266" s="5">
        <v>0</v>
      </c>
      <c r="F266" s="5">
        <v>1</v>
      </c>
      <c r="G266" s="5">
        <v>0</v>
      </c>
      <c r="H266" s="5">
        <v>0</v>
      </c>
      <c r="I266" s="5">
        <v>1</v>
      </c>
      <c r="J266" s="5">
        <v>27</v>
      </c>
      <c r="K266" s="61">
        <v>1</v>
      </c>
    </row>
    <row r="267" spans="2:11" ht="14.25" customHeight="1" x14ac:dyDescent="0.3">
      <c r="B267" s="5">
        <v>266</v>
      </c>
      <c r="C267" s="61">
        <v>13.815510557964274</v>
      </c>
      <c r="D267" s="5">
        <v>0</v>
      </c>
      <c r="E267" s="5">
        <v>1</v>
      </c>
      <c r="F267" s="5">
        <v>0</v>
      </c>
      <c r="G267" s="5">
        <v>0</v>
      </c>
      <c r="H267" s="5">
        <v>0</v>
      </c>
      <c r="I267" s="5">
        <v>0</v>
      </c>
      <c r="J267" s="5">
        <v>26</v>
      </c>
      <c r="K267" s="61">
        <v>0.5</v>
      </c>
    </row>
    <row r="268" spans="2:11" ht="14.25" customHeight="1" x14ac:dyDescent="0.3">
      <c r="B268" s="5">
        <v>267</v>
      </c>
      <c r="C268" s="61">
        <v>14.845129975145433</v>
      </c>
      <c r="D268" s="5">
        <v>0</v>
      </c>
      <c r="E268" s="5">
        <v>0</v>
      </c>
      <c r="F268" s="5">
        <v>0</v>
      </c>
      <c r="G268" s="5">
        <v>1</v>
      </c>
      <c r="H268" s="5">
        <v>1</v>
      </c>
      <c r="I268" s="5">
        <v>1</v>
      </c>
      <c r="J268" s="5">
        <v>52</v>
      </c>
      <c r="K268" s="61">
        <v>6</v>
      </c>
    </row>
    <row r="269" spans="2:11" ht="14.25" customHeight="1" x14ac:dyDescent="0.3">
      <c r="B269" s="5">
        <v>268</v>
      </c>
      <c r="C269" s="61">
        <v>14.316285845876763</v>
      </c>
      <c r="D269" s="5">
        <v>1</v>
      </c>
      <c r="E269" s="5">
        <v>0</v>
      </c>
      <c r="F269" s="5">
        <v>1</v>
      </c>
      <c r="G269" s="5">
        <v>0</v>
      </c>
      <c r="H269" s="5">
        <v>1</v>
      </c>
      <c r="I269" s="5">
        <v>0</v>
      </c>
      <c r="J269" s="5">
        <v>26</v>
      </c>
      <c r="K269" s="61">
        <v>0.5</v>
      </c>
    </row>
    <row r="270" spans="2:11" ht="14.25" customHeight="1" x14ac:dyDescent="0.3">
      <c r="B270" s="5">
        <v>269</v>
      </c>
      <c r="C270" s="61">
        <v>15.068273526459642</v>
      </c>
      <c r="D270" s="5">
        <v>1</v>
      </c>
      <c r="E270" s="5">
        <v>0</v>
      </c>
      <c r="F270" s="5">
        <v>0</v>
      </c>
      <c r="G270" s="5">
        <v>1</v>
      </c>
      <c r="H270" s="5">
        <v>1</v>
      </c>
      <c r="I270" s="5">
        <v>0</v>
      </c>
      <c r="J270" s="5">
        <v>40</v>
      </c>
      <c r="K270" s="61">
        <v>7</v>
      </c>
    </row>
    <row r="271" spans="2:11" ht="14.25" customHeight="1" x14ac:dyDescent="0.3">
      <c r="B271" s="5">
        <v>270</v>
      </c>
      <c r="C271" s="61">
        <v>13.815510557964274</v>
      </c>
      <c r="D271" s="5">
        <v>1</v>
      </c>
      <c r="E271" s="5">
        <v>0</v>
      </c>
      <c r="F271" s="5">
        <v>1</v>
      </c>
      <c r="G271" s="5">
        <v>0</v>
      </c>
      <c r="H271" s="5">
        <v>0</v>
      </c>
      <c r="I271" s="5">
        <v>0</v>
      </c>
      <c r="J271" s="5">
        <v>23</v>
      </c>
      <c r="K271" s="61">
        <v>3</v>
      </c>
    </row>
    <row r="272" spans="2:11" ht="14.25" customHeight="1" x14ac:dyDescent="0.3">
      <c r="B272" s="5">
        <v>271</v>
      </c>
      <c r="C272" s="61">
        <v>14.914122846632385</v>
      </c>
      <c r="D272" s="5">
        <v>0</v>
      </c>
      <c r="E272" s="5">
        <v>0</v>
      </c>
      <c r="F272" s="5">
        <v>0</v>
      </c>
      <c r="G272" s="5">
        <v>1</v>
      </c>
      <c r="H272" s="5">
        <v>1</v>
      </c>
      <c r="I272" s="5">
        <v>0</v>
      </c>
      <c r="J272" s="5">
        <v>27</v>
      </c>
      <c r="K272" s="61">
        <v>3</v>
      </c>
    </row>
    <row r="273" spans="2:11" ht="14.25" customHeight="1" x14ac:dyDescent="0.3">
      <c r="B273" s="5">
        <v>272</v>
      </c>
      <c r="C273" s="61">
        <v>13.815510557964274</v>
      </c>
      <c r="D273" s="5">
        <v>1</v>
      </c>
      <c r="E273" s="5">
        <v>0</v>
      </c>
      <c r="F273" s="5">
        <v>0</v>
      </c>
      <c r="G273" s="5">
        <v>1</v>
      </c>
      <c r="H273" s="5">
        <v>0</v>
      </c>
      <c r="I273" s="5">
        <v>1</v>
      </c>
      <c r="J273" s="5">
        <v>25</v>
      </c>
      <c r="K273" s="61">
        <v>2</v>
      </c>
    </row>
    <row r="274" spans="2:11" ht="14.25" customHeight="1" x14ac:dyDescent="0.3">
      <c r="B274" s="5">
        <v>273</v>
      </c>
      <c r="C274" s="61">
        <v>13.815510557964274</v>
      </c>
      <c r="D274" s="5">
        <v>1</v>
      </c>
      <c r="E274" s="5">
        <v>1</v>
      </c>
      <c r="F274" s="5">
        <v>0</v>
      </c>
      <c r="G274" s="5">
        <v>0</v>
      </c>
      <c r="H274" s="5">
        <v>0</v>
      </c>
      <c r="I274" s="5">
        <v>1</v>
      </c>
      <c r="J274" s="5">
        <v>28</v>
      </c>
      <c r="K274" s="61">
        <v>6</v>
      </c>
    </row>
    <row r="275" spans="2:11" ht="14.25" customHeight="1" x14ac:dyDescent="0.3">
      <c r="B275" s="5">
        <v>274</v>
      </c>
      <c r="C275" s="61">
        <v>13.815510557964274</v>
      </c>
      <c r="D275" s="5">
        <v>1</v>
      </c>
      <c r="E275" s="5">
        <v>0</v>
      </c>
      <c r="F275" s="5">
        <v>0</v>
      </c>
      <c r="G275" s="5">
        <v>1</v>
      </c>
      <c r="H275" s="5">
        <v>0</v>
      </c>
      <c r="I275" s="5">
        <v>1</v>
      </c>
      <c r="J275" s="5">
        <v>30</v>
      </c>
      <c r="K275" s="61">
        <v>3</v>
      </c>
    </row>
    <row r="276" spans="2:11" ht="14.25" customHeight="1" x14ac:dyDescent="0.3">
      <c r="B276" s="5">
        <v>275</v>
      </c>
      <c r="C276" s="61">
        <v>13.815510557964274</v>
      </c>
      <c r="D276" s="5">
        <v>1</v>
      </c>
      <c r="E276" s="5">
        <v>1</v>
      </c>
      <c r="F276" s="5">
        <v>0</v>
      </c>
      <c r="G276" s="5">
        <v>0</v>
      </c>
      <c r="H276" s="5">
        <v>0</v>
      </c>
      <c r="I276" s="5">
        <v>0</v>
      </c>
      <c r="J276" s="5">
        <v>50</v>
      </c>
      <c r="K276" s="61">
        <v>15</v>
      </c>
    </row>
    <row r="277" spans="2:11" ht="14.25" customHeight="1" x14ac:dyDescent="0.3">
      <c r="B277" s="5">
        <v>276</v>
      </c>
      <c r="C277" s="61">
        <v>13.815510557964274</v>
      </c>
      <c r="D277" s="5">
        <v>1</v>
      </c>
      <c r="E277" s="5">
        <v>1</v>
      </c>
      <c r="F277" s="5">
        <v>0</v>
      </c>
      <c r="G277" s="5">
        <v>0</v>
      </c>
      <c r="H277" s="5">
        <v>0</v>
      </c>
      <c r="I277" s="5">
        <v>0</v>
      </c>
      <c r="J277" s="5">
        <v>43</v>
      </c>
      <c r="K277" s="61">
        <v>4</v>
      </c>
    </row>
    <row r="278" spans="2:11" ht="14.25" customHeight="1" x14ac:dyDescent="0.3">
      <c r="B278" s="5">
        <v>277</v>
      </c>
      <c r="C278" s="61">
        <v>13.997832114758229</v>
      </c>
      <c r="D278" s="5">
        <v>0</v>
      </c>
      <c r="E278" s="5">
        <v>0</v>
      </c>
      <c r="F278" s="5">
        <v>1</v>
      </c>
      <c r="G278" s="5">
        <v>0</v>
      </c>
      <c r="H278" s="5">
        <v>0</v>
      </c>
      <c r="I278" s="5">
        <v>1</v>
      </c>
      <c r="J278" s="5">
        <v>28</v>
      </c>
      <c r="K278" s="61">
        <v>4</v>
      </c>
    </row>
    <row r="279" spans="2:11" ht="14.25" customHeight="1" x14ac:dyDescent="0.3">
      <c r="B279" s="5">
        <v>278</v>
      </c>
      <c r="C279" s="61">
        <v>13.997832114758229</v>
      </c>
      <c r="D279" s="5">
        <v>1</v>
      </c>
      <c r="E279" s="5">
        <v>1</v>
      </c>
      <c r="F279" s="5">
        <v>0</v>
      </c>
      <c r="G279" s="5">
        <v>0</v>
      </c>
      <c r="H279" s="5">
        <v>0</v>
      </c>
      <c r="I279" s="5">
        <v>0</v>
      </c>
      <c r="J279" s="5">
        <v>23</v>
      </c>
      <c r="K279" s="61">
        <v>2</v>
      </c>
    </row>
    <row r="280" spans="2:11" ht="14.25" customHeight="1" x14ac:dyDescent="0.3">
      <c r="B280" s="5">
        <v>279</v>
      </c>
      <c r="C280" s="61">
        <v>14.077874822431765</v>
      </c>
      <c r="D280" s="5">
        <v>0</v>
      </c>
      <c r="E280" s="5">
        <v>0</v>
      </c>
      <c r="F280" s="5">
        <v>1</v>
      </c>
      <c r="G280" s="5">
        <v>0</v>
      </c>
      <c r="H280" s="5">
        <v>1</v>
      </c>
      <c r="I280" s="5">
        <v>0</v>
      </c>
      <c r="J280" s="5">
        <v>31</v>
      </c>
      <c r="K280" s="61">
        <v>7</v>
      </c>
    </row>
    <row r="281" spans="2:11" ht="14.25" customHeight="1" x14ac:dyDescent="0.3">
      <c r="B281" s="5">
        <v>280</v>
      </c>
      <c r="C281" s="61">
        <v>13.815510557964274</v>
      </c>
      <c r="D281" s="5">
        <v>1</v>
      </c>
      <c r="E281" s="5">
        <v>1</v>
      </c>
      <c r="F281" s="5">
        <v>0</v>
      </c>
      <c r="G281" s="5">
        <v>0</v>
      </c>
      <c r="H281" s="5">
        <v>0</v>
      </c>
      <c r="I281" s="5">
        <v>1</v>
      </c>
      <c r="J281" s="5">
        <v>18</v>
      </c>
      <c r="K281" s="61">
        <v>1</v>
      </c>
    </row>
    <row r="282" spans="2:11" ht="14.25" customHeight="1" x14ac:dyDescent="0.3">
      <c r="B282" s="5">
        <v>281</v>
      </c>
      <c r="C282" s="61">
        <v>15.687312734865866</v>
      </c>
      <c r="D282" s="5">
        <v>0</v>
      </c>
      <c r="E282" s="5">
        <v>0</v>
      </c>
      <c r="F282" s="5">
        <v>0</v>
      </c>
      <c r="G282" s="5">
        <v>1</v>
      </c>
      <c r="H282" s="5">
        <v>1</v>
      </c>
      <c r="I282" s="5">
        <v>1</v>
      </c>
      <c r="J282" s="5">
        <v>54</v>
      </c>
      <c r="K282" s="61">
        <v>30</v>
      </c>
    </row>
    <row r="283" spans="2:11" ht="14.25" customHeight="1" x14ac:dyDescent="0.3">
      <c r="B283" s="5">
        <v>282</v>
      </c>
      <c r="C283" s="61">
        <v>14.73180128983843</v>
      </c>
      <c r="D283" s="5">
        <v>0</v>
      </c>
      <c r="E283" s="5">
        <v>0</v>
      </c>
      <c r="F283" s="5">
        <v>0</v>
      </c>
      <c r="G283" s="5">
        <v>1</v>
      </c>
      <c r="H283" s="5">
        <v>1</v>
      </c>
      <c r="I283" s="5">
        <v>1</v>
      </c>
      <c r="J283" s="5">
        <v>39</v>
      </c>
      <c r="K283" s="61">
        <v>1</v>
      </c>
    </row>
    <row r="284" spans="2:11" ht="14.25" customHeight="1" x14ac:dyDescent="0.3">
      <c r="B284" s="5">
        <v>283</v>
      </c>
      <c r="C284" s="61">
        <v>14.346138809026444</v>
      </c>
      <c r="D284" s="5">
        <v>1</v>
      </c>
      <c r="E284" s="5">
        <v>0</v>
      </c>
      <c r="F284" s="5">
        <v>1</v>
      </c>
      <c r="G284" s="5">
        <v>0</v>
      </c>
      <c r="H284" s="5">
        <v>0</v>
      </c>
      <c r="I284" s="5">
        <v>1</v>
      </c>
      <c r="J284" s="5">
        <v>24</v>
      </c>
      <c r="K284" s="61">
        <v>4</v>
      </c>
    </row>
    <row r="285" spans="2:11" ht="14.25" customHeight="1" x14ac:dyDescent="0.3">
      <c r="B285" s="5">
        <v>284</v>
      </c>
      <c r="C285" s="61">
        <v>13.761054372168216</v>
      </c>
      <c r="D285" s="5">
        <v>1</v>
      </c>
      <c r="E285" s="5">
        <v>1</v>
      </c>
      <c r="F285" s="5">
        <v>0</v>
      </c>
      <c r="G285" s="5">
        <v>0</v>
      </c>
      <c r="H285" s="5">
        <v>0</v>
      </c>
      <c r="I285" s="5">
        <v>0</v>
      </c>
      <c r="J285" s="5">
        <v>25</v>
      </c>
      <c r="K285" s="61">
        <v>6</v>
      </c>
    </row>
    <row r="286" spans="2:11" ht="14.25" customHeight="1" x14ac:dyDescent="0.3">
      <c r="B286" s="5">
        <v>285</v>
      </c>
      <c r="C286" s="61">
        <v>13.710150042306449</v>
      </c>
      <c r="D286" s="5">
        <v>1</v>
      </c>
      <c r="E286" s="5">
        <v>1</v>
      </c>
      <c r="F286" s="5">
        <v>0</v>
      </c>
      <c r="G286" s="5">
        <v>0</v>
      </c>
      <c r="H286" s="5">
        <v>0</v>
      </c>
      <c r="I286" s="5">
        <v>0</v>
      </c>
      <c r="J286" s="5">
        <v>19</v>
      </c>
      <c r="K286" s="61">
        <v>5</v>
      </c>
    </row>
    <row r="287" spans="2:11" ht="14.25" customHeight="1" x14ac:dyDescent="0.3">
      <c r="B287" s="5">
        <v>286</v>
      </c>
      <c r="C287" s="61">
        <v>14.220975666072439</v>
      </c>
      <c r="D287" s="5">
        <v>1</v>
      </c>
      <c r="E287" s="5">
        <v>0</v>
      </c>
      <c r="F287" s="5">
        <v>1</v>
      </c>
      <c r="G287" s="5">
        <v>0</v>
      </c>
      <c r="H287" s="5">
        <v>1</v>
      </c>
      <c r="I287" s="5">
        <v>0</v>
      </c>
      <c r="J287" s="5">
        <v>49</v>
      </c>
      <c r="K287" s="61">
        <v>6</v>
      </c>
    </row>
    <row r="288" spans="2:11" ht="14.25" customHeight="1" x14ac:dyDescent="0.3">
      <c r="B288" s="5">
        <v>287</v>
      </c>
      <c r="C288" s="61">
        <v>14.557447902693651</v>
      </c>
      <c r="D288" s="5">
        <v>1</v>
      </c>
      <c r="E288" s="5">
        <v>0</v>
      </c>
      <c r="F288" s="5">
        <v>1</v>
      </c>
      <c r="G288" s="5">
        <v>0</v>
      </c>
      <c r="H288" s="5">
        <v>0</v>
      </c>
      <c r="I288" s="5">
        <v>1</v>
      </c>
      <c r="J288" s="5">
        <v>37</v>
      </c>
      <c r="K288" s="61">
        <v>1</v>
      </c>
    </row>
    <row r="289" spans="2:11" ht="14.25" customHeight="1" x14ac:dyDescent="0.3">
      <c r="B289" s="5">
        <v>288</v>
      </c>
      <c r="C289" s="61">
        <v>14.73180128983843</v>
      </c>
      <c r="D289" s="5">
        <v>1</v>
      </c>
      <c r="E289" s="5">
        <v>0</v>
      </c>
      <c r="F289" s="5">
        <v>0</v>
      </c>
      <c r="G289" s="5">
        <v>1</v>
      </c>
      <c r="H289" s="5">
        <v>1</v>
      </c>
      <c r="I289" s="5">
        <v>0</v>
      </c>
      <c r="J289" s="5">
        <v>34</v>
      </c>
      <c r="K289" s="61">
        <v>2</v>
      </c>
    </row>
    <row r="290" spans="2:11" ht="14.25" customHeight="1" x14ac:dyDescent="0.3">
      <c r="B290" s="5">
        <v>289</v>
      </c>
      <c r="C290" s="61">
        <v>14.508657738524219</v>
      </c>
      <c r="D290" s="5">
        <v>1</v>
      </c>
      <c r="E290" s="5">
        <v>0</v>
      </c>
      <c r="F290" s="5">
        <v>1</v>
      </c>
      <c r="G290" s="5">
        <v>0</v>
      </c>
      <c r="H290" s="5">
        <v>1</v>
      </c>
      <c r="I290" s="5">
        <v>0</v>
      </c>
      <c r="J290" s="5">
        <v>28</v>
      </c>
      <c r="K290" s="61">
        <v>1</v>
      </c>
    </row>
    <row r="291" spans="2:11" ht="14.25" customHeight="1" x14ac:dyDescent="0.3">
      <c r="B291" s="5">
        <v>290</v>
      </c>
      <c r="C291" s="61">
        <v>13.815510557964274</v>
      </c>
      <c r="D291" s="5">
        <v>1</v>
      </c>
      <c r="E291" s="5">
        <v>0</v>
      </c>
      <c r="F291" s="5">
        <v>0</v>
      </c>
      <c r="G291" s="5">
        <v>1</v>
      </c>
      <c r="H291" s="5">
        <v>0</v>
      </c>
      <c r="I291" s="5">
        <v>1</v>
      </c>
      <c r="J291" s="5">
        <v>57</v>
      </c>
      <c r="K291" s="61">
        <v>4</v>
      </c>
    </row>
    <row r="292" spans="2:11" ht="14.25" customHeight="1" x14ac:dyDescent="0.3">
      <c r="B292" s="5">
        <v>291</v>
      </c>
      <c r="C292" s="61">
        <v>14.077874822431765</v>
      </c>
      <c r="D292" s="5">
        <v>1</v>
      </c>
      <c r="E292" s="5">
        <v>0</v>
      </c>
      <c r="F292" s="5">
        <v>1</v>
      </c>
      <c r="G292" s="5">
        <v>0</v>
      </c>
      <c r="H292" s="5">
        <v>0</v>
      </c>
      <c r="I292" s="5">
        <v>0</v>
      </c>
      <c r="J292" s="5">
        <v>42</v>
      </c>
      <c r="K292" s="61">
        <v>6</v>
      </c>
    </row>
    <row r="293" spans="2:11" ht="14.25" customHeight="1" x14ac:dyDescent="0.3">
      <c r="B293" s="5">
        <v>292</v>
      </c>
      <c r="C293" s="61">
        <v>14.508657738524219</v>
      </c>
      <c r="D293" s="5">
        <v>0</v>
      </c>
      <c r="E293" s="5">
        <v>0</v>
      </c>
      <c r="F293" s="5">
        <v>0</v>
      </c>
      <c r="G293" s="5">
        <v>1</v>
      </c>
      <c r="H293" s="5">
        <v>0</v>
      </c>
      <c r="I293" s="5">
        <v>1</v>
      </c>
      <c r="J293" s="5">
        <v>28</v>
      </c>
      <c r="K293" s="61">
        <v>3</v>
      </c>
    </row>
    <row r="294" spans="2:11" ht="14.25" customHeight="1" x14ac:dyDescent="0.3">
      <c r="B294" s="5">
        <v>293</v>
      </c>
      <c r="C294" s="61">
        <v>13.805247068081936</v>
      </c>
      <c r="D294" s="5">
        <v>1</v>
      </c>
      <c r="E294" s="5">
        <v>0</v>
      </c>
      <c r="F294" s="5">
        <v>1</v>
      </c>
      <c r="G294" s="5">
        <v>0</v>
      </c>
      <c r="H294" s="5">
        <v>0</v>
      </c>
      <c r="I294" s="5">
        <v>0</v>
      </c>
      <c r="J294" s="5">
        <v>26</v>
      </c>
      <c r="K294" s="61">
        <v>6</v>
      </c>
    </row>
    <row r="295" spans="2:11" ht="14.25" customHeight="1" x14ac:dyDescent="0.3">
      <c r="B295" s="5">
        <v>294</v>
      </c>
      <c r="C295" s="61">
        <v>14.914122846632385</v>
      </c>
      <c r="D295" s="5">
        <v>1</v>
      </c>
      <c r="E295" s="5">
        <v>0</v>
      </c>
      <c r="F295" s="5">
        <v>0</v>
      </c>
      <c r="G295" s="5">
        <v>1</v>
      </c>
      <c r="H295" s="5">
        <v>0</v>
      </c>
      <c r="I295" s="5">
        <v>1</v>
      </c>
      <c r="J295" s="5">
        <v>25</v>
      </c>
      <c r="K295" s="61">
        <v>8</v>
      </c>
    </row>
    <row r="296" spans="2:11" ht="14.25" customHeight="1" x14ac:dyDescent="0.3">
      <c r="B296" s="5">
        <v>295</v>
      </c>
      <c r="C296" s="61">
        <v>15.424948470398375</v>
      </c>
      <c r="D296" s="5">
        <v>1</v>
      </c>
      <c r="E296" s="5">
        <v>0</v>
      </c>
      <c r="F296" s="5">
        <v>0</v>
      </c>
      <c r="G296" s="5">
        <v>1</v>
      </c>
      <c r="H296" s="5">
        <v>1</v>
      </c>
      <c r="I296" s="5">
        <v>1</v>
      </c>
      <c r="J296" s="5">
        <v>53</v>
      </c>
      <c r="K296" s="61">
        <v>25</v>
      </c>
    </row>
    <row r="297" spans="2:11" ht="14.25" customHeight="1" x14ac:dyDescent="0.3">
      <c r="B297" s="5">
        <v>296</v>
      </c>
      <c r="C297" s="61">
        <v>14.077874822431765</v>
      </c>
      <c r="D297" s="5">
        <v>1</v>
      </c>
      <c r="E297" s="5">
        <v>0</v>
      </c>
      <c r="F297" s="5">
        <v>0</v>
      </c>
      <c r="G297" s="5">
        <v>1</v>
      </c>
      <c r="H297" s="5">
        <v>1</v>
      </c>
      <c r="I297" s="5">
        <v>1</v>
      </c>
      <c r="J297" s="5">
        <v>44</v>
      </c>
      <c r="K297" s="61">
        <v>25</v>
      </c>
    </row>
    <row r="298" spans="2:11" ht="14.25" customHeight="1" x14ac:dyDescent="0.3">
      <c r="B298" s="5">
        <v>297</v>
      </c>
      <c r="C298" s="61">
        <v>14.946912669455374</v>
      </c>
      <c r="D298" s="5">
        <v>0</v>
      </c>
      <c r="E298" s="5">
        <v>0</v>
      </c>
      <c r="F298" s="5">
        <v>0</v>
      </c>
      <c r="G298" s="5">
        <v>1</v>
      </c>
      <c r="H298" s="5">
        <v>1</v>
      </c>
      <c r="I298" s="5">
        <v>0</v>
      </c>
      <c r="J298" s="5">
        <v>36</v>
      </c>
      <c r="K298" s="61">
        <v>12</v>
      </c>
    </row>
    <row r="299" spans="2:11" ht="14.25" customHeight="1" x14ac:dyDescent="0.3">
      <c r="B299" s="5">
        <v>298</v>
      </c>
      <c r="C299" s="61">
        <v>14.220975666072439</v>
      </c>
      <c r="D299" s="5">
        <v>0</v>
      </c>
      <c r="E299" s="5">
        <v>0</v>
      </c>
      <c r="F299" s="5">
        <v>0</v>
      </c>
      <c r="G299" s="5">
        <v>1</v>
      </c>
      <c r="H299" s="5">
        <v>1</v>
      </c>
      <c r="I299" s="5">
        <v>1</v>
      </c>
      <c r="J299" s="5">
        <v>38</v>
      </c>
      <c r="K299" s="61">
        <v>15</v>
      </c>
    </row>
    <row r="300" spans="2:11" ht="14.25" customHeight="1" x14ac:dyDescent="0.3">
      <c r="B300" s="5">
        <v>299</v>
      </c>
      <c r="C300" s="61">
        <v>14.808762330974558</v>
      </c>
      <c r="D300" s="5">
        <v>0</v>
      </c>
      <c r="E300" s="5">
        <v>0</v>
      </c>
      <c r="F300" s="5">
        <v>0</v>
      </c>
      <c r="G300" s="5">
        <v>1</v>
      </c>
      <c r="H300" s="5">
        <v>0</v>
      </c>
      <c r="I300" s="5">
        <v>1</v>
      </c>
      <c r="J300" s="5">
        <v>39</v>
      </c>
      <c r="K300" s="61">
        <v>7</v>
      </c>
    </row>
    <row r="301" spans="2:11" ht="14.25" customHeight="1" x14ac:dyDescent="0.3">
      <c r="B301" s="5">
        <v>300</v>
      </c>
      <c r="C301" s="61">
        <v>14.73180128983843</v>
      </c>
      <c r="D301" s="5">
        <v>0</v>
      </c>
      <c r="E301" s="5">
        <v>0</v>
      </c>
      <c r="F301" s="5">
        <v>1</v>
      </c>
      <c r="G301" s="5">
        <v>0</v>
      </c>
      <c r="H301" s="5">
        <v>1</v>
      </c>
      <c r="I301" s="5">
        <v>1</v>
      </c>
      <c r="J301" s="5">
        <v>27</v>
      </c>
      <c r="K301" s="61">
        <v>3</v>
      </c>
    </row>
    <row r="302" spans="2:11" ht="14.25" customHeight="1" x14ac:dyDescent="0.3">
      <c r="B302" s="5">
        <v>301</v>
      </c>
      <c r="C302" s="61">
        <v>14.978661367769956</v>
      </c>
      <c r="D302" s="5">
        <v>1</v>
      </c>
      <c r="E302" s="5">
        <v>0</v>
      </c>
      <c r="F302" s="5">
        <v>0</v>
      </c>
      <c r="G302" s="5">
        <v>1</v>
      </c>
      <c r="H302" s="5">
        <v>1</v>
      </c>
      <c r="I302" s="5">
        <v>1</v>
      </c>
      <c r="J302" s="5">
        <v>53</v>
      </c>
      <c r="K302" s="61">
        <v>26</v>
      </c>
    </row>
    <row r="303" spans="2:11" ht="14.25" customHeight="1" x14ac:dyDescent="0.3">
      <c r="B303" s="5">
        <v>302</v>
      </c>
      <c r="C303" s="61">
        <v>15.424948470398375</v>
      </c>
      <c r="D303" s="5">
        <v>1</v>
      </c>
      <c r="E303" s="5">
        <v>0</v>
      </c>
      <c r="F303" s="5">
        <v>1</v>
      </c>
      <c r="G303" s="5">
        <v>0</v>
      </c>
      <c r="H303" s="5">
        <v>0</v>
      </c>
      <c r="I303" s="5">
        <v>1</v>
      </c>
      <c r="J303" s="5">
        <v>42</v>
      </c>
      <c r="K303" s="61">
        <v>22</v>
      </c>
    </row>
    <row r="304" spans="2:11" ht="14.25" customHeight="1" x14ac:dyDescent="0.3">
      <c r="B304" s="5">
        <v>303</v>
      </c>
      <c r="C304" s="61">
        <v>14.28551418721001</v>
      </c>
      <c r="D304" s="5">
        <v>0</v>
      </c>
      <c r="E304" s="5">
        <v>0</v>
      </c>
      <c r="F304" s="5">
        <v>1</v>
      </c>
      <c r="G304" s="5">
        <v>0</v>
      </c>
      <c r="H304" s="5">
        <v>1</v>
      </c>
      <c r="I304" s="5">
        <v>1</v>
      </c>
      <c r="J304" s="5">
        <v>30</v>
      </c>
      <c r="K304" s="61">
        <v>6</v>
      </c>
    </row>
    <row r="305" spans="2:11" ht="14.25" customHeight="1" x14ac:dyDescent="0.3">
      <c r="B305" s="5">
        <v>304</v>
      </c>
      <c r="C305" s="61">
        <v>14.508657738524219</v>
      </c>
      <c r="D305" s="5">
        <v>1</v>
      </c>
      <c r="E305" s="5">
        <v>0</v>
      </c>
      <c r="F305" s="5">
        <v>0</v>
      </c>
      <c r="G305" s="5">
        <v>1</v>
      </c>
      <c r="H305" s="5">
        <v>1</v>
      </c>
      <c r="I305" s="5">
        <v>1</v>
      </c>
      <c r="J305" s="5">
        <v>47</v>
      </c>
      <c r="K305" s="61">
        <v>25</v>
      </c>
    </row>
    <row r="306" spans="2:11" ht="14.25" customHeight="1" x14ac:dyDescent="0.3">
      <c r="B306" s="5">
        <v>305</v>
      </c>
      <c r="C306" s="61">
        <v>14.845129975145433</v>
      </c>
      <c r="D306" s="5">
        <v>1</v>
      </c>
      <c r="E306" s="5">
        <v>0</v>
      </c>
      <c r="F306" s="5">
        <v>0</v>
      </c>
      <c r="G306" s="5">
        <v>1</v>
      </c>
      <c r="H306" s="5">
        <v>1</v>
      </c>
      <c r="I306" s="5">
        <v>0</v>
      </c>
      <c r="J306" s="5">
        <v>46</v>
      </c>
      <c r="K306" s="61">
        <v>18</v>
      </c>
    </row>
    <row r="307" spans="2:11" ht="14.25" customHeight="1" x14ac:dyDescent="0.3">
      <c r="B307" s="5">
        <v>306</v>
      </c>
      <c r="C307" s="61">
        <v>14.077874822431765</v>
      </c>
      <c r="D307" s="5">
        <v>1</v>
      </c>
      <c r="E307" s="5">
        <v>1</v>
      </c>
      <c r="F307" s="5">
        <v>0</v>
      </c>
      <c r="G307" s="5">
        <v>0</v>
      </c>
      <c r="H307" s="5">
        <v>0</v>
      </c>
      <c r="I307" s="5">
        <v>1</v>
      </c>
      <c r="J307" s="5">
        <v>22</v>
      </c>
      <c r="K307" s="61">
        <v>4</v>
      </c>
    </row>
    <row r="308" spans="2:11" ht="14.25" customHeight="1" x14ac:dyDescent="0.3">
      <c r="B308" s="5">
        <v>307</v>
      </c>
      <c r="C308" s="61">
        <v>15.068273526459642</v>
      </c>
      <c r="D308" s="5">
        <v>0</v>
      </c>
      <c r="E308" s="5">
        <v>0</v>
      </c>
      <c r="F308" s="5">
        <v>0</v>
      </c>
      <c r="G308" s="5">
        <v>1</v>
      </c>
      <c r="H308" s="5">
        <v>1</v>
      </c>
      <c r="I308" s="5">
        <v>1</v>
      </c>
      <c r="J308" s="5">
        <v>65</v>
      </c>
      <c r="K308" s="61">
        <v>25</v>
      </c>
    </row>
    <row r="309" spans="2:11" ht="14.25" customHeight="1" x14ac:dyDescent="0.3">
      <c r="B309" s="5">
        <v>308</v>
      </c>
      <c r="C309" s="61">
        <v>14.220975666072439</v>
      </c>
      <c r="D309" s="5">
        <v>1</v>
      </c>
      <c r="E309" s="5">
        <v>0</v>
      </c>
      <c r="F309" s="5">
        <v>0</v>
      </c>
      <c r="G309" s="5">
        <v>1</v>
      </c>
      <c r="H309" s="5">
        <v>1</v>
      </c>
      <c r="I309" s="5">
        <v>0</v>
      </c>
      <c r="J309" s="5">
        <v>39</v>
      </c>
      <c r="K309" s="61">
        <v>16</v>
      </c>
    </row>
    <row r="310" spans="2:11" ht="14.25" customHeight="1" x14ac:dyDescent="0.3">
      <c r="B310" s="5">
        <v>309</v>
      </c>
      <c r="C310" s="61">
        <v>13.815510557964274</v>
      </c>
      <c r="D310" s="5">
        <v>1</v>
      </c>
      <c r="E310" s="5">
        <v>1</v>
      </c>
      <c r="F310" s="5">
        <v>0</v>
      </c>
      <c r="G310" s="5">
        <v>0</v>
      </c>
      <c r="H310" s="5">
        <v>1</v>
      </c>
      <c r="I310" s="5">
        <v>1</v>
      </c>
      <c r="J310" s="5">
        <v>35</v>
      </c>
      <c r="K310" s="61">
        <v>20</v>
      </c>
    </row>
    <row r="311" spans="2:11" ht="14.25" customHeight="1" x14ac:dyDescent="0.3">
      <c r="B311" s="5">
        <v>310</v>
      </c>
      <c r="C311" s="61">
        <v>14.508657738524219</v>
      </c>
      <c r="D311" s="5">
        <v>1</v>
      </c>
      <c r="E311" s="5">
        <v>1</v>
      </c>
      <c r="F311" s="5">
        <v>0</v>
      </c>
      <c r="G311" s="5">
        <v>0</v>
      </c>
      <c r="H311" s="5">
        <v>0</v>
      </c>
      <c r="I311" s="5">
        <v>0</v>
      </c>
      <c r="J311" s="5">
        <v>70</v>
      </c>
      <c r="K311" s="61">
        <v>30</v>
      </c>
    </row>
    <row r="312" spans="2:11" ht="14.25" customHeight="1" x14ac:dyDescent="0.3">
      <c r="B312" s="5">
        <v>311</v>
      </c>
      <c r="C312" s="61">
        <v>14.220975666072439</v>
      </c>
      <c r="D312" s="5">
        <v>1</v>
      </c>
      <c r="E312" s="5">
        <v>0</v>
      </c>
      <c r="F312" s="5">
        <v>1</v>
      </c>
      <c r="G312" s="5">
        <v>0</v>
      </c>
      <c r="H312" s="5">
        <v>0</v>
      </c>
      <c r="I312" s="5">
        <v>1</v>
      </c>
      <c r="J312" s="5">
        <v>55</v>
      </c>
      <c r="K312" s="61">
        <v>40</v>
      </c>
    </row>
    <row r="313" spans="2:11" ht="14.25" customHeight="1" x14ac:dyDescent="0.3">
      <c r="B313" s="5">
        <v>312</v>
      </c>
      <c r="C313" s="61">
        <v>14.914122846632385</v>
      </c>
      <c r="D313" s="5">
        <v>0</v>
      </c>
      <c r="E313" s="5">
        <v>0</v>
      </c>
      <c r="F313" s="5">
        <v>0</v>
      </c>
      <c r="G313" s="5">
        <v>1</v>
      </c>
      <c r="H313" s="5">
        <v>1</v>
      </c>
      <c r="I313" s="5">
        <v>1</v>
      </c>
      <c r="J313" s="5">
        <v>52</v>
      </c>
      <c r="K313" s="61">
        <v>30</v>
      </c>
    </row>
    <row r="314" spans="2:11" ht="14.25" customHeight="1" x14ac:dyDescent="0.3">
      <c r="B314" s="5">
        <v>313</v>
      </c>
      <c r="C314" s="61">
        <v>13.815510557964274</v>
      </c>
      <c r="D314" s="5">
        <v>0</v>
      </c>
      <c r="E314" s="5">
        <v>0</v>
      </c>
      <c r="F314" s="5">
        <v>0</v>
      </c>
      <c r="G314" s="5">
        <v>1</v>
      </c>
      <c r="H314" s="5">
        <v>1</v>
      </c>
      <c r="I314" s="5">
        <v>0</v>
      </c>
      <c r="J314" s="5">
        <v>25</v>
      </c>
      <c r="K314" s="61">
        <v>2.4</v>
      </c>
    </row>
    <row r="315" spans="2:11" ht="14.25" customHeight="1" x14ac:dyDescent="0.3">
      <c r="B315" s="5">
        <v>314</v>
      </c>
      <c r="C315" s="61">
        <v>15.483217378522351</v>
      </c>
      <c r="D315" s="5">
        <v>1</v>
      </c>
      <c r="E315" s="5">
        <v>0</v>
      </c>
      <c r="F315" s="5">
        <v>0</v>
      </c>
      <c r="G315" s="5">
        <v>1</v>
      </c>
      <c r="H315" s="5">
        <v>1</v>
      </c>
      <c r="I315" s="5">
        <v>0</v>
      </c>
      <c r="J315" s="5">
        <v>43</v>
      </c>
      <c r="K315" s="61">
        <v>11</v>
      </c>
    </row>
    <row r="316" spans="2:11" ht="14.25" customHeight="1" x14ac:dyDescent="0.3">
      <c r="B316" s="5">
        <v>315</v>
      </c>
      <c r="C316" s="61">
        <v>14.808762330974558</v>
      </c>
      <c r="D316" s="5">
        <v>0</v>
      </c>
      <c r="E316" s="5">
        <v>0</v>
      </c>
      <c r="F316" s="5">
        <v>0</v>
      </c>
      <c r="G316" s="5">
        <v>1</v>
      </c>
      <c r="H316" s="5">
        <v>1</v>
      </c>
      <c r="I316" s="5">
        <v>1</v>
      </c>
      <c r="J316" s="5">
        <v>40</v>
      </c>
      <c r="K316" s="61">
        <v>26</v>
      </c>
    </row>
    <row r="317" spans="2:11" ht="14.25" customHeight="1" x14ac:dyDescent="0.3">
      <c r="B317" s="5">
        <v>316</v>
      </c>
      <c r="C317" s="61">
        <v>14.508657738524219</v>
      </c>
      <c r="D317" s="5">
        <v>0</v>
      </c>
      <c r="E317" s="5">
        <v>0</v>
      </c>
      <c r="F317" s="5">
        <v>0</v>
      </c>
      <c r="G317" s="5">
        <v>1</v>
      </c>
      <c r="H317" s="5">
        <v>1</v>
      </c>
      <c r="I317" s="5">
        <v>0</v>
      </c>
      <c r="J317" s="5">
        <v>45</v>
      </c>
      <c r="K317" s="61">
        <v>10</v>
      </c>
    </row>
    <row r="318" spans="2:11" ht="14.25" customHeight="1" x14ac:dyDescent="0.3">
      <c r="B318" s="5">
        <v>317</v>
      </c>
      <c r="C318" s="61">
        <v>14.914122846632385</v>
      </c>
      <c r="D318" s="5">
        <v>1</v>
      </c>
      <c r="E318" s="5">
        <v>0</v>
      </c>
      <c r="F318" s="5">
        <v>0</v>
      </c>
      <c r="G318" s="5">
        <v>1</v>
      </c>
      <c r="H318" s="5">
        <v>0</v>
      </c>
      <c r="I318" s="5">
        <v>0</v>
      </c>
      <c r="J318" s="5">
        <v>26</v>
      </c>
      <c r="K318" s="61">
        <v>4</v>
      </c>
    </row>
    <row r="319" spans="2:11" ht="14.25" customHeight="1" x14ac:dyDescent="0.3">
      <c r="B319" s="5">
        <v>318</v>
      </c>
      <c r="C319" s="61">
        <v>15.201804919084164</v>
      </c>
      <c r="D319" s="5">
        <v>0</v>
      </c>
      <c r="E319" s="5">
        <v>0</v>
      </c>
      <c r="F319" s="5">
        <v>0</v>
      </c>
      <c r="G319" s="5">
        <v>1</v>
      </c>
      <c r="H319" s="5">
        <v>0</v>
      </c>
      <c r="I319" s="5">
        <v>1</v>
      </c>
      <c r="J319" s="5">
        <v>37</v>
      </c>
      <c r="K319" s="61">
        <v>1</v>
      </c>
    </row>
    <row r="320" spans="2:11" ht="14.25" customHeight="1" x14ac:dyDescent="0.3">
      <c r="B320" s="5">
        <v>319</v>
      </c>
      <c r="C320" s="61">
        <v>14.403297222866392</v>
      </c>
      <c r="D320" s="5">
        <v>1</v>
      </c>
      <c r="E320" s="5">
        <v>0</v>
      </c>
      <c r="F320" s="5">
        <v>1</v>
      </c>
      <c r="G320" s="5">
        <v>0</v>
      </c>
      <c r="H320" s="5">
        <v>1</v>
      </c>
      <c r="I320" s="5">
        <v>0</v>
      </c>
      <c r="J320" s="5">
        <v>21</v>
      </c>
      <c r="K320" s="61">
        <v>2</v>
      </c>
    </row>
    <row r="321" spans="2:11" ht="14.25" customHeight="1" x14ac:dyDescent="0.3">
      <c r="B321" s="5">
        <v>320</v>
      </c>
      <c r="C321" s="61">
        <v>14.457364444136669</v>
      </c>
      <c r="D321" s="5">
        <v>0</v>
      </c>
      <c r="E321" s="5">
        <v>0</v>
      </c>
      <c r="F321" s="5">
        <v>0</v>
      </c>
      <c r="G321" s="5">
        <v>1</v>
      </c>
      <c r="H321" s="5">
        <v>0</v>
      </c>
      <c r="I321" s="5">
        <v>1</v>
      </c>
      <c r="J321" s="5">
        <v>23</v>
      </c>
      <c r="K321" s="61">
        <v>2</v>
      </c>
    </row>
    <row r="322" spans="2:11" ht="14.25" customHeight="1" x14ac:dyDescent="0.3">
      <c r="B322" s="5">
        <v>321</v>
      </c>
      <c r="C322" s="61">
        <v>14.403297222866392</v>
      </c>
      <c r="D322" s="5">
        <v>0</v>
      </c>
      <c r="E322" s="5">
        <v>0</v>
      </c>
      <c r="F322" s="5">
        <v>1</v>
      </c>
      <c r="G322" s="5">
        <v>0</v>
      </c>
      <c r="H322" s="5">
        <v>0</v>
      </c>
      <c r="I322" s="5">
        <v>0</v>
      </c>
      <c r="J322" s="5">
        <v>24</v>
      </c>
      <c r="K322" s="61">
        <v>2</v>
      </c>
    </row>
    <row r="323" spans="2:11" ht="14.25" customHeight="1" x14ac:dyDescent="0.3">
      <c r="B323" s="5">
        <v>322</v>
      </c>
      <c r="C323" s="61">
        <v>13.815510557964274</v>
      </c>
      <c r="D323" s="5">
        <v>1</v>
      </c>
      <c r="E323" s="5">
        <v>0</v>
      </c>
      <c r="F323" s="5">
        <v>1</v>
      </c>
      <c r="G323" s="5">
        <v>0</v>
      </c>
      <c r="H323" s="5">
        <v>0</v>
      </c>
      <c r="I323" s="5">
        <v>0</v>
      </c>
      <c r="J323" s="5">
        <v>23</v>
      </c>
      <c r="K323" s="61">
        <v>1.3</v>
      </c>
    </row>
    <row r="324" spans="2:11" ht="14.25" customHeight="1" x14ac:dyDescent="0.3">
      <c r="B324" s="5">
        <v>323</v>
      </c>
      <c r="C324" s="61">
        <v>13.799381176034391</v>
      </c>
      <c r="D324" s="5">
        <v>1</v>
      </c>
      <c r="E324" s="5">
        <v>1</v>
      </c>
      <c r="F324" s="5">
        <v>0</v>
      </c>
      <c r="G324" s="5">
        <v>0</v>
      </c>
      <c r="H324" s="5">
        <v>0</v>
      </c>
      <c r="I324" s="5">
        <v>0</v>
      </c>
      <c r="J324" s="5">
        <v>23</v>
      </c>
      <c r="K324" s="61">
        <v>0.5</v>
      </c>
    </row>
    <row r="325" spans="2:11" ht="14.25" customHeight="1" x14ac:dyDescent="0.3">
      <c r="B325" s="5">
        <v>324</v>
      </c>
      <c r="C325" s="61">
        <v>13.997832114758229</v>
      </c>
      <c r="D325" s="5">
        <v>1</v>
      </c>
      <c r="E325" s="5">
        <v>0</v>
      </c>
      <c r="F325" s="5">
        <v>0</v>
      </c>
      <c r="G325" s="5">
        <v>1</v>
      </c>
      <c r="H325" s="5">
        <v>0</v>
      </c>
      <c r="I325" s="5">
        <v>1</v>
      </c>
      <c r="J325" s="5">
        <v>26</v>
      </c>
      <c r="K325" s="61">
        <v>5</v>
      </c>
    </row>
    <row r="326" spans="2:11" ht="14.25" customHeight="1" x14ac:dyDescent="0.3">
      <c r="B326" s="5">
        <v>325</v>
      </c>
      <c r="C326" s="61">
        <v>14.151982794585487</v>
      </c>
      <c r="D326" s="5">
        <v>1</v>
      </c>
      <c r="E326" s="5">
        <v>0</v>
      </c>
      <c r="F326" s="5">
        <v>1</v>
      </c>
      <c r="G326" s="5">
        <v>0</v>
      </c>
      <c r="H326" s="5">
        <v>0</v>
      </c>
      <c r="I326" s="5">
        <v>1</v>
      </c>
      <c r="J326" s="5">
        <v>37</v>
      </c>
      <c r="K326" s="61">
        <v>14</v>
      </c>
    </row>
    <row r="327" spans="2:11" ht="14.25" customHeight="1" x14ac:dyDescent="0.3">
      <c r="B327" s="5">
        <v>326</v>
      </c>
      <c r="C327" s="61">
        <v>14.220975666072439</v>
      </c>
      <c r="D327" s="5">
        <v>0</v>
      </c>
      <c r="E327" s="5">
        <v>0</v>
      </c>
      <c r="F327" s="5">
        <v>1</v>
      </c>
      <c r="G327" s="5">
        <v>0</v>
      </c>
      <c r="H327" s="5">
        <v>1</v>
      </c>
      <c r="I327" s="5">
        <v>0</v>
      </c>
      <c r="J327" s="5">
        <v>24</v>
      </c>
      <c r="K327" s="61">
        <v>4</v>
      </c>
    </row>
    <row r="328" spans="2:11" ht="14.25" customHeight="1" x14ac:dyDescent="0.3">
      <c r="B328" s="5">
        <v>327</v>
      </c>
      <c r="C328" s="61">
        <v>13.122363377404328</v>
      </c>
      <c r="D328" s="5">
        <v>0</v>
      </c>
      <c r="E328" s="5">
        <v>1</v>
      </c>
      <c r="F328" s="5">
        <v>0</v>
      </c>
      <c r="G328" s="5">
        <v>0</v>
      </c>
      <c r="H328" s="5">
        <v>0</v>
      </c>
      <c r="I328" s="5">
        <v>1</v>
      </c>
      <c r="J328" s="5">
        <v>20</v>
      </c>
      <c r="K328" s="61">
        <v>3</v>
      </c>
    </row>
    <row r="329" spans="2:11" ht="14.25" customHeight="1" x14ac:dyDescent="0.3">
      <c r="B329" s="5">
        <v>328</v>
      </c>
      <c r="C329" s="61">
        <v>13.997832114758229</v>
      </c>
      <c r="D329" s="5">
        <v>1</v>
      </c>
      <c r="E329" s="5">
        <v>1</v>
      </c>
      <c r="F329" s="5">
        <v>0</v>
      </c>
      <c r="G329" s="5">
        <v>0</v>
      </c>
      <c r="H329" s="5">
        <v>0</v>
      </c>
      <c r="I329" s="5">
        <v>1</v>
      </c>
      <c r="J329" s="5">
        <v>20</v>
      </c>
      <c r="K329" s="61">
        <v>1</v>
      </c>
    </row>
    <row r="330" spans="2:11" ht="14.25" customHeight="1" x14ac:dyDescent="0.3">
      <c r="B330" s="5">
        <v>329</v>
      </c>
      <c r="C330" s="61">
        <v>14.508657738524219</v>
      </c>
      <c r="D330" s="5">
        <v>1</v>
      </c>
      <c r="E330" s="5">
        <v>0</v>
      </c>
      <c r="F330" s="5">
        <v>1</v>
      </c>
      <c r="G330" s="5">
        <v>0</v>
      </c>
      <c r="H330" s="5">
        <v>0</v>
      </c>
      <c r="I330" s="5">
        <v>0</v>
      </c>
      <c r="J330" s="5">
        <v>29</v>
      </c>
      <c r="K330" s="61">
        <v>9</v>
      </c>
    </row>
    <row r="331" spans="2:11" ht="14.25" customHeight="1" x14ac:dyDescent="0.3">
      <c r="B331" s="5">
        <v>330</v>
      </c>
      <c r="C331" s="61">
        <v>14.151982794585487</v>
      </c>
      <c r="D331" s="5">
        <v>0</v>
      </c>
      <c r="E331" s="5">
        <v>0</v>
      </c>
      <c r="F331" s="5">
        <v>1</v>
      </c>
      <c r="G331" s="5">
        <v>0</v>
      </c>
      <c r="H331" s="5">
        <v>0</v>
      </c>
      <c r="I331" s="5">
        <v>0</v>
      </c>
      <c r="J331" s="5">
        <v>33</v>
      </c>
      <c r="K331" s="61">
        <v>7</v>
      </c>
    </row>
    <row r="332" spans="2:11" ht="14.25" customHeight="1" x14ac:dyDescent="0.3">
      <c r="B332" s="5">
        <v>331</v>
      </c>
      <c r="C332" s="61">
        <v>15.201804919084164</v>
      </c>
      <c r="D332" s="5">
        <v>1</v>
      </c>
      <c r="E332" s="5">
        <v>0</v>
      </c>
      <c r="F332" s="5">
        <v>0</v>
      </c>
      <c r="G332" s="5">
        <v>1</v>
      </c>
      <c r="H332" s="5">
        <v>1</v>
      </c>
      <c r="I332" s="5">
        <v>1</v>
      </c>
      <c r="J332" s="5">
        <v>32</v>
      </c>
      <c r="K332" s="61">
        <v>10</v>
      </c>
    </row>
    <row r="333" spans="2:11" ht="14.25" customHeight="1" x14ac:dyDescent="0.3">
      <c r="B333" s="5">
        <v>332</v>
      </c>
      <c r="C333" s="61">
        <v>14.392123922268269</v>
      </c>
      <c r="D333" s="5">
        <v>1</v>
      </c>
      <c r="E333" s="5">
        <v>0</v>
      </c>
      <c r="F333" s="5">
        <v>1</v>
      </c>
      <c r="G333" s="5">
        <v>0</v>
      </c>
      <c r="H333" s="5">
        <v>1</v>
      </c>
      <c r="I333" s="5">
        <v>1</v>
      </c>
      <c r="J333" s="5">
        <v>25</v>
      </c>
      <c r="K333" s="61">
        <v>2</v>
      </c>
    </row>
    <row r="334" spans="2:11" ht="14.25" customHeight="1" x14ac:dyDescent="0.3">
      <c r="B334" s="5">
        <v>333</v>
      </c>
      <c r="C334" s="61">
        <v>13.997832114758229</v>
      </c>
      <c r="D334" s="5">
        <v>1</v>
      </c>
      <c r="E334" s="5">
        <v>0</v>
      </c>
      <c r="F334" s="5">
        <v>1</v>
      </c>
      <c r="G334" s="5">
        <v>0</v>
      </c>
      <c r="H334" s="5">
        <v>0</v>
      </c>
      <c r="I334" s="5">
        <v>0</v>
      </c>
      <c r="J334" s="5">
        <v>21</v>
      </c>
      <c r="K334" s="61">
        <v>1</v>
      </c>
    </row>
    <row r="335" spans="2:11" ht="14.25" customHeight="1" x14ac:dyDescent="0.3">
      <c r="B335" s="5">
        <v>334</v>
      </c>
      <c r="C335" s="61">
        <v>13.815510557964274</v>
      </c>
      <c r="D335" s="5">
        <v>1</v>
      </c>
      <c r="E335" s="5">
        <v>0</v>
      </c>
      <c r="F335" s="5">
        <v>1</v>
      </c>
      <c r="G335" s="5">
        <v>0</v>
      </c>
      <c r="H335" s="5">
        <v>0</v>
      </c>
      <c r="I335" s="5">
        <v>0</v>
      </c>
      <c r="J335" s="5">
        <v>24</v>
      </c>
      <c r="K335" s="61">
        <v>1</v>
      </c>
    </row>
    <row r="336" spans="2:11" ht="14.25" customHeight="1" x14ac:dyDescent="0.3">
      <c r="B336" s="5">
        <v>335</v>
      </c>
      <c r="C336" s="61">
        <v>13.997832114758229</v>
      </c>
      <c r="D336" s="5">
        <v>1</v>
      </c>
      <c r="E336" s="5">
        <v>0</v>
      </c>
      <c r="F336" s="5">
        <v>1</v>
      </c>
      <c r="G336" s="5">
        <v>0</v>
      </c>
      <c r="H336" s="5">
        <v>1</v>
      </c>
      <c r="I336" s="5">
        <v>0</v>
      </c>
      <c r="J336" s="5">
        <v>24</v>
      </c>
      <c r="K336" s="61">
        <v>6</v>
      </c>
    </row>
    <row r="337" spans="2:11" ht="14.25" customHeight="1" x14ac:dyDescent="0.3">
      <c r="B337" s="5">
        <v>336</v>
      </c>
      <c r="C337" s="61">
        <v>14.19394699368452</v>
      </c>
      <c r="D337" s="5">
        <v>0</v>
      </c>
      <c r="E337" s="5">
        <v>0</v>
      </c>
      <c r="F337" s="5">
        <v>1</v>
      </c>
      <c r="G337" s="5">
        <v>0</v>
      </c>
      <c r="H337" s="5">
        <v>1</v>
      </c>
      <c r="I337" s="5">
        <v>0</v>
      </c>
      <c r="J337" s="5">
        <v>27</v>
      </c>
      <c r="K337" s="61">
        <v>1.5</v>
      </c>
    </row>
    <row r="338" spans="2:11" ht="14.25" customHeight="1" x14ac:dyDescent="0.3">
      <c r="B338" s="5">
        <v>337</v>
      </c>
      <c r="C338" s="61">
        <v>14.316285845876763</v>
      </c>
      <c r="D338" s="5">
        <v>1</v>
      </c>
      <c r="E338" s="5">
        <v>0</v>
      </c>
      <c r="F338" s="5">
        <v>1</v>
      </c>
      <c r="G338" s="5">
        <v>0</v>
      </c>
      <c r="H338" s="5">
        <v>0</v>
      </c>
      <c r="I338" s="5">
        <v>0</v>
      </c>
      <c r="J338" s="5">
        <v>21</v>
      </c>
      <c r="K338" s="61">
        <v>0.5</v>
      </c>
    </row>
    <row r="339" spans="2:11" ht="14.25" customHeight="1" x14ac:dyDescent="0.3">
      <c r="B339" s="5">
        <v>338</v>
      </c>
      <c r="C339" s="61">
        <v>13.732128949025222</v>
      </c>
      <c r="D339" s="5">
        <v>1</v>
      </c>
      <c r="E339" s="5">
        <v>0</v>
      </c>
      <c r="F339" s="5">
        <v>1</v>
      </c>
      <c r="G339" s="5">
        <v>0</v>
      </c>
      <c r="H339" s="5">
        <v>0</v>
      </c>
      <c r="I339" s="5">
        <v>0</v>
      </c>
      <c r="J339" s="5">
        <v>45</v>
      </c>
      <c r="K339" s="61">
        <v>19</v>
      </c>
    </row>
    <row r="340" spans="2:11" ht="14.25" customHeight="1" x14ac:dyDescent="0.3">
      <c r="B340" s="5">
        <v>339</v>
      </c>
      <c r="C340" s="61">
        <v>13.785051350479566</v>
      </c>
      <c r="D340" s="5">
        <v>1</v>
      </c>
      <c r="E340" s="5">
        <v>0</v>
      </c>
      <c r="F340" s="5">
        <v>1</v>
      </c>
      <c r="G340" s="5">
        <v>0</v>
      </c>
      <c r="H340" s="5">
        <v>0</v>
      </c>
      <c r="I340" s="5">
        <v>0</v>
      </c>
      <c r="J340" s="5">
        <v>42</v>
      </c>
      <c r="K340" s="61">
        <v>17</v>
      </c>
    </row>
    <row r="341" spans="2:11" ht="14.25" customHeight="1" x14ac:dyDescent="0.3">
      <c r="B341" s="5">
        <v>340</v>
      </c>
      <c r="C341" s="61">
        <v>13.997832114758229</v>
      </c>
      <c r="D341" s="5">
        <v>0</v>
      </c>
      <c r="E341" s="5">
        <v>1</v>
      </c>
      <c r="F341" s="5">
        <v>0</v>
      </c>
      <c r="G341" s="5">
        <v>0</v>
      </c>
      <c r="H341" s="5">
        <v>1</v>
      </c>
      <c r="I341" s="5">
        <v>0</v>
      </c>
      <c r="J341" s="5">
        <v>45</v>
      </c>
      <c r="K341" s="61">
        <v>11</v>
      </c>
    </row>
    <row r="342" spans="2:11" ht="14.25" customHeight="1" x14ac:dyDescent="0.3">
      <c r="B342" s="5">
        <v>341</v>
      </c>
      <c r="C342" s="61">
        <v>13.815510557964274</v>
      </c>
      <c r="D342" s="5">
        <v>1</v>
      </c>
      <c r="E342" s="5">
        <v>1</v>
      </c>
      <c r="F342" s="5">
        <v>0</v>
      </c>
      <c r="G342" s="5">
        <v>0</v>
      </c>
      <c r="H342" s="5">
        <v>0</v>
      </c>
      <c r="I342" s="5">
        <v>0</v>
      </c>
      <c r="J342" s="5">
        <v>29</v>
      </c>
      <c r="K342" s="61">
        <v>10</v>
      </c>
    </row>
    <row r="343" spans="2:11" ht="14.25" customHeight="1" x14ac:dyDescent="0.3">
      <c r="B343" s="5">
        <v>342</v>
      </c>
      <c r="C343" s="61">
        <v>15.068273526459642</v>
      </c>
      <c r="D343" s="5">
        <v>0</v>
      </c>
      <c r="E343" s="5">
        <v>1</v>
      </c>
      <c r="F343" s="5">
        <v>0</v>
      </c>
      <c r="G343" s="5">
        <v>0</v>
      </c>
      <c r="H343" s="5">
        <v>0</v>
      </c>
      <c r="I343" s="5">
        <v>0</v>
      </c>
      <c r="J343" s="5">
        <v>63</v>
      </c>
      <c r="K343" s="61">
        <v>15</v>
      </c>
    </row>
    <row r="344" spans="2:11" ht="14.25" customHeight="1" x14ac:dyDescent="0.3">
      <c r="B344" s="5">
        <v>343</v>
      </c>
      <c r="C344" s="61">
        <v>14.346138809026444</v>
      </c>
      <c r="D344" s="5">
        <v>1</v>
      </c>
      <c r="E344" s="5">
        <v>0</v>
      </c>
      <c r="F344" s="5">
        <v>1</v>
      </c>
      <c r="G344" s="5">
        <v>0</v>
      </c>
      <c r="H344" s="5">
        <v>0</v>
      </c>
      <c r="I344" s="5">
        <v>1</v>
      </c>
      <c r="J344" s="5">
        <v>30</v>
      </c>
      <c r="K344" s="61">
        <v>7</v>
      </c>
    </row>
    <row r="345" spans="2:11" ht="14.25" customHeight="1" x14ac:dyDescent="0.3">
      <c r="B345" s="5">
        <v>344</v>
      </c>
      <c r="C345" s="61">
        <v>13.910820737768599</v>
      </c>
      <c r="D345" s="5">
        <v>1</v>
      </c>
      <c r="E345" s="5">
        <v>0</v>
      </c>
      <c r="F345" s="5">
        <v>0</v>
      </c>
      <c r="G345" s="5">
        <v>1</v>
      </c>
      <c r="H345" s="5">
        <v>1</v>
      </c>
      <c r="I345" s="5">
        <v>0</v>
      </c>
      <c r="J345" s="5">
        <v>30</v>
      </c>
      <c r="K345" s="61">
        <v>3</v>
      </c>
    </row>
    <row r="346" spans="2:11" ht="14.25" customHeight="1" x14ac:dyDescent="0.3">
      <c r="B346" s="5">
        <v>345</v>
      </c>
      <c r="C346" s="61">
        <v>13.815510557964274</v>
      </c>
      <c r="D346" s="5">
        <v>0</v>
      </c>
      <c r="E346" s="5">
        <v>0</v>
      </c>
      <c r="F346" s="5">
        <v>1</v>
      </c>
      <c r="G346" s="5">
        <v>0</v>
      </c>
      <c r="H346" s="5">
        <v>0</v>
      </c>
      <c r="I346" s="5">
        <v>0</v>
      </c>
      <c r="J346" s="5">
        <v>22</v>
      </c>
      <c r="K346" s="61">
        <v>3</v>
      </c>
    </row>
    <row r="347" spans="2:11" ht="14.25" customHeight="1" x14ac:dyDescent="0.3">
      <c r="B347" s="5">
        <v>346</v>
      </c>
      <c r="C347" s="61">
        <v>13.815510557964274</v>
      </c>
      <c r="D347" s="5">
        <v>1</v>
      </c>
      <c r="E347" s="5">
        <v>0</v>
      </c>
      <c r="F347" s="5">
        <v>1</v>
      </c>
      <c r="G347" s="5">
        <v>0</v>
      </c>
      <c r="H347" s="5">
        <v>0</v>
      </c>
      <c r="I347" s="5">
        <v>0</v>
      </c>
      <c r="J347" s="5">
        <v>27</v>
      </c>
      <c r="K347" s="61">
        <v>3</v>
      </c>
    </row>
    <row r="348" spans="2:11" ht="14.25" customHeight="1" x14ac:dyDescent="0.3">
      <c r="B348" s="5">
        <v>347</v>
      </c>
      <c r="C348" s="61">
        <v>14.914122846632385</v>
      </c>
      <c r="D348" s="5">
        <v>1</v>
      </c>
      <c r="E348" s="5">
        <v>0</v>
      </c>
      <c r="F348" s="5">
        <v>0</v>
      </c>
      <c r="G348" s="5">
        <v>1</v>
      </c>
      <c r="H348" s="5">
        <v>0</v>
      </c>
      <c r="I348" s="5">
        <v>0</v>
      </c>
      <c r="J348" s="5">
        <v>25</v>
      </c>
      <c r="K348" s="61">
        <v>5.5</v>
      </c>
    </row>
    <row r="349" spans="2:11" ht="14.25" customHeight="1" x14ac:dyDescent="0.3">
      <c r="B349" s="5">
        <v>348</v>
      </c>
      <c r="C349" s="61">
        <v>13.815510557964274</v>
      </c>
      <c r="D349" s="5">
        <v>0</v>
      </c>
      <c r="E349" s="5">
        <v>1</v>
      </c>
      <c r="F349" s="5">
        <v>0</v>
      </c>
      <c r="G349" s="5">
        <v>0</v>
      </c>
      <c r="H349" s="5">
        <v>0</v>
      </c>
      <c r="I349" s="5">
        <v>1</v>
      </c>
      <c r="J349" s="5">
        <v>25</v>
      </c>
      <c r="K349" s="61">
        <v>1</v>
      </c>
    </row>
    <row r="350" spans="2:11" ht="14.25" customHeight="1" x14ac:dyDescent="0.3">
      <c r="B350" s="5">
        <v>349</v>
      </c>
      <c r="C350" s="61">
        <v>13.910820737768599</v>
      </c>
      <c r="D350" s="5">
        <v>0</v>
      </c>
      <c r="E350" s="5">
        <v>1</v>
      </c>
      <c r="F350" s="5">
        <v>0</v>
      </c>
      <c r="G350" s="5">
        <v>0</v>
      </c>
      <c r="H350" s="5">
        <v>1</v>
      </c>
      <c r="I350" s="5">
        <v>1</v>
      </c>
      <c r="J350" s="5">
        <v>33</v>
      </c>
      <c r="K350" s="61">
        <v>13</v>
      </c>
    </row>
    <row r="351" spans="2:11" ht="14.25" customHeight="1" x14ac:dyDescent="0.3">
      <c r="B351" s="5">
        <v>350</v>
      </c>
      <c r="C351" s="61">
        <v>14.648419680899378</v>
      </c>
      <c r="D351" s="5">
        <v>0</v>
      </c>
      <c r="E351" s="5">
        <v>0</v>
      </c>
      <c r="F351" s="5">
        <v>0</v>
      </c>
      <c r="G351" s="5">
        <v>1</v>
      </c>
      <c r="H351" s="5">
        <v>1</v>
      </c>
      <c r="I351" s="5">
        <v>0</v>
      </c>
      <c r="J351" s="5">
        <v>30</v>
      </c>
      <c r="K351" s="61">
        <v>3</v>
      </c>
    </row>
    <row r="352" spans="2:11" ht="14.25" customHeight="1" x14ac:dyDescent="0.3">
      <c r="B352" s="5">
        <v>351</v>
      </c>
      <c r="C352" s="61">
        <v>15.60727002719233</v>
      </c>
      <c r="D352" s="5">
        <v>1</v>
      </c>
      <c r="E352" s="5">
        <v>0</v>
      </c>
      <c r="F352" s="5">
        <v>0</v>
      </c>
      <c r="G352" s="5">
        <v>1</v>
      </c>
      <c r="H352" s="5">
        <v>1</v>
      </c>
      <c r="I352" s="5">
        <v>0</v>
      </c>
      <c r="J352" s="5">
        <v>40</v>
      </c>
      <c r="K352" s="61">
        <v>20</v>
      </c>
    </row>
    <row r="353" spans="2:11" ht="14.25" customHeight="1" x14ac:dyDescent="0.3">
      <c r="B353" s="5">
        <v>352</v>
      </c>
      <c r="C353" s="61">
        <v>13.815510557964274</v>
      </c>
      <c r="D353" s="5">
        <v>0</v>
      </c>
      <c r="E353" s="5">
        <v>0</v>
      </c>
      <c r="F353" s="5">
        <v>0</v>
      </c>
      <c r="G353" s="5">
        <v>1</v>
      </c>
      <c r="H353" s="5">
        <v>0</v>
      </c>
      <c r="I353" s="5">
        <v>0</v>
      </c>
      <c r="J353" s="5">
        <v>28</v>
      </c>
      <c r="K353" s="61">
        <v>6</v>
      </c>
    </row>
    <row r="354" spans="2:11" ht="14.25" customHeight="1" x14ac:dyDescent="0.3">
      <c r="B354" s="5">
        <v>353</v>
      </c>
      <c r="C354" s="61">
        <v>14.73180128983843</v>
      </c>
      <c r="D354" s="5">
        <v>1</v>
      </c>
      <c r="E354" s="5">
        <v>0</v>
      </c>
      <c r="F354" s="5">
        <v>0</v>
      </c>
      <c r="G354" s="5">
        <v>1</v>
      </c>
      <c r="H354" s="5">
        <v>1</v>
      </c>
      <c r="I354" s="5">
        <v>1</v>
      </c>
      <c r="J354" s="5">
        <v>30</v>
      </c>
      <c r="K354" s="61">
        <v>5</v>
      </c>
    </row>
    <row r="355" spans="2:11" ht="14.25" customHeight="1" x14ac:dyDescent="0.3">
      <c r="B355" s="5">
        <v>354</v>
      </c>
      <c r="C355" s="61">
        <v>14.914122846632385</v>
      </c>
      <c r="D355" s="5">
        <v>0</v>
      </c>
      <c r="E355" s="5">
        <v>0</v>
      </c>
      <c r="F355" s="5">
        <v>0</v>
      </c>
      <c r="G355" s="5">
        <v>1</v>
      </c>
      <c r="H355" s="5">
        <v>0</v>
      </c>
      <c r="I355" s="5">
        <v>0</v>
      </c>
      <c r="J355" s="5">
        <v>32</v>
      </c>
      <c r="K355" s="61">
        <v>5</v>
      </c>
    </row>
    <row r="356" spans="2:11" ht="14.25" customHeight="1" x14ac:dyDescent="0.3">
      <c r="B356" s="5">
        <v>355</v>
      </c>
      <c r="C356" s="61">
        <v>14.220975666072439</v>
      </c>
      <c r="D356" s="5">
        <v>0</v>
      </c>
      <c r="E356" s="5">
        <v>0</v>
      </c>
      <c r="F356" s="5">
        <v>1</v>
      </c>
      <c r="G356" s="5">
        <v>0</v>
      </c>
      <c r="H356" s="5">
        <v>0</v>
      </c>
      <c r="I356" s="5">
        <v>0</v>
      </c>
      <c r="J356" s="5">
        <v>30</v>
      </c>
      <c r="K356" s="61">
        <v>2</v>
      </c>
    </row>
    <row r="357" spans="2:11" ht="14.25" customHeight="1" x14ac:dyDescent="0.3">
      <c r="B357" s="5">
        <v>356</v>
      </c>
      <c r="C357" s="61">
        <v>14.220975666072439</v>
      </c>
      <c r="D357" s="5">
        <v>0</v>
      </c>
      <c r="E357" s="5">
        <v>0</v>
      </c>
      <c r="F357" s="5">
        <v>1</v>
      </c>
      <c r="G357" s="5">
        <v>0</v>
      </c>
      <c r="H357" s="5">
        <v>1</v>
      </c>
      <c r="I357" s="5">
        <v>0</v>
      </c>
      <c r="J357" s="5">
        <v>23</v>
      </c>
      <c r="K357" s="61">
        <v>2</v>
      </c>
    </row>
    <row r="358" spans="2:11" ht="14.25" customHeight="1" x14ac:dyDescent="0.3">
      <c r="B358" s="5">
        <v>357</v>
      </c>
      <c r="C358" s="61">
        <v>15.424948470398375</v>
      </c>
      <c r="D358" s="5">
        <v>0</v>
      </c>
      <c r="E358" s="5">
        <v>0</v>
      </c>
      <c r="F358" s="5">
        <v>0</v>
      </c>
      <c r="G358" s="5">
        <v>1</v>
      </c>
      <c r="H358" s="5">
        <v>1</v>
      </c>
      <c r="I358" s="5">
        <v>1</v>
      </c>
      <c r="J358" s="5">
        <v>38</v>
      </c>
      <c r="K358" s="61">
        <v>4</v>
      </c>
    </row>
    <row r="359" spans="2:11" ht="14.25" customHeight="1" x14ac:dyDescent="0.3">
      <c r="B359" s="5">
        <v>358</v>
      </c>
      <c r="C359" s="61">
        <v>14.220975666072439</v>
      </c>
      <c r="D359" s="5">
        <v>0</v>
      </c>
      <c r="E359" s="5">
        <v>0</v>
      </c>
      <c r="F359" s="5">
        <v>1</v>
      </c>
      <c r="G359" s="5">
        <v>0</v>
      </c>
      <c r="H359" s="5">
        <v>0</v>
      </c>
      <c r="I359" s="5">
        <v>0</v>
      </c>
      <c r="J359" s="5">
        <v>25</v>
      </c>
      <c r="K359" s="61">
        <v>4</v>
      </c>
    </row>
    <row r="360" spans="2:11" ht="14.25" customHeight="1" x14ac:dyDescent="0.3">
      <c r="B360" s="5">
        <v>359</v>
      </c>
      <c r="C360" s="61">
        <v>13.270783382522602</v>
      </c>
      <c r="D360" s="5">
        <v>1</v>
      </c>
      <c r="E360" s="5">
        <v>0</v>
      </c>
      <c r="F360" s="5">
        <v>1</v>
      </c>
      <c r="G360" s="5">
        <v>0</v>
      </c>
      <c r="H360" s="5">
        <v>0</v>
      </c>
      <c r="I360" s="5">
        <v>0</v>
      </c>
      <c r="J360" s="5">
        <v>20</v>
      </c>
      <c r="K360" s="61">
        <v>1</v>
      </c>
    </row>
    <row r="361" spans="2:11" ht="14.25" customHeight="1" x14ac:dyDescent="0.3">
      <c r="B361" s="5">
        <v>360</v>
      </c>
      <c r="C361" s="61">
        <v>13.997832114758229</v>
      </c>
      <c r="D361" s="5">
        <v>1</v>
      </c>
      <c r="E361" s="5">
        <v>0</v>
      </c>
      <c r="F361" s="5">
        <v>1</v>
      </c>
      <c r="G361" s="5">
        <v>0</v>
      </c>
      <c r="H361" s="5">
        <v>1</v>
      </c>
      <c r="I361" s="5">
        <v>1</v>
      </c>
      <c r="J361" s="5">
        <v>24</v>
      </c>
      <c r="K361" s="61">
        <v>3</v>
      </c>
    </row>
    <row r="362" spans="2:11" ht="14.25" customHeight="1" x14ac:dyDescent="0.3">
      <c r="B362" s="5">
        <v>361</v>
      </c>
      <c r="C362" s="61">
        <v>13.997832114758229</v>
      </c>
      <c r="D362" s="5">
        <v>1</v>
      </c>
      <c r="E362" s="5">
        <v>1</v>
      </c>
      <c r="F362" s="5">
        <v>0</v>
      </c>
      <c r="G362" s="5">
        <v>0</v>
      </c>
      <c r="H362" s="5">
        <v>1</v>
      </c>
      <c r="I362" s="5">
        <v>0</v>
      </c>
      <c r="J362" s="5">
        <v>45</v>
      </c>
      <c r="K362" s="61">
        <v>5</v>
      </c>
    </row>
    <row r="363" spans="2:11" ht="14.25" customHeight="1" x14ac:dyDescent="0.3">
      <c r="B363" s="5">
        <v>362</v>
      </c>
      <c r="C363" s="61">
        <v>13.815510557964274</v>
      </c>
      <c r="D363" s="5">
        <v>1</v>
      </c>
      <c r="E363" s="5">
        <v>1</v>
      </c>
      <c r="F363" s="5">
        <v>0</v>
      </c>
      <c r="G363" s="5">
        <v>0</v>
      </c>
      <c r="H363" s="5">
        <v>0</v>
      </c>
      <c r="I363" s="5">
        <v>0</v>
      </c>
      <c r="J363" s="5">
        <v>42</v>
      </c>
      <c r="K363" s="61">
        <v>30</v>
      </c>
    </row>
    <row r="364" spans="2:11" ht="14.25" customHeight="1" x14ac:dyDescent="0.3">
      <c r="B364" s="5">
        <v>363</v>
      </c>
      <c r="C364" s="61">
        <v>13.997832114758229</v>
      </c>
      <c r="D364" s="5">
        <v>1</v>
      </c>
      <c r="E364" s="5">
        <v>0</v>
      </c>
      <c r="F364" s="5">
        <v>1</v>
      </c>
      <c r="G364" s="5">
        <v>0</v>
      </c>
      <c r="H364" s="5">
        <v>1</v>
      </c>
      <c r="I364" s="5">
        <v>0</v>
      </c>
      <c r="J364" s="5">
        <v>46</v>
      </c>
      <c r="K364" s="61">
        <v>15</v>
      </c>
    </row>
    <row r="365" spans="2:11" ht="14.25" customHeight="1" x14ac:dyDescent="0.3">
      <c r="B365" s="5">
        <v>364</v>
      </c>
      <c r="C365" s="61">
        <v>15.319587954740548</v>
      </c>
      <c r="D365" s="5">
        <v>1</v>
      </c>
      <c r="E365" s="5">
        <v>0</v>
      </c>
      <c r="F365" s="5">
        <v>1</v>
      </c>
      <c r="G365" s="5">
        <v>0</v>
      </c>
      <c r="H365" s="5">
        <v>1</v>
      </c>
      <c r="I365" s="5">
        <v>1</v>
      </c>
      <c r="J365" s="5">
        <v>29</v>
      </c>
      <c r="K365" s="61">
        <v>12</v>
      </c>
    </row>
    <row r="366" spans="2:11" ht="14.25" customHeight="1" x14ac:dyDescent="0.3">
      <c r="B366" s="5">
        <v>365</v>
      </c>
      <c r="C366" s="61">
        <v>15.424948470398375</v>
      </c>
      <c r="D366" s="5">
        <v>1</v>
      </c>
      <c r="E366" s="5">
        <v>0</v>
      </c>
      <c r="F366" s="5">
        <v>0</v>
      </c>
      <c r="G366" s="5">
        <v>1</v>
      </c>
      <c r="H366" s="5">
        <v>1</v>
      </c>
      <c r="I366" s="5">
        <v>1</v>
      </c>
      <c r="J366" s="5">
        <v>30</v>
      </c>
      <c r="K366" s="61">
        <v>3</v>
      </c>
    </row>
    <row r="367" spans="2:11" ht="14.25" customHeight="1" x14ac:dyDescent="0.3">
      <c r="B367" s="5">
        <v>366</v>
      </c>
      <c r="C367" s="61">
        <v>14.220975666072439</v>
      </c>
      <c r="D367" s="5">
        <v>1</v>
      </c>
      <c r="E367" s="5">
        <v>1</v>
      </c>
      <c r="F367" s="5">
        <v>0</v>
      </c>
      <c r="G367" s="5">
        <v>0</v>
      </c>
      <c r="H367" s="5">
        <v>0</v>
      </c>
      <c r="I367" s="5">
        <v>1</v>
      </c>
      <c r="J367" s="5">
        <v>22</v>
      </c>
      <c r="K367" s="61">
        <v>1</v>
      </c>
    </row>
    <row r="368" spans="2:11" ht="14.25" customHeight="1" x14ac:dyDescent="0.3">
      <c r="B368" s="5">
        <v>367</v>
      </c>
      <c r="C368" s="61">
        <v>14.220975666072439</v>
      </c>
      <c r="D368" s="5">
        <v>1</v>
      </c>
      <c r="E368" s="5">
        <v>0</v>
      </c>
      <c r="F368" s="5">
        <v>1</v>
      </c>
      <c r="G368" s="5">
        <v>0</v>
      </c>
      <c r="H368" s="5">
        <v>0</v>
      </c>
      <c r="I368" s="5">
        <v>1</v>
      </c>
      <c r="J368" s="5">
        <v>23</v>
      </c>
      <c r="K368" s="61">
        <v>2</v>
      </c>
    </row>
    <row r="369" spans="2:11" ht="14.25" customHeight="1" x14ac:dyDescent="0.3">
      <c r="B369" s="5">
        <v>368</v>
      </c>
      <c r="C369" s="61">
        <v>14.151982794585487</v>
      </c>
      <c r="D369" s="5">
        <v>1</v>
      </c>
      <c r="E369" s="5">
        <v>0</v>
      </c>
      <c r="F369" s="5">
        <v>0</v>
      </c>
      <c r="G369" s="5">
        <v>1</v>
      </c>
      <c r="H369" s="5">
        <v>1</v>
      </c>
      <c r="I369" s="5">
        <v>1</v>
      </c>
      <c r="J369" s="5">
        <v>26</v>
      </c>
      <c r="K369" s="61">
        <v>9</v>
      </c>
    </row>
    <row r="370" spans="2:11" ht="14.25" customHeight="1" x14ac:dyDescent="0.3">
      <c r="B370" s="5">
        <v>369</v>
      </c>
      <c r="C370" s="61">
        <v>14.914122846632385</v>
      </c>
      <c r="D370" s="5">
        <v>0</v>
      </c>
      <c r="E370" s="5">
        <v>0</v>
      </c>
      <c r="F370" s="5">
        <v>0</v>
      </c>
      <c r="G370" s="5">
        <v>1</v>
      </c>
      <c r="H370" s="5">
        <v>0</v>
      </c>
      <c r="I370" s="5">
        <v>1</v>
      </c>
      <c r="J370" s="5">
        <v>25</v>
      </c>
      <c r="K370" s="61">
        <v>3</v>
      </c>
    </row>
    <row r="371" spans="2:11" ht="14.25" customHeight="1" x14ac:dyDescent="0.3">
      <c r="B371" s="5">
        <v>370</v>
      </c>
      <c r="C371" s="61">
        <v>13.592367006650065</v>
      </c>
      <c r="D371" s="5">
        <v>1</v>
      </c>
      <c r="E371" s="5">
        <v>1</v>
      </c>
      <c r="F371" s="5">
        <v>0</v>
      </c>
      <c r="G371" s="5">
        <v>0</v>
      </c>
      <c r="H371" s="5">
        <v>0</v>
      </c>
      <c r="I371" s="5">
        <v>0</v>
      </c>
      <c r="J371" s="5">
        <v>21</v>
      </c>
      <c r="K371" s="61">
        <v>1</v>
      </c>
    </row>
    <row r="372" spans="2:11" ht="14.25" customHeight="1" x14ac:dyDescent="0.3">
      <c r="B372" s="5">
        <v>371</v>
      </c>
      <c r="C372" s="61">
        <v>14.508657738524219</v>
      </c>
      <c r="D372" s="5">
        <v>0</v>
      </c>
      <c r="E372" s="5">
        <v>0</v>
      </c>
      <c r="F372" s="5">
        <v>1</v>
      </c>
      <c r="G372" s="5">
        <v>0</v>
      </c>
      <c r="H372" s="5">
        <v>0</v>
      </c>
      <c r="I372" s="5">
        <v>1</v>
      </c>
      <c r="J372" s="5">
        <v>25</v>
      </c>
      <c r="K372" s="61">
        <v>1</v>
      </c>
    </row>
    <row r="373" spans="2:11" ht="14.25" customHeight="1" x14ac:dyDescent="0.3">
      <c r="B373" s="5">
        <v>372</v>
      </c>
      <c r="C373" s="61">
        <v>13.815510557964274</v>
      </c>
      <c r="D373" s="5">
        <v>1</v>
      </c>
      <c r="E373" s="5">
        <v>1</v>
      </c>
      <c r="F373" s="5">
        <v>0</v>
      </c>
      <c r="G373" s="5">
        <v>0</v>
      </c>
      <c r="H373" s="5">
        <v>0</v>
      </c>
      <c r="I373" s="5">
        <v>0</v>
      </c>
      <c r="J373" s="5">
        <v>29</v>
      </c>
      <c r="K373" s="61">
        <v>5</v>
      </c>
    </row>
    <row r="374" spans="2:11" ht="14.25" customHeight="1" x14ac:dyDescent="0.3">
      <c r="B374" s="5">
        <v>373</v>
      </c>
      <c r="C374" s="61">
        <v>14.346138809026444</v>
      </c>
      <c r="D374" s="5">
        <v>1</v>
      </c>
      <c r="E374" s="5">
        <v>0</v>
      </c>
      <c r="F374" s="5">
        <v>1</v>
      </c>
      <c r="G374" s="5">
        <v>0</v>
      </c>
      <c r="H374" s="5">
        <v>0</v>
      </c>
      <c r="I374" s="5">
        <v>1</v>
      </c>
      <c r="J374" s="5">
        <v>26</v>
      </c>
      <c r="K374" s="61">
        <v>1</v>
      </c>
    </row>
    <row r="375" spans="2:11" ht="14.25" customHeight="1" x14ac:dyDescent="0.3">
      <c r="B375" s="5">
        <v>374</v>
      </c>
      <c r="C375" s="61">
        <v>14.220975666072439</v>
      </c>
      <c r="D375" s="5">
        <v>0</v>
      </c>
      <c r="E375" s="5">
        <v>0</v>
      </c>
      <c r="F375" s="5">
        <v>1</v>
      </c>
      <c r="G375" s="5">
        <v>0</v>
      </c>
      <c r="H375" s="5">
        <v>0</v>
      </c>
      <c r="I375" s="5">
        <v>0</v>
      </c>
      <c r="J375" s="5">
        <v>30</v>
      </c>
      <c r="K375" s="61">
        <v>2</v>
      </c>
    </row>
    <row r="376" spans="2:11" ht="14.25" customHeight="1" x14ac:dyDescent="0.3">
      <c r="B376" s="5">
        <v>375</v>
      </c>
      <c r="C376" s="61">
        <v>13.815510557964274</v>
      </c>
      <c r="D376" s="5">
        <v>1</v>
      </c>
      <c r="E376" s="5">
        <v>0</v>
      </c>
      <c r="F376" s="5">
        <v>1</v>
      </c>
      <c r="G376" s="5">
        <v>0</v>
      </c>
      <c r="H376" s="5">
        <v>0</v>
      </c>
      <c r="I376" s="5">
        <v>0</v>
      </c>
      <c r="J376" s="5">
        <v>65</v>
      </c>
      <c r="K376" s="61">
        <v>10</v>
      </c>
    </row>
    <row r="377" spans="2:11" ht="14.25" customHeight="1" x14ac:dyDescent="0.3">
      <c r="B377" s="5">
        <v>376</v>
      </c>
      <c r="C377" s="61">
        <v>14.508657738524219</v>
      </c>
      <c r="D377" s="5">
        <v>1</v>
      </c>
      <c r="E377" s="5">
        <v>0</v>
      </c>
      <c r="F377" s="5">
        <v>0</v>
      </c>
      <c r="G377" s="5">
        <v>1</v>
      </c>
      <c r="H377" s="5">
        <v>0</v>
      </c>
      <c r="I377" s="5">
        <v>0</v>
      </c>
      <c r="J377" s="5">
        <v>30</v>
      </c>
      <c r="K377" s="61">
        <v>10</v>
      </c>
    </row>
    <row r="378" spans="2:11" ht="14.25" customHeight="1" x14ac:dyDescent="0.3">
      <c r="B378" s="5">
        <v>377</v>
      </c>
      <c r="C378" s="61">
        <v>13.815510557964274</v>
      </c>
      <c r="D378" s="5">
        <v>1</v>
      </c>
      <c r="E378" s="5">
        <v>0</v>
      </c>
      <c r="F378" s="5">
        <v>1</v>
      </c>
      <c r="G378" s="5">
        <v>0</v>
      </c>
      <c r="H378" s="5">
        <v>1</v>
      </c>
      <c r="I378" s="5">
        <v>1</v>
      </c>
      <c r="J378" s="5">
        <v>42</v>
      </c>
      <c r="K378" s="61">
        <v>13</v>
      </c>
    </row>
    <row r="379" spans="2:11" ht="14.25" customHeight="1" x14ac:dyDescent="0.3">
      <c r="B379" s="5">
        <v>378</v>
      </c>
      <c r="C379" s="61">
        <v>14.914122846632385</v>
      </c>
      <c r="D379" s="5">
        <v>1</v>
      </c>
      <c r="E379" s="5">
        <v>1</v>
      </c>
      <c r="F379" s="5">
        <v>0</v>
      </c>
      <c r="G379" s="5">
        <v>0</v>
      </c>
      <c r="H379" s="5">
        <v>1</v>
      </c>
      <c r="I379" s="5">
        <v>1</v>
      </c>
      <c r="J379" s="5">
        <v>40</v>
      </c>
      <c r="K379" s="61">
        <v>30</v>
      </c>
    </row>
    <row r="380" spans="2:11" ht="14.25" customHeight="1" x14ac:dyDescent="0.3">
      <c r="B380" s="5">
        <v>379</v>
      </c>
      <c r="C380" s="61">
        <v>13.997832114758229</v>
      </c>
      <c r="D380" s="5">
        <v>1</v>
      </c>
      <c r="E380" s="5">
        <v>0</v>
      </c>
      <c r="F380" s="5">
        <v>1</v>
      </c>
      <c r="G380" s="5">
        <v>0</v>
      </c>
      <c r="H380" s="5">
        <v>0</v>
      </c>
      <c r="I380" s="5">
        <v>0</v>
      </c>
      <c r="J380" s="5">
        <v>25</v>
      </c>
      <c r="K380" s="61">
        <v>7</v>
      </c>
    </row>
    <row r="381" spans="2:11" ht="14.25" customHeight="1" x14ac:dyDescent="0.3">
      <c r="B381" s="5">
        <v>380</v>
      </c>
      <c r="C381" s="61">
        <v>14.28551418721001</v>
      </c>
      <c r="D381" s="5">
        <v>1</v>
      </c>
      <c r="E381" s="5">
        <v>0</v>
      </c>
      <c r="F381" s="5">
        <v>0</v>
      </c>
      <c r="G381" s="5">
        <v>1</v>
      </c>
      <c r="H381" s="5">
        <v>0</v>
      </c>
      <c r="I381" s="5">
        <v>1</v>
      </c>
      <c r="J381" s="5">
        <v>26</v>
      </c>
      <c r="K381" s="61">
        <v>10</v>
      </c>
    </row>
    <row r="382" spans="2:11" ht="14.25" customHeight="1" x14ac:dyDescent="0.3">
      <c r="B382" s="5">
        <v>381</v>
      </c>
      <c r="C382" s="61">
        <v>14.403297222866392</v>
      </c>
      <c r="D382" s="5">
        <v>1</v>
      </c>
      <c r="E382" s="5">
        <v>0</v>
      </c>
      <c r="F382" s="5">
        <v>0</v>
      </c>
      <c r="G382" s="5">
        <v>1</v>
      </c>
      <c r="H382" s="5">
        <v>0</v>
      </c>
      <c r="I382" s="5">
        <v>1</v>
      </c>
      <c r="J382" s="5">
        <v>26</v>
      </c>
      <c r="K382" s="61">
        <v>2</v>
      </c>
    </row>
    <row r="383" spans="2:11" ht="14.25" customHeight="1" x14ac:dyDescent="0.3">
      <c r="B383" s="5">
        <v>382</v>
      </c>
      <c r="C383" s="61">
        <v>13.815510557964274</v>
      </c>
      <c r="D383" s="5">
        <v>1</v>
      </c>
      <c r="E383" s="5">
        <v>1</v>
      </c>
      <c r="F383" s="5">
        <v>0</v>
      </c>
      <c r="G383" s="5">
        <v>0</v>
      </c>
      <c r="H383" s="5">
        <v>0</v>
      </c>
      <c r="I383" s="5">
        <v>1</v>
      </c>
      <c r="J383" s="5">
        <v>30</v>
      </c>
      <c r="K383" s="61">
        <v>5</v>
      </c>
    </row>
    <row r="384" spans="2:11" ht="14.25" customHeight="1" x14ac:dyDescent="0.3">
      <c r="B384" s="5">
        <v>383</v>
      </c>
      <c r="C384" s="61">
        <v>13.815510557964274</v>
      </c>
      <c r="D384" s="5">
        <v>1</v>
      </c>
      <c r="E384" s="5">
        <v>1</v>
      </c>
      <c r="F384" s="5">
        <v>0</v>
      </c>
      <c r="G384" s="5">
        <v>0</v>
      </c>
      <c r="H384" s="5">
        <v>1</v>
      </c>
      <c r="I384" s="5">
        <v>1</v>
      </c>
      <c r="J384" s="5">
        <v>26</v>
      </c>
      <c r="K384" s="61">
        <v>2</v>
      </c>
    </row>
    <row r="385" spans="2:12" ht="14.25" customHeight="1" x14ac:dyDescent="0.3">
      <c r="B385" s="5">
        <v>384</v>
      </c>
      <c r="C385" s="61">
        <v>14.914122846632385</v>
      </c>
      <c r="D385" s="5">
        <v>1</v>
      </c>
      <c r="E385" s="5">
        <v>0</v>
      </c>
      <c r="F385" s="5">
        <v>0</v>
      </c>
      <c r="G385" s="5">
        <v>1</v>
      </c>
      <c r="H385" s="5">
        <v>0</v>
      </c>
      <c r="I385" s="5">
        <v>1</v>
      </c>
      <c r="J385" s="5">
        <v>25</v>
      </c>
      <c r="K385" s="61">
        <v>5</v>
      </c>
    </row>
    <row r="386" spans="2:12" ht="14.25" customHeight="1" x14ac:dyDescent="0.3">
      <c r="B386" s="5">
        <v>385</v>
      </c>
      <c r="C386" s="61">
        <v>13.815510557964274</v>
      </c>
      <c r="D386" s="5">
        <v>1</v>
      </c>
      <c r="E386" s="5">
        <v>1</v>
      </c>
      <c r="F386" s="5">
        <v>0</v>
      </c>
      <c r="G386" s="5">
        <v>0</v>
      </c>
      <c r="H386" s="5">
        <v>0</v>
      </c>
      <c r="I386" s="5">
        <v>0</v>
      </c>
      <c r="J386" s="5">
        <v>21</v>
      </c>
      <c r="K386" s="61">
        <v>1</v>
      </c>
    </row>
    <row r="387" spans="2:12" ht="14.25" customHeight="1" x14ac:dyDescent="0.3">
      <c r="B387" s="5">
        <v>386</v>
      </c>
      <c r="C387" s="61">
        <v>13.592367006650065</v>
      </c>
      <c r="D387" s="5">
        <v>1</v>
      </c>
      <c r="E387" s="5">
        <v>0</v>
      </c>
      <c r="F387" s="5">
        <v>1</v>
      </c>
      <c r="G387" s="5">
        <v>0</v>
      </c>
      <c r="H387" s="5">
        <v>1</v>
      </c>
      <c r="I387" s="5">
        <v>1</v>
      </c>
      <c r="J387" s="5">
        <v>25</v>
      </c>
      <c r="K387" s="61">
        <v>1</v>
      </c>
    </row>
    <row r="388" spans="2:12" ht="14.25" customHeight="1" x14ac:dyDescent="0.3">
      <c r="B388" s="5">
        <v>387</v>
      </c>
      <c r="C388" s="61">
        <v>13.815510557964274</v>
      </c>
      <c r="D388" s="5">
        <v>1</v>
      </c>
      <c r="E388" s="5">
        <v>1</v>
      </c>
      <c r="F388" s="5">
        <v>0</v>
      </c>
      <c r="G388" s="5">
        <v>0</v>
      </c>
      <c r="H388" s="5">
        <v>0</v>
      </c>
      <c r="I388" s="5">
        <v>0</v>
      </c>
      <c r="J388" s="5">
        <v>19</v>
      </c>
      <c r="K388" s="61">
        <v>5</v>
      </c>
    </row>
    <row r="389" spans="2:12" ht="14.25" customHeight="1" x14ac:dyDescent="0.3">
      <c r="B389" s="5">
        <v>388</v>
      </c>
      <c r="C389" s="61">
        <v>14.220975666072439</v>
      </c>
      <c r="D389" s="5">
        <v>0</v>
      </c>
      <c r="E389" s="5">
        <v>0</v>
      </c>
      <c r="F389" s="5">
        <v>1</v>
      </c>
      <c r="G389" s="5">
        <v>0</v>
      </c>
      <c r="H389" s="5">
        <v>0</v>
      </c>
      <c r="I389" s="5">
        <v>0</v>
      </c>
      <c r="J389" s="5">
        <v>25</v>
      </c>
      <c r="K389" s="61">
        <v>10</v>
      </c>
    </row>
    <row r="390" spans="2:12" ht="14.25" customHeight="1" x14ac:dyDescent="0.3">
      <c r="B390" s="5">
        <v>389</v>
      </c>
      <c r="C390" s="61">
        <v>14.220975666072439</v>
      </c>
      <c r="D390" s="5">
        <v>0</v>
      </c>
      <c r="E390" s="5">
        <v>0</v>
      </c>
      <c r="F390" s="5">
        <v>1</v>
      </c>
      <c r="G390" s="5">
        <v>0</v>
      </c>
      <c r="H390" s="5">
        <v>0</v>
      </c>
      <c r="I390" s="5">
        <v>0</v>
      </c>
      <c r="J390" s="5">
        <v>30</v>
      </c>
      <c r="K390" s="61">
        <v>2</v>
      </c>
      <c r="L390" s="62"/>
    </row>
    <row r="391" spans="2:12" ht="14.25" customHeight="1" x14ac:dyDescent="0.3">
      <c r="B391" s="5">
        <v>390</v>
      </c>
      <c r="C391" s="61">
        <v>14.73180128983843</v>
      </c>
      <c r="D391" s="5">
        <v>0</v>
      </c>
      <c r="E391" s="5">
        <v>0</v>
      </c>
      <c r="F391" s="5">
        <v>0</v>
      </c>
      <c r="G391" s="5">
        <v>1</v>
      </c>
      <c r="H391" s="5">
        <v>0</v>
      </c>
      <c r="I391" s="5">
        <v>1</v>
      </c>
      <c r="J391" s="5">
        <v>27</v>
      </c>
      <c r="K391" s="61">
        <v>2</v>
      </c>
      <c r="L391" s="62"/>
    </row>
    <row r="392" spans="2:12" ht="14.25" customHeight="1" x14ac:dyDescent="0.3">
      <c r="B392" s="63">
        <v>391</v>
      </c>
      <c r="C392" s="64">
        <v>14.914122846632385</v>
      </c>
      <c r="D392" s="63">
        <v>0</v>
      </c>
      <c r="E392" s="63">
        <v>0</v>
      </c>
      <c r="F392" s="63">
        <v>0</v>
      </c>
      <c r="G392" s="63">
        <v>1</v>
      </c>
      <c r="H392" s="63">
        <v>0</v>
      </c>
      <c r="I392" s="63">
        <v>1</v>
      </c>
      <c r="J392" s="63">
        <v>30</v>
      </c>
      <c r="K392" s="64">
        <v>18</v>
      </c>
      <c r="L392" s="62"/>
    </row>
    <row r="393" spans="2:12" ht="14.25" customHeight="1" x14ac:dyDescent="0.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62"/>
    </row>
    <row r="394" spans="2:12" ht="14.25" customHeight="1" x14ac:dyDescent="0.3"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spans="2:12" ht="14.25" customHeight="1" x14ac:dyDescent="0.3"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spans="2:12" ht="14.25" customHeight="1" x14ac:dyDescent="0.3"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spans="2:12" ht="14.25" customHeight="1" x14ac:dyDescent="0.3"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2:12" ht="14.25" customHeight="1" x14ac:dyDescent="0.3"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spans="2:12" ht="14.25" customHeight="1" x14ac:dyDescent="0.3"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2:12" ht="14.25" customHeight="1" x14ac:dyDescent="0.3"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spans="2:11" ht="14.25" customHeight="1" x14ac:dyDescent="0.3"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2:11" ht="14.25" customHeight="1" x14ac:dyDescent="0.3"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spans="2:11" ht="14.25" customHeight="1" x14ac:dyDescent="0.3"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2:11" ht="14.25" customHeight="1" x14ac:dyDescent="0.3"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spans="2:11" ht="14.25" customHeight="1" x14ac:dyDescent="0.3"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spans="2:11" ht="14.25" customHeight="1" x14ac:dyDescent="0.3"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spans="2:11" ht="14.25" customHeight="1" x14ac:dyDescent="0.3"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2:11" ht="14.25" customHeight="1" x14ac:dyDescent="0.3"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spans="2:11" ht="14.25" customHeight="1" x14ac:dyDescent="0.3"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2:11" ht="14.25" customHeight="1" x14ac:dyDescent="0.3"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2:11" ht="14.25" customHeight="1" x14ac:dyDescent="0.3"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2:11" ht="14.25" customHeight="1" x14ac:dyDescent="0.3"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spans="2:11" ht="14.25" customHeight="1" x14ac:dyDescent="0.3"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2:11" ht="14.25" customHeight="1" x14ac:dyDescent="0.3"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spans="2:11" ht="14.25" customHeight="1" x14ac:dyDescent="0.3"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2:11" ht="14.25" customHeight="1" x14ac:dyDescent="0.3"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spans="2:11" ht="14.25" customHeight="1" x14ac:dyDescent="0.3"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2:11" ht="14.25" customHeight="1" x14ac:dyDescent="0.3"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2:11" ht="14.25" customHeight="1" x14ac:dyDescent="0.3"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2:11" ht="14.25" customHeight="1" x14ac:dyDescent="0.3"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spans="2:11" ht="14.25" customHeight="1" x14ac:dyDescent="0.3"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2:11" ht="14.25" customHeight="1" x14ac:dyDescent="0.3"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spans="2:11" ht="14.25" customHeight="1" x14ac:dyDescent="0.3"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2:11" ht="14.25" customHeight="1" x14ac:dyDescent="0.3"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2:11" ht="14.25" customHeight="1" x14ac:dyDescent="0.3"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2:11" ht="14.25" customHeight="1" x14ac:dyDescent="0.3"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spans="2:11" ht="14.25" customHeight="1" x14ac:dyDescent="0.3"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2:11" ht="14.25" customHeight="1" x14ac:dyDescent="0.3"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spans="2:11" ht="14.25" customHeight="1" x14ac:dyDescent="0.3"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2:11" ht="14.25" customHeight="1" x14ac:dyDescent="0.3"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2:11" ht="14.25" customHeight="1" x14ac:dyDescent="0.3"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2:11" ht="14.25" customHeight="1" x14ac:dyDescent="0.3"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spans="2:11" ht="14.25" customHeight="1" x14ac:dyDescent="0.3"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spans="2:11" ht="14.25" customHeight="1" x14ac:dyDescent="0.3"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spans="2:11" ht="14.25" customHeight="1" x14ac:dyDescent="0.3"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spans="2:11" ht="14.25" customHeight="1" x14ac:dyDescent="0.3"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spans="2:11" ht="14.25" customHeight="1" x14ac:dyDescent="0.3"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spans="2:11" ht="14.25" customHeight="1" x14ac:dyDescent="0.3"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spans="2:11" ht="14.25" customHeight="1" x14ac:dyDescent="0.3"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spans="2:11" ht="14.25" customHeight="1" x14ac:dyDescent="0.3"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spans="2:11" ht="14.25" customHeight="1" x14ac:dyDescent="0.3"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spans="2:11" ht="14.25" customHeight="1" x14ac:dyDescent="0.3"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spans="2:11" ht="14.25" customHeight="1" x14ac:dyDescent="0.3"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spans="2:11" ht="14.25" customHeight="1" x14ac:dyDescent="0.3"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spans="2:11" ht="14.25" customHeight="1" x14ac:dyDescent="0.3"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spans="2:11" ht="14.25" customHeight="1" x14ac:dyDescent="0.3"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spans="2:11" ht="14.25" customHeight="1" x14ac:dyDescent="0.3"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spans="2:11" ht="14.25" customHeight="1" x14ac:dyDescent="0.3"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spans="2:11" ht="14.25" customHeight="1" x14ac:dyDescent="0.3"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spans="2:11" ht="14.25" customHeight="1" x14ac:dyDescent="0.3"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spans="2:11" ht="14.25" customHeight="1" x14ac:dyDescent="0.3"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spans="2:11" ht="14.25" customHeight="1" x14ac:dyDescent="0.3"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spans="2:11" ht="14.25" customHeight="1" x14ac:dyDescent="0.3"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spans="2:11" ht="14.25" customHeight="1" x14ac:dyDescent="0.3"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spans="2:11" ht="14.25" customHeight="1" x14ac:dyDescent="0.3"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spans="2:11" ht="14.25" customHeight="1" x14ac:dyDescent="0.3"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spans="2:11" ht="14.25" customHeight="1" x14ac:dyDescent="0.3"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spans="2:11" ht="14.25" customHeight="1" x14ac:dyDescent="0.3"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spans="2:11" ht="14.25" customHeight="1" x14ac:dyDescent="0.3"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spans="2:11" ht="14.25" customHeight="1" x14ac:dyDescent="0.3"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spans="2:11" ht="14.25" customHeight="1" x14ac:dyDescent="0.3"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spans="2:11" ht="14.25" customHeight="1" x14ac:dyDescent="0.3"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spans="2:11" ht="14.25" customHeight="1" x14ac:dyDescent="0.3"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spans="2:11" ht="14.25" customHeight="1" x14ac:dyDescent="0.3"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spans="2:11" ht="14.25" customHeight="1" x14ac:dyDescent="0.3"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spans="2:11" ht="14.25" customHeight="1" x14ac:dyDescent="0.3"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spans="2:11" ht="14.25" customHeight="1" x14ac:dyDescent="0.3"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spans="2:11" ht="14.25" customHeight="1" x14ac:dyDescent="0.3"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spans="2:11" ht="14.25" customHeight="1" x14ac:dyDescent="0.3"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spans="2:11" ht="14.25" customHeight="1" x14ac:dyDescent="0.3"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spans="2:11" ht="14.25" customHeight="1" x14ac:dyDescent="0.3"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spans="2:11" ht="14.25" customHeight="1" x14ac:dyDescent="0.3"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spans="2:11" ht="14.25" customHeight="1" x14ac:dyDescent="0.3"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spans="2:11" ht="14.25" customHeight="1" x14ac:dyDescent="0.3"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spans="2:11" ht="14.25" customHeight="1" x14ac:dyDescent="0.3"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spans="2:11" ht="14.25" customHeight="1" x14ac:dyDescent="0.3"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spans="2:11" ht="14.25" customHeight="1" x14ac:dyDescent="0.3"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spans="2:11" ht="14.25" customHeight="1" x14ac:dyDescent="0.3"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spans="2:11" ht="14.25" customHeight="1" x14ac:dyDescent="0.3"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spans="2:11" ht="14.25" customHeight="1" x14ac:dyDescent="0.3"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spans="2:11" ht="14.25" customHeight="1" x14ac:dyDescent="0.3"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spans="2:11" ht="14.25" customHeight="1" x14ac:dyDescent="0.3"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spans="2:11" ht="14.25" customHeight="1" x14ac:dyDescent="0.3"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spans="2:11" ht="14.25" customHeight="1" x14ac:dyDescent="0.3"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spans="2:11" ht="14.25" customHeight="1" x14ac:dyDescent="0.3"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spans="2:11" ht="14.25" customHeight="1" x14ac:dyDescent="0.3"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spans="2:11" ht="14.25" customHeight="1" x14ac:dyDescent="0.3"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spans="2:11" ht="14.25" customHeight="1" x14ac:dyDescent="0.3"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spans="2:11" ht="14.25" customHeight="1" x14ac:dyDescent="0.3"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spans="2:11" ht="14.25" customHeight="1" x14ac:dyDescent="0.3"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spans="2:11" ht="14.25" customHeight="1" x14ac:dyDescent="0.3"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spans="2:11" ht="14.25" customHeight="1" x14ac:dyDescent="0.3"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spans="2:11" ht="14.25" customHeight="1" x14ac:dyDescent="0.3"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spans="2:11" ht="14.25" customHeight="1" x14ac:dyDescent="0.3"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spans="2:11" ht="14.25" customHeight="1" x14ac:dyDescent="0.3"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spans="2:11" ht="14.25" customHeight="1" x14ac:dyDescent="0.3"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spans="2:11" ht="14.25" customHeight="1" x14ac:dyDescent="0.3"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spans="2:11" ht="14.25" customHeight="1" x14ac:dyDescent="0.3"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spans="2:11" ht="14.25" customHeight="1" x14ac:dyDescent="0.3"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spans="2:11" ht="14.25" customHeight="1" x14ac:dyDescent="0.3"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spans="2:11" ht="14.25" customHeight="1" x14ac:dyDescent="0.3"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spans="2:11" ht="14.25" customHeight="1" x14ac:dyDescent="0.3"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spans="2:11" ht="14.25" customHeight="1" x14ac:dyDescent="0.3"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spans="2:11" ht="14.25" customHeight="1" x14ac:dyDescent="0.3"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spans="2:11" ht="14.25" customHeight="1" x14ac:dyDescent="0.3"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spans="2:11" ht="14.25" customHeight="1" x14ac:dyDescent="0.3"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spans="2:11" ht="14.25" customHeight="1" x14ac:dyDescent="0.3"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spans="2:11" ht="14.25" customHeight="1" x14ac:dyDescent="0.3"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spans="2:11" ht="14.25" customHeight="1" x14ac:dyDescent="0.3"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spans="2:11" ht="14.25" customHeight="1" x14ac:dyDescent="0.3"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spans="2:11" ht="14.25" customHeight="1" x14ac:dyDescent="0.3"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spans="2:11" ht="14.25" customHeight="1" x14ac:dyDescent="0.3"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spans="2:11" ht="14.25" customHeight="1" x14ac:dyDescent="0.3"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2:11" ht="14.25" customHeight="1" x14ac:dyDescent="0.3"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spans="2:11" ht="14.25" customHeight="1" x14ac:dyDescent="0.3"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spans="2:11" ht="14.25" customHeight="1" x14ac:dyDescent="0.3"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spans="2:11" ht="14.25" customHeight="1" x14ac:dyDescent="0.3"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spans="2:11" ht="14.25" customHeight="1" x14ac:dyDescent="0.3"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spans="2:11" ht="14.25" customHeight="1" x14ac:dyDescent="0.3"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spans="2:11" ht="14.25" customHeight="1" x14ac:dyDescent="0.3"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spans="2:11" ht="14.25" customHeight="1" x14ac:dyDescent="0.3"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spans="2:11" ht="14.25" customHeight="1" x14ac:dyDescent="0.3"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spans="2:11" ht="14.25" customHeight="1" x14ac:dyDescent="0.3"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spans="2:11" ht="14.25" customHeight="1" x14ac:dyDescent="0.3"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spans="2:11" ht="14.25" customHeight="1" x14ac:dyDescent="0.3"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spans="2:11" ht="14.25" customHeight="1" x14ac:dyDescent="0.3"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spans="2:11" ht="14.25" customHeight="1" x14ac:dyDescent="0.3"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spans="2:11" ht="14.25" customHeight="1" x14ac:dyDescent="0.3"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spans="2:11" ht="14.25" customHeight="1" x14ac:dyDescent="0.3"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spans="2:11" ht="14.25" customHeight="1" x14ac:dyDescent="0.3"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spans="2:11" ht="14.25" customHeight="1" x14ac:dyDescent="0.3"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spans="2:11" ht="14.25" customHeight="1" x14ac:dyDescent="0.3"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spans="2:11" ht="14.25" customHeight="1" x14ac:dyDescent="0.3"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spans="2:11" ht="14.25" customHeight="1" x14ac:dyDescent="0.3"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spans="2:11" ht="14.25" customHeight="1" x14ac:dyDescent="0.3"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spans="2:11" ht="14.25" customHeight="1" x14ac:dyDescent="0.3"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spans="2:11" ht="14.25" customHeight="1" x14ac:dyDescent="0.3"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spans="2:11" ht="14.25" customHeight="1" x14ac:dyDescent="0.3"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spans="2:11" ht="14.25" customHeight="1" x14ac:dyDescent="0.3"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spans="2:11" ht="14.25" customHeight="1" x14ac:dyDescent="0.3"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spans="2:11" ht="14.25" customHeight="1" x14ac:dyDescent="0.3"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spans="2:11" ht="14.25" customHeight="1" x14ac:dyDescent="0.3"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spans="2:11" ht="14.25" customHeight="1" x14ac:dyDescent="0.3"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spans="2:11" ht="14.25" customHeight="1" x14ac:dyDescent="0.3"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spans="2:11" ht="14.25" customHeight="1" x14ac:dyDescent="0.3"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spans="2:11" ht="14.25" customHeight="1" x14ac:dyDescent="0.3"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spans="2:11" ht="14.25" customHeight="1" x14ac:dyDescent="0.3"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spans="2:11" ht="14.25" customHeight="1" x14ac:dyDescent="0.3"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spans="2:11" ht="14.25" customHeight="1" x14ac:dyDescent="0.3"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spans="2:11" ht="14.25" customHeight="1" x14ac:dyDescent="0.3"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spans="2:11" ht="14.25" customHeight="1" x14ac:dyDescent="0.3"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spans="2:11" ht="14.25" customHeight="1" x14ac:dyDescent="0.3"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spans="2:11" ht="14.25" customHeight="1" x14ac:dyDescent="0.3"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spans="2:11" ht="14.25" customHeight="1" x14ac:dyDescent="0.3"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spans="2:11" ht="14.25" customHeight="1" x14ac:dyDescent="0.3"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spans="2:11" ht="14.25" customHeight="1" x14ac:dyDescent="0.3"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spans="2:11" ht="14.25" customHeight="1" x14ac:dyDescent="0.3"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spans="2:11" ht="14.25" customHeight="1" x14ac:dyDescent="0.3"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spans="2:11" ht="14.25" customHeight="1" x14ac:dyDescent="0.3"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spans="2:11" ht="14.25" customHeight="1" x14ac:dyDescent="0.3"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spans="2:11" ht="14.25" customHeight="1" x14ac:dyDescent="0.3"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spans="2:11" ht="14.25" customHeight="1" x14ac:dyDescent="0.3"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spans="2:11" ht="14.25" customHeight="1" x14ac:dyDescent="0.3"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spans="2:11" ht="14.25" customHeight="1" x14ac:dyDescent="0.3"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spans="2:11" ht="14.25" customHeight="1" x14ac:dyDescent="0.3"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spans="2:11" ht="14.25" customHeight="1" x14ac:dyDescent="0.3"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spans="2:11" ht="14.25" customHeight="1" x14ac:dyDescent="0.3"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spans="2:11" ht="14.25" customHeight="1" x14ac:dyDescent="0.3"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spans="2:11" ht="14.25" customHeight="1" x14ac:dyDescent="0.3"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spans="2:11" ht="14.25" customHeight="1" x14ac:dyDescent="0.3"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spans="2:11" ht="14.25" customHeight="1" x14ac:dyDescent="0.3"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spans="2:11" ht="14.25" customHeight="1" x14ac:dyDescent="0.3"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spans="2:11" ht="14.25" customHeight="1" x14ac:dyDescent="0.3"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spans="2:11" ht="14.25" customHeight="1" x14ac:dyDescent="0.3"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spans="2:11" ht="14.25" customHeight="1" x14ac:dyDescent="0.3"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spans="2:11" ht="14.25" customHeight="1" x14ac:dyDescent="0.3"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spans="2:11" ht="14.25" customHeight="1" x14ac:dyDescent="0.3"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spans="2:11" ht="14.25" customHeight="1" x14ac:dyDescent="0.3"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spans="2:11" ht="14.25" customHeight="1" x14ac:dyDescent="0.3"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spans="2:11" ht="14.25" customHeight="1" x14ac:dyDescent="0.3"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spans="2:11" ht="14.25" customHeight="1" x14ac:dyDescent="0.3"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spans="2:11" ht="14.25" customHeight="1" x14ac:dyDescent="0.3"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spans="2:11" ht="14.25" customHeight="1" x14ac:dyDescent="0.3"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spans="2:11" ht="14.25" customHeight="1" x14ac:dyDescent="0.3"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spans="2:11" ht="14.25" customHeight="1" x14ac:dyDescent="0.3"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spans="2:11" ht="14.25" customHeight="1" x14ac:dyDescent="0.3"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spans="2:11" ht="14.25" customHeight="1" x14ac:dyDescent="0.3"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spans="2:11" ht="14.25" customHeight="1" x14ac:dyDescent="0.3"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spans="2:11" ht="14.25" customHeight="1" x14ac:dyDescent="0.3"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spans="2:11" ht="14.25" customHeight="1" x14ac:dyDescent="0.3"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spans="2:11" ht="14.25" customHeight="1" x14ac:dyDescent="0.3"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spans="2:11" ht="14.25" customHeight="1" x14ac:dyDescent="0.3"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spans="2:11" ht="14.25" customHeight="1" x14ac:dyDescent="0.3"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spans="2:11" ht="14.25" customHeight="1" x14ac:dyDescent="0.3"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spans="2:11" ht="14.25" customHeight="1" x14ac:dyDescent="0.3"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spans="2:11" ht="14.25" customHeight="1" x14ac:dyDescent="0.3"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spans="2:11" ht="14.25" customHeight="1" x14ac:dyDescent="0.3"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spans="2:11" ht="14.25" customHeight="1" x14ac:dyDescent="0.3"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spans="2:11" ht="14.25" customHeight="1" x14ac:dyDescent="0.3"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spans="2:11" ht="14.25" customHeight="1" x14ac:dyDescent="0.3"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spans="2:11" ht="14.25" customHeight="1" x14ac:dyDescent="0.3"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spans="2:11" ht="14.25" customHeight="1" x14ac:dyDescent="0.3"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spans="2:11" ht="14.25" customHeight="1" x14ac:dyDescent="0.3"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spans="2:11" ht="14.25" customHeight="1" x14ac:dyDescent="0.3"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spans="2:11" ht="14.25" customHeight="1" x14ac:dyDescent="0.3"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spans="2:11" ht="14.25" customHeight="1" x14ac:dyDescent="0.3"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spans="2:11" ht="14.25" customHeight="1" x14ac:dyDescent="0.3"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spans="2:11" ht="14.25" customHeight="1" x14ac:dyDescent="0.3"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spans="2:11" ht="14.25" customHeight="1" x14ac:dyDescent="0.3"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spans="2:11" ht="14.25" customHeight="1" x14ac:dyDescent="0.3"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spans="2:11" ht="14.25" customHeight="1" x14ac:dyDescent="0.3"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spans="2:11" ht="14.25" customHeight="1" x14ac:dyDescent="0.3"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spans="2:11" ht="14.25" customHeight="1" x14ac:dyDescent="0.3"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spans="2:11" ht="14.25" customHeight="1" x14ac:dyDescent="0.3"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spans="2:11" ht="14.25" customHeight="1" x14ac:dyDescent="0.3"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spans="2:11" ht="14.25" customHeight="1" x14ac:dyDescent="0.3"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spans="2:11" ht="14.25" customHeight="1" x14ac:dyDescent="0.3"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spans="2:11" ht="14.25" customHeight="1" x14ac:dyDescent="0.3"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spans="2:11" ht="14.25" customHeight="1" x14ac:dyDescent="0.3"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spans="2:11" ht="14.25" customHeight="1" x14ac:dyDescent="0.3"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spans="2:11" ht="14.25" customHeight="1" x14ac:dyDescent="0.3"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spans="2:11" ht="14.25" customHeight="1" x14ac:dyDescent="0.3"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spans="2:11" ht="14.25" customHeight="1" x14ac:dyDescent="0.3"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spans="2:11" ht="14.25" customHeight="1" x14ac:dyDescent="0.3"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spans="2:11" ht="14.25" customHeight="1" x14ac:dyDescent="0.3"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spans="2:11" ht="14.25" customHeight="1" x14ac:dyDescent="0.3"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spans="2:11" ht="14.25" customHeight="1" x14ac:dyDescent="0.3"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spans="2:11" ht="14.25" customHeight="1" x14ac:dyDescent="0.3"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spans="2:11" ht="14.25" customHeight="1" x14ac:dyDescent="0.3"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spans="2:11" ht="14.25" customHeight="1" x14ac:dyDescent="0.3"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spans="2:11" ht="14.25" customHeight="1" x14ac:dyDescent="0.3"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spans="2:11" ht="14.25" customHeight="1" x14ac:dyDescent="0.3"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spans="2:11" ht="14.25" customHeight="1" x14ac:dyDescent="0.3"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spans="2:11" ht="14.25" customHeight="1" x14ac:dyDescent="0.3"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spans="2:11" ht="14.25" customHeight="1" x14ac:dyDescent="0.3"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spans="2:11" ht="14.25" customHeight="1" x14ac:dyDescent="0.3"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spans="2:11" ht="14.25" customHeight="1" x14ac:dyDescent="0.3"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spans="2:11" ht="14.25" customHeight="1" x14ac:dyDescent="0.3"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spans="2:11" ht="14.25" customHeight="1" x14ac:dyDescent="0.3"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spans="2:11" ht="14.25" customHeight="1" x14ac:dyDescent="0.3"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spans="2:11" ht="14.25" customHeight="1" x14ac:dyDescent="0.3"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spans="2:11" ht="14.25" customHeight="1" x14ac:dyDescent="0.3"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spans="2:11" ht="14.25" customHeight="1" x14ac:dyDescent="0.3"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spans="2:11" ht="14.25" customHeight="1" x14ac:dyDescent="0.3"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spans="2:11" ht="14.25" customHeight="1" x14ac:dyDescent="0.3"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spans="2:11" ht="14.25" customHeight="1" x14ac:dyDescent="0.3"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spans="2:11" ht="14.25" customHeight="1" x14ac:dyDescent="0.3"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spans="2:11" ht="14.25" customHeight="1" x14ac:dyDescent="0.3"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spans="2:11" ht="14.25" customHeight="1" x14ac:dyDescent="0.3"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2:11" ht="14.25" customHeight="1" x14ac:dyDescent="0.3"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spans="2:11" ht="14.25" customHeight="1" x14ac:dyDescent="0.3"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spans="2:11" ht="14.25" customHeight="1" x14ac:dyDescent="0.3"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spans="2:11" ht="14.25" customHeight="1" x14ac:dyDescent="0.3"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spans="2:11" ht="14.25" customHeight="1" x14ac:dyDescent="0.3"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spans="2:11" ht="14.25" customHeight="1" x14ac:dyDescent="0.3"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spans="2:11" ht="14.25" customHeight="1" x14ac:dyDescent="0.3"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spans="2:11" ht="14.25" customHeight="1" x14ac:dyDescent="0.3"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spans="2:11" ht="14.25" customHeight="1" x14ac:dyDescent="0.3"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spans="2:11" ht="14.25" customHeight="1" x14ac:dyDescent="0.3"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spans="2:11" ht="14.25" customHeight="1" x14ac:dyDescent="0.3"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spans="2:11" ht="14.25" customHeight="1" x14ac:dyDescent="0.3"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spans="2:11" ht="14.25" customHeight="1" x14ac:dyDescent="0.3"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spans="2:11" ht="14.25" customHeight="1" x14ac:dyDescent="0.3"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spans="2:11" ht="14.25" customHeight="1" x14ac:dyDescent="0.3"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spans="2:11" ht="14.25" customHeight="1" x14ac:dyDescent="0.3"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spans="2:11" ht="14.25" customHeight="1" x14ac:dyDescent="0.3"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spans="2:11" ht="14.25" customHeight="1" x14ac:dyDescent="0.3"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spans="2:11" ht="14.25" customHeight="1" x14ac:dyDescent="0.3"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spans="2:11" ht="14.25" customHeight="1" x14ac:dyDescent="0.3"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spans="2:11" ht="14.25" customHeight="1" x14ac:dyDescent="0.3"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spans="2:11" ht="14.25" customHeight="1" x14ac:dyDescent="0.3"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spans="2:11" ht="14.25" customHeight="1" x14ac:dyDescent="0.3"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spans="2:11" ht="14.25" customHeight="1" x14ac:dyDescent="0.3"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spans="2:11" ht="14.25" customHeight="1" x14ac:dyDescent="0.3"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spans="2:11" ht="14.25" customHeight="1" x14ac:dyDescent="0.3"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spans="2:11" ht="14.25" customHeight="1" x14ac:dyDescent="0.3"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spans="2:11" ht="14.25" customHeight="1" x14ac:dyDescent="0.3"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spans="2:11" ht="14.25" customHeight="1" x14ac:dyDescent="0.3"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spans="2:11" ht="14.25" customHeight="1" x14ac:dyDescent="0.3"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spans="2:11" ht="14.25" customHeight="1" x14ac:dyDescent="0.3"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spans="2:11" ht="14.25" customHeight="1" x14ac:dyDescent="0.3"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spans="2:11" ht="14.25" customHeight="1" x14ac:dyDescent="0.3"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spans="2:11" ht="14.25" customHeight="1" x14ac:dyDescent="0.3"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spans="2:11" ht="14.25" customHeight="1" x14ac:dyDescent="0.3"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spans="2:11" ht="14.25" customHeight="1" x14ac:dyDescent="0.3"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spans="2:11" ht="14.25" customHeight="1" x14ac:dyDescent="0.3"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spans="2:11" ht="14.25" customHeight="1" x14ac:dyDescent="0.3"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spans="2:11" ht="14.25" customHeight="1" x14ac:dyDescent="0.3"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spans="2:11" ht="14.25" customHeight="1" x14ac:dyDescent="0.3"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spans="2:11" ht="14.25" customHeight="1" x14ac:dyDescent="0.3"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spans="2:11" ht="14.25" customHeight="1" x14ac:dyDescent="0.3"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spans="2:11" ht="14.25" customHeight="1" x14ac:dyDescent="0.3"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spans="2:11" ht="14.25" customHeight="1" x14ac:dyDescent="0.3"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spans="2:11" ht="14.25" customHeight="1" x14ac:dyDescent="0.3"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spans="2:11" ht="14.25" customHeight="1" x14ac:dyDescent="0.3"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spans="2:11" ht="14.25" customHeight="1" x14ac:dyDescent="0.3"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spans="2:11" ht="14.25" customHeight="1" x14ac:dyDescent="0.3"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spans="2:11" ht="14.25" customHeight="1" x14ac:dyDescent="0.3"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spans="2:11" ht="14.25" customHeight="1" x14ac:dyDescent="0.3"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spans="2:11" ht="14.25" customHeight="1" x14ac:dyDescent="0.3"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spans="2:11" ht="14.25" customHeight="1" x14ac:dyDescent="0.3"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spans="2:11" ht="14.25" customHeight="1" x14ac:dyDescent="0.3"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spans="2:11" ht="14.25" customHeight="1" x14ac:dyDescent="0.3"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spans="2:11" ht="14.25" customHeight="1" x14ac:dyDescent="0.3"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spans="2:11" ht="14.25" customHeight="1" x14ac:dyDescent="0.3"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spans="2:11" ht="14.25" customHeight="1" x14ac:dyDescent="0.3"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spans="2:11" ht="14.25" customHeight="1" x14ac:dyDescent="0.3"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spans="2:11" ht="14.25" customHeight="1" x14ac:dyDescent="0.3"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spans="2:11" ht="14.25" customHeight="1" x14ac:dyDescent="0.3"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spans="2:11" ht="14.25" customHeight="1" x14ac:dyDescent="0.3"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spans="2:11" ht="14.25" customHeight="1" x14ac:dyDescent="0.3"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spans="2:11" ht="14.25" customHeight="1" x14ac:dyDescent="0.3"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spans="2:11" ht="14.25" customHeight="1" x14ac:dyDescent="0.3"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spans="2:11" ht="14.25" customHeight="1" x14ac:dyDescent="0.3"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spans="2:11" ht="14.25" customHeight="1" x14ac:dyDescent="0.3"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spans="2:11" ht="14.25" customHeight="1" x14ac:dyDescent="0.3"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spans="2:11" ht="14.25" customHeight="1" x14ac:dyDescent="0.3"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spans="2:11" ht="14.25" customHeight="1" x14ac:dyDescent="0.3"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spans="2:11" ht="14.25" customHeight="1" x14ac:dyDescent="0.3"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spans="2:11" ht="14.25" customHeight="1" x14ac:dyDescent="0.3"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spans="2:11" ht="14.25" customHeight="1" x14ac:dyDescent="0.3"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spans="2:11" ht="14.25" customHeight="1" x14ac:dyDescent="0.3"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spans="2:11" ht="14.25" customHeight="1" x14ac:dyDescent="0.3"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spans="2:11" ht="14.25" customHeight="1" x14ac:dyDescent="0.3"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spans="2:11" ht="14.25" customHeight="1" x14ac:dyDescent="0.3"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spans="2:11" ht="14.25" customHeight="1" x14ac:dyDescent="0.3"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spans="2:11" ht="14.25" customHeight="1" x14ac:dyDescent="0.3"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spans="2:11" ht="14.25" customHeight="1" x14ac:dyDescent="0.3"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spans="2:11" ht="14.25" customHeight="1" x14ac:dyDescent="0.3"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spans="2:11" ht="14.25" customHeight="1" x14ac:dyDescent="0.3"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spans="2:11" ht="14.25" customHeight="1" x14ac:dyDescent="0.3"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spans="2:11" ht="14.25" customHeight="1" x14ac:dyDescent="0.3"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spans="2:11" ht="14.25" customHeight="1" x14ac:dyDescent="0.3"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2:11" ht="14.25" customHeight="1" x14ac:dyDescent="0.3"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spans="2:11" ht="14.25" customHeight="1" x14ac:dyDescent="0.3"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spans="2:11" ht="14.25" customHeight="1" x14ac:dyDescent="0.3"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spans="2:11" ht="14.25" customHeight="1" x14ac:dyDescent="0.3"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spans="2:11" ht="14.25" customHeight="1" x14ac:dyDescent="0.3"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spans="2:11" ht="14.25" customHeight="1" x14ac:dyDescent="0.3"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spans="2:11" ht="14.25" customHeight="1" x14ac:dyDescent="0.3"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spans="2:11" ht="14.25" customHeight="1" x14ac:dyDescent="0.3"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spans="2:11" ht="14.25" customHeight="1" x14ac:dyDescent="0.3"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spans="2:11" ht="14.25" customHeight="1" x14ac:dyDescent="0.3"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spans="2:11" ht="14.25" customHeight="1" x14ac:dyDescent="0.3"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spans="2:11" ht="14.25" customHeight="1" x14ac:dyDescent="0.3"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spans="2:11" ht="14.25" customHeight="1" x14ac:dyDescent="0.3"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spans="2:11" ht="14.25" customHeight="1" x14ac:dyDescent="0.3"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spans="2:11" ht="14.25" customHeight="1" x14ac:dyDescent="0.3"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spans="2:11" ht="14.25" customHeight="1" x14ac:dyDescent="0.3"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spans="2:11" ht="14.25" customHeight="1" x14ac:dyDescent="0.3"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spans="2:11" ht="14.25" customHeight="1" x14ac:dyDescent="0.3"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spans="2:11" ht="14.25" customHeight="1" x14ac:dyDescent="0.3"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spans="2:11" ht="14.25" customHeight="1" x14ac:dyDescent="0.3"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spans="2:11" ht="14.25" customHeight="1" x14ac:dyDescent="0.3"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spans="2:11" ht="14.25" customHeight="1" x14ac:dyDescent="0.3"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2:11" ht="14.25" customHeight="1" x14ac:dyDescent="0.3"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spans="2:11" ht="14.25" customHeight="1" x14ac:dyDescent="0.3"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spans="2:11" ht="14.25" customHeight="1" x14ac:dyDescent="0.3"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spans="2:11" ht="14.25" customHeight="1" x14ac:dyDescent="0.3"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spans="2:11" ht="14.25" customHeight="1" x14ac:dyDescent="0.3"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spans="2:11" ht="14.25" customHeight="1" x14ac:dyDescent="0.3"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spans="2:11" ht="14.25" customHeight="1" x14ac:dyDescent="0.3"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spans="2:11" ht="14.25" customHeight="1" x14ac:dyDescent="0.3"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spans="2:11" ht="14.25" customHeight="1" x14ac:dyDescent="0.3"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spans="2:11" ht="14.25" customHeight="1" x14ac:dyDescent="0.3"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spans="2:11" ht="14.25" customHeight="1" x14ac:dyDescent="0.3"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2:11" ht="14.25" customHeight="1" x14ac:dyDescent="0.3"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spans="2:11" ht="14.25" customHeight="1" x14ac:dyDescent="0.3"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spans="2:11" ht="14.25" customHeight="1" x14ac:dyDescent="0.3"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spans="2:11" ht="14.25" customHeight="1" x14ac:dyDescent="0.3"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spans="2:11" ht="14.25" customHeight="1" x14ac:dyDescent="0.3"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spans="2:11" ht="14.25" customHeight="1" x14ac:dyDescent="0.3"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2:11" ht="14.25" customHeight="1" x14ac:dyDescent="0.3"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spans="2:11" ht="14.25" customHeight="1" x14ac:dyDescent="0.3"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spans="2:11" ht="14.25" customHeight="1" x14ac:dyDescent="0.3"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spans="2:11" ht="14.25" customHeight="1" x14ac:dyDescent="0.3"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spans="2:11" ht="14.25" customHeight="1" x14ac:dyDescent="0.3"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spans="2:11" ht="14.25" customHeight="1" x14ac:dyDescent="0.3"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spans="2:11" ht="14.25" customHeight="1" x14ac:dyDescent="0.3"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spans="2:11" ht="14.25" customHeight="1" x14ac:dyDescent="0.3"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2:11" ht="14.25" customHeight="1" x14ac:dyDescent="0.3"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spans="2:11" ht="14.25" customHeight="1" x14ac:dyDescent="0.3"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spans="2:11" ht="14.25" customHeight="1" x14ac:dyDescent="0.3"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spans="2:11" ht="14.25" customHeight="1" x14ac:dyDescent="0.3"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spans="2:11" ht="14.25" customHeight="1" x14ac:dyDescent="0.3"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spans="2:11" ht="14.25" customHeight="1" x14ac:dyDescent="0.3"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spans="2:11" ht="14.25" customHeight="1" x14ac:dyDescent="0.3"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spans="2:11" ht="14.25" customHeight="1" x14ac:dyDescent="0.3"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spans="2:11" ht="14.25" customHeight="1" x14ac:dyDescent="0.3"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spans="2:11" ht="14.25" customHeight="1" x14ac:dyDescent="0.3"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spans="2:11" ht="14.25" customHeight="1" x14ac:dyDescent="0.3"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spans="2:11" ht="14.25" customHeight="1" x14ac:dyDescent="0.3"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spans="2:11" ht="14.25" customHeight="1" x14ac:dyDescent="0.3"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spans="2:11" ht="14.25" customHeight="1" x14ac:dyDescent="0.3"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spans="2:11" ht="14.25" customHeight="1" x14ac:dyDescent="0.3"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spans="2:11" ht="14.25" customHeight="1" x14ac:dyDescent="0.3"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spans="2:11" ht="14.25" customHeight="1" x14ac:dyDescent="0.3"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spans="2:11" ht="14.25" customHeight="1" x14ac:dyDescent="0.3"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spans="2:11" ht="14.25" customHeight="1" x14ac:dyDescent="0.3"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spans="2:11" ht="14.25" customHeight="1" x14ac:dyDescent="0.3"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spans="2:11" ht="14.25" customHeight="1" x14ac:dyDescent="0.3"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spans="2:11" ht="14.25" customHeight="1" x14ac:dyDescent="0.3"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spans="2:11" ht="14.25" customHeight="1" x14ac:dyDescent="0.3"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spans="2:11" ht="14.25" customHeight="1" x14ac:dyDescent="0.3"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spans="2:11" ht="14.25" customHeight="1" x14ac:dyDescent="0.3"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spans="2:11" ht="14.25" customHeight="1" x14ac:dyDescent="0.3"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spans="2:11" ht="14.25" customHeight="1" x14ac:dyDescent="0.3"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spans="2:11" ht="14.25" customHeight="1" x14ac:dyDescent="0.3"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spans="2:11" ht="14.25" customHeight="1" x14ac:dyDescent="0.3"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spans="2:11" ht="14.25" customHeight="1" x14ac:dyDescent="0.3"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spans="2:11" ht="14.25" customHeight="1" x14ac:dyDescent="0.3"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spans="2:11" ht="14.25" customHeight="1" x14ac:dyDescent="0.3"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spans="2:11" ht="14.25" customHeight="1" x14ac:dyDescent="0.3"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spans="2:11" ht="14.25" customHeight="1" x14ac:dyDescent="0.3"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spans="2:11" ht="14.25" customHeight="1" x14ac:dyDescent="0.3"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spans="2:11" ht="14.25" customHeight="1" x14ac:dyDescent="0.3"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spans="2:11" ht="14.25" customHeight="1" x14ac:dyDescent="0.3"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spans="2:11" ht="14.25" customHeight="1" x14ac:dyDescent="0.3"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spans="2:11" ht="14.25" customHeight="1" x14ac:dyDescent="0.3"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spans="2:11" ht="14.25" customHeight="1" x14ac:dyDescent="0.3"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spans="2:11" ht="14.25" customHeight="1" x14ac:dyDescent="0.3"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spans="2:11" ht="14.25" customHeight="1" x14ac:dyDescent="0.3"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spans="2:11" ht="14.25" customHeight="1" x14ac:dyDescent="0.3"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spans="2:11" ht="14.25" customHeight="1" x14ac:dyDescent="0.3"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spans="2:11" ht="14.25" customHeight="1" x14ac:dyDescent="0.3"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spans="2:11" ht="14.25" customHeight="1" x14ac:dyDescent="0.3"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spans="2:11" ht="14.25" customHeight="1" x14ac:dyDescent="0.3"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spans="2:11" ht="14.25" customHeight="1" x14ac:dyDescent="0.3"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spans="2:11" ht="14.25" customHeight="1" x14ac:dyDescent="0.3"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spans="2:11" ht="14.25" customHeight="1" x14ac:dyDescent="0.3"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spans="2:11" ht="14.25" customHeight="1" x14ac:dyDescent="0.3"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spans="2:11" ht="14.25" customHeight="1" x14ac:dyDescent="0.3"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spans="2:11" ht="14.25" customHeight="1" x14ac:dyDescent="0.3"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spans="2:11" ht="14.25" customHeight="1" x14ac:dyDescent="0.3"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spans="2:11" ht="14.25" customHeight="1" x14ac:dyDescent="0.3"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spans="2:11" ht="14.25" customHeight="1" x14ac:dyDescent="0.3"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spans="2:11" ht="14.25" customHeight="1" x14ac:dyDescent="0.3"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spans="2:11" ht="14.25" customHeight="1" x14ac:dyDescent="0.3"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spans="2:11" ht="14.25" customHeight="1" x14ac:dyDescent="0.3"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spans="2:11" ht="14.25" customHeight="1" x14ac:dyDescent="0.3"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spans="2:11" ht="14.25" customHeight="1" x14ac:dyDescent="0.3"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spans="2:11" ht="14.25" customHeight="1" x14ac:dyDescent="0.3"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spans="2:11" ht="14.25" customHeight="1" x14ac:dyDescent="0.3"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spans="2:11" ht="14.25" customHeight="1" x14ac:dyDescent="0.3"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spans="2:11" ht="14.25" customHeight="1" x14ac:dyDescent="0.3"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spans="2:11" ht="14.25" customHeight="1" x14ac:dyDescent="0.3"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spans="2:11" ht="14.25" customHeight="1" x14ac:dyDescent="0.3"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spans="2:11" ht="14.25" customHeight="1" x14ac:dyDescent="0.3"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spans="2:11" ht="14.25" customHeight="1" x14ac:dyDescent="0.3"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spans="2:11" ht="14.25" customHeight="1" x14ac:dyDescent="0.3"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spans="2:11" ht="14.25" customHeight="1" x14ac:dyDescent="0.3"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spans="2:11" ht="14.25" customHeight="1" x14ac:dyDescent="0.3"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spans="2:11" ht="14.25" customHeight="1" x14ac:dyDescent="0.3"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spans="2:11" ht="14.25" customHeight="1" x14ac:dyDescent="0.3"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spans="2:11" ht="14.25" customHeight="1" x14ac:dyDescent="0.3"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spans="2:11" ht="14.25" customHeight="1" x14ac:dyDescent="0.3"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spans="2:11" ht="14.25" customHeight="1" x14ac:dyDescent="0.3"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spans="2:11" ht="14.25" customHeight="1" x14ac:dyDescent="0.3"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spans="2:11" ht="14.25" customHeight="1" x14ac:dyDescent="0.3"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spans="2:11" ht="14.25" customHeight="1" x14ac:dyDescent="0.3"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spans="2:11" ht="14.25" customHeight="1" x14ac:dyDescent="0.3"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spans="2:11" ht="14.25" customHeight="1" x14ac:dyDescent="0.3"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spans="2:11" ht="14.25" customHeight="1" x14ac:dyDescent="0.3"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spans="2:11" ht="14.25" customHeight="1" x14ac:dyDescent="0.3"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spans="2:11" ht="14.25" customHeight="1" x14ac:dyDescent="0.3"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spans="2:11" ht="14.25" customHeight="1" x14ac:dyDescent="0.3"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spans="2:11" ht="14.25" customHeight="1" x14ac:dyDescent="0.3"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spans="2:11" ht="14.25" customHeight="1" x14ac:dyDescent="0.3"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spans="2:11" ht="14.25" customHeight="1" x14ac:dyDescent="0.3"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spans="2:11" ht="14.25" customHeight="1" x14ac:dyDescent="0.3"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spans="2:11" ht="14.25" customHeight="1" x14ac:dyDescent="0.3"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spans="2:11" ht="14.25" customHeight="1" x14ac:dyDescent="0.3"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spans="2:11" ht="14.25" customHeight="1" x14ac:dyDescent="0.3"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spans="2:11" ht="14.25" customHeight="1" x14ac:dyDescent="0.3"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spans="2:11" ht="14.25" customHeight="1" x14ac:dyDescent="0.3"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spans="2:11" ht="14.25" customHeight="1" x14ac:dyDescent="0.3"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spans="2:11" ht="14.25" customHeight="1" x14ac:dyDescent="0.3"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spans="2:11" ht="14.25" customHeight="1" x14ac:dyDescent="0.3"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spans="2:11" ht="14.25" customHeight="1" x14ac:dyDescent="0.3"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spans="2:11" ht="14.25" customHeight="1" x14ac:dyDescent="0.3"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spans="2:11" ht="14.25" customHeight="1" x14ac:dyDescent="0.3"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spans="2:11" ht="14.25" customHeight="1" x14ac:dyDescent="0.3"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spans="2:11" ht="14.25" customHeight="1" x14ac:dyDescent="0.3"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spans="2:11" ht="14.25" customHeight="1" x14ac:dyDescent="0.3"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spans="2:11" ht="14.25" customHeight="1" x14ac:dyDescent="0.3"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spans="2:11" ht="14.25" customHeight="1" x14ac:dyDescent="0.3"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spans="2:11" ht="14.25" customHeight="1" x14ac:dyDescent="0.3"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spans="2:11" ht="14.25" customHeight="1" x14ac:dyDescent="0.3"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spans="2:11" ht="14.25" customHeight="1" x14ac:dyDescent="0.3"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spans="2:11" ht="14.25" customHeight="1" x14ac:dyDescent="0.3"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spans="2:11" ht="14.25" customHeight="1" x14ac:dyDescent="0.3"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spans="2:11" ht="14.25" customHeight="1" x14ac:dyDescent="0.3"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spans="2:11" ht="14.25" customHeight="1" x14ac:dyDescent="0.3"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spans="2:11" ht="14.25" customHeight="1" x14ac:dyDescent="0.3"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spans="2:11" ht="14.25" customHeight="1" x14ac:dyDescent="0.3"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spans="2:11" ht="14.25" customHeight="1" x14ac:dyDescent="0.3"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spans="2:11" ht="14.25" customHeight="1" x14ac:dyDescent="0.3"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spans="2:11" ht="14.25" customHeight="1" x14ac:dyDescent="0.3"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spans="2:11" ht="14.25" customHeight="1" x14ac:dyDescent="0.3"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spans="2:11" ht="14.25" customHeight="1" x14ac:dyDescent="0.3"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spans="2:11" ht="14.25" customHeight="1" x14ac:dyDescent="0.3"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spans="2:11" ht="14.25" customHeight="1" x14ac:dyDescent="0.3"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spans="2:11" ht="14.25" customHeight="1" x14ac:dyDescent="0.3"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spans="2:11" ht="14.25" customHeight="1" x14ac:dyDescent="0.3"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spans="2:11" ht="14.25" customHeight="1" x14ac:dyDescent="0.3"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spans="2:11" ht="14.25" customHeight="1" x14ac:dyDescent="0.3"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spans="2:11" ht="14.25" customHeight="1" x14ac:dyDescent="0.3"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spans="2:11" ht="14.25" customHeight="1" x14ac:dyDescent="0.3"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spans="2:11" ht="14.25" customHeight="1" x14ac:dyDescent="0.3"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spans="2:11" ht="14.25" customHeight="1" x14ac:dyDescent="0.3"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spans="2:11" ht="14.25" customHeight="1" x14ac:dyDescent="0.3"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spans="2:11" ht="14.25" customHeight="1" x14ac:dyDescent="0.3"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spans="2:11" ht="14.25" customHeight="1" x14ac:dyDescent="0.3"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spans="2:11" ht="14.25" customHeight="1" x14ac:dyDescent="0.3"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spans="2:11" ht="14.25" customHeight="1" x14ac:dyDescent="0.3"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spans="2:11" ht="14.25" customHeight="1" x14ac:dyDescent="0.3"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spans="2:11" ht="14.25" customHeight="1" x14ac:dyDescent="0.3"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spans="2:11" ht="14.25" customHeight="1" x14ac:dyDescent="0.3"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spans="2:11" ht="14.25" customHeight="1" x14ac:dyDescent="0.3"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spans="2:11" ht="14.25" customHeight="1" x14ac:dyDescent="0.3"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spans="2:11" ht="14.25" customHeight="1" x14ac:dyDescent="0.3"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spans="2:11" ht="14.25" customHeight="1" x14ac:dyDescent="0.3"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spans="2:11" ht="14.25" customHeight="1" x14ac:dyDescent="0.3"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spans="2:11" ht="14.25" customHeight="1" x14ac:dyDescent="0.3"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spans="2:11" ht="14.25" customHeight="1" x14ac:dyDescent="0.3"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spans="2:11" ht="14.25" customHeight="1" x14ac:dyDescent="0.3"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spans="2:11" ht="14.25" customHeight="1" x14ac:dyDescent="0.3"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spans="2:11" ht="14.25" customHeight="1" x14ac:dyDescent="0.3"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spans="2:11" ht="14.25" customHeight="1" x14ac:dyDescent="0.3"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spans="2:11" ht="14.25" customHeight="1" x14ac:dyDescent="0.3"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spans="2:11" ht="14.25" customHeight="1" x14ac:dyDescent="0.3"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spans="2:11" ht="14.25" customHeight="1" x14ac:dyDescent="0.3"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spans="2:11" ht="14.25" customHeight="1" x14ac:dyDescent="0.3"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spans="2:11" ht="14.25" customHeight="1" x14ac:dyDescent="0.3"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spans="2:11" ht="14.25" customHeight="1" x14ac:dyDescent="0.3"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spans="2:11" ht="14.25" customHeight="1" x14ac:dyDescent="0.3"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spans="2:11" ht="14.25" customHeight="1" x14ac:dyDescent="0.3"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spans="2:11" ht="14.25" customHeight="1" x14ac:dyDescent="0.3"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spans="2:11" ht="14.25" customHeight="1" x14ac:dyDescent="0.3"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spans="2:11" ht="14.25" customHeight="1" x14ac:dyDescent="0.3"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spans="2:11" ht="14.25" customHeight="1" x14ac:dyDescent="0.3"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spans="2:11" ht="14.25" customHeight="1" x14ac:dyDescent="0.3"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spans="2:11" ht="14.25" customHeight="1" x14ac:dyDescent="0.3"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spans="2:11" ht="14.25" customHeight="1" x14ac:dyDescent="0.3"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spans="2:11" ht="14.25" customHeight="1" x14ac:dyDescent="0.3"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spans="2:11" ht="14.25" customHeight="1" x14ac:dyDescent="0.3"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spans="2:11" ht="14.25" customHeight="1" x14ac:dyDescent="0.3"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spans="2:11" ht="14.25" customHeight="1" x14ac:dyDescent="0.3"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spans="2:11" ht="14.25" customHeight="1" x14ac:dyDescent="0.3"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spans="2:11" ht="14.25" customHeight="1" x14ac:dyDescent="0.3"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spans="2:11" ht="14.25" customHeight="1" x14ac:dyDescent="0.3"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spans="2:11" ht="14.25" customHeight="1" x14ac:dyDescent="0.3"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spans="2:11" ht="14.25" customHeight="1" x14ac:dyDescent="0.3"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spans="2:11" ht="14.25" customHeight="1" x14ac:dyDescent="0.3"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spans="2:11" ht="14.25" customHeight="1" x14ac:dyDescent="0.3"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spans="2:11" ht="14.25" customHeight="1" x14ac:dyDescent="0.3"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spans="2:11" ht="14.25" customHeight="1" x14ac:dyDescent="0.3"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spans="2:11" ht="14.25" customHeight="1" x14ac:dyDescent="0.3"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spans="2:11" ht="14.25" customHeight="1" x14ac:dyDescent="0.3"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spans="2:11" ht="14.25" customHeight="1" x14ac:dyDescent="0.3"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spans="2:11" ht="14.25" customHeight="1" x14ac:dyDescent="0.3"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spans="2:11" ht="14.25" customHeight="1" x14ac:dyDescent="0.3"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spans="2:11" ht="14.25" customHeight="1" x14ac:dyDescent="0.3"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spans="2:11" ht="14.25" customHeight="1" x14ac:dyDescent="0.3"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spans="2:11" ht="14.25" customHeight="1" x14ac:dyDescent="0.3"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spans="2:11" ht="14.25" customHeight="1" x14ac:dyDescent="0.3"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spans="2:11" ht="14.25" customHeight="1" x14ac:dyDescent="0.3"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spans="2:11" ht="14.25" customHeight="1" x14ac:dyDescent="0.3"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spans="2:11" ht="14.25" customHeight="1" x14ac:dyDescent="0.3"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spans="2:11" ht="14.25" customHeight="1" x14ac:dyDescent="0.3"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spans="2:11" ht="14.25" customHeight="1" x14ac:dyDescent="0.3"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spans="2:11" ht="14.25" customHeight="1" x14ac:dyDescent="0.3"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spans="2:11" ht="14.25" customHeight="1" x14ac:dyDescent="0.3"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spans="2:11" ht="14.25" customHeight="1" x14ac:dyDescent="0.3"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spans="2:11" ht="14.25" customHeight="1" x14ac:dyDescent="0.3"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spans="2:11" ht="14.25" customHeight="1" x14ac:dyDescent="0.3"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spans="2:11" ht="14.25" customHeight="1" x14ac:dyDescent="0.3"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spans="2:11" ht="14.25" customHeight="1" x14ac:dyDescent="0.3"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spans="2:11" ht="14.25" customHeight="1" x14ac:dyDescent="0.3"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spans="2:11" ht="14.25" customHeight="1" x14ac:dyDescent="0.3"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spans="2:11" ht="14.25" customHeight="1" x14ac:dyDescent="0.3"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spans="2:11" ht="14.25" customHeight="1" x14ac:dyDescent="0.3"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spans="2:11" ht="14.25" customHeight="1" x14ac:dyDescent="0.3"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spans="2:11" ht="14.25" customHeight="1" x14ac:dyDescent="0.3"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spans="2:11" ht="14.25" customHeight="1" x14ac:dyDescent="0.3"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spans="2:11" ht="14.25" customHeight="1" x14ac:dyDescent="0.3"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spans="2:11" ht="14.25" customHeight="1" x14ac:dyDescent="0.3"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spans="2:11" ht="14.25" customHeight="1" x14ac:dyDescent="0.3"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spans="2:11" ht="14.25" customHeight="1" x14ac:dyDescent="0.3"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spans="2:11" ht="14.25" customHeight="1" x14ac:dyDescent="0.3"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spans="2:11" ht="14.25" customHeight="1" x14ac:dyDescent="0.3"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spans="2:11" ht="14.25" customHeight="1" x14ac:dyDescent="0.3"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spans="2:11" ht="14.25" customHeight="1" x14ac:dyDescent="0.3"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spans="2:11" ht="14.25" customHeight="1" x14ac:dyDescent="0.3"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spans="2:11" ht="14.25" customHeight="1" x14ac:dyDescent="0.3"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spans="2:11" ht="14.25" customHeight="1" x14ac:dyDescent="0.3"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spans="2:11" ht="14.25" customHeight="1" x14ac:dyDescent="0.3"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spans="2:11" ht="14.25" customHeight="1" x14ac:dyDescent="0.3"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spans="2:11" ht="14.25" customHeight="1" x14ac:dyDescent="0.3"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spans="2:11" ht="14.25" customHeight="1" x14ac:dyDescent="0.3"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/>
  </sheetViews>
  <sheetFormatPr baseColWidth="10" defaultColWidth="14.44140625" defaultRowHeight="15" customHeight="1" x14ac:dyDescent="0.3"/>
  <cols>
    <col min="1" max="2" width="8.88671875" customWidth="1"/>
    <col min="3" max="3" width="14.33203125" customWidth="1"/>
    <col min="4" max="14" width="8.88671875" customWidth="1"/>
    <col min="15" max="15" width="17.33203125" customWidth="1"/>
    <col min="16" max="16" width="8.88671875" customWidth="1"/>
    <col min="17" max="17" width="12.6640625" customWidth="1"/>
    <col min="18" max="26" width="8.88671875" customWidth="1"/>
  </cols>
  <sheetData>
    <row r="1" spans="1:17" ht="14.25" customHeight="1" x14ac:dyDescent="0.3">
      <c r="A1" s="16" t="s">
        <v>276</v>
      </c>
      <c r="C1" s="65"/>
      <c r="O1" s="66"/>
    </row>
    <row r="2" spans="1:17" ht="14.25" customHeight="1" x14ac:dyDescent="0.3">
      <c r="C2" s="65"/>
      <c r="O2" s="66"/>
    </row>
    <row r="3" spans="1:17" ht="14.25" customHeight="1" x14ac:dyDescent="0.3">
      <c r="B3" s="65" t="s">
        <v>277</v>
      </c>
      <c r="C3" s="31" t="s">
        <v>278</v>
      </c>
      <c r="F3" s="65"/>
      <c r="G3" s="16" t="s">
        <v>279</v>
      </c>
      <c r="H3" s="16" t="s">
        <v>43</v>
      </c>
      <c r="I3" s="16" t="s">
        <v>280</v>
      </c>
      <c r="J3" s="16" t="s">
        <v>41</v>
      </c>
      <c r="K3" s="16" t="s">
        <v>20</v>
      </c>
      <c r="L3" s="16" t="s">
        <v>281</v>
      </c>
      <c r="M3" s="16" t="s">
        <v>282</v>
      </c>
      <c r="N3" s="16" t="s">
        <v>283</v>
      </c>
      <c r="O3" s="66" t="s">
        <v>284</v>
      </c>
    </row>
    <row r="4" spans="1:17" ht="14.25" customHeight="1" x14ac:dyDescent="0.3">
      <c r="B4" s="16" t="s">
        <v>279</v>
      </c>
      <c r="C4" s="65">
        <v>-169036.79999999999</v>
      </c>
      <c r="G4" s="16">
        <f>G7</f>
        <v>-169036.79999999999</v>
      </c>
      <c r="H4" s="16">
        <v>18</v>
      </c>
      <c r="I4" s="16">
        <v>2</v>
      </c>
      <c r="J4" s="16">
        <f>C7</f>
        <v>262374.90000000002</v>
      </c>
      <c r="K4" s="16">
        <v>0</v>
      </c>
      <c r="M4" s="16">
        <f>C10</f>
        <v>-963135.4</v>
      </c>
      <c r="N4" s="16">
        <f t="shared" ref="N4:N13" si="0">I4</f>
        <v>2</v>
      </c>
      <c r="O4" s="66">
        <f t="shared" ref="O4:O13" si="1">$C$13+G4+H4+I4+J4+K4+L4+M4</f>
        <v>616544.70000000007</v>
      </c>
    </row>
    <row r="5" spans="1:17" ht="14.25" customHeight="1" x14ac:dyDescent="0.3">
      <c r="B5" s="16" t="s">
        <v>43</v>
      </c>
      <c r="C5" s="65">
        <v>15498.33</v>
      </c>
      <c r="H5" s="16">
        <v>30</v>
      </c>
      <c r="I5" s="16">
        <v>8</v>
      </c>
      <c r="J5" s="16">
        <v>0</v>
      </c>
      <c r="K5" s="16">
        <f>C8</f>
        <v>524805</v>
      </c>
      <c r="L5" s="16">
        <v>0</v>
      </c>
      <c r="M5" s="16">
        <v>0</v>
      </c>
      <c r="N5" s="16">
        <f t="shared" si="0"/>
        <v>8</v>
      </c>
      <c r="O5" s="66">
        <f t="shared" si="1"/>
        <v>2011165</v>
      </c>
    </row>
    <row r="6" spans="1:17" ht="14.25" customHeight="1" x14ac:dyDescent="0.3">
      <c r="B6" s="16" t="s">
        <v>280</v>
      </c>
      <c r="C6" s="65">
        <v>38264.65</v>
      </c>
      <c r="G6" s="16">
        <f>C4</f>
        <v>-169036.79999999999</v>
      </c>
      <c r="H6" s="16">
        <v>40</v>
      </c>
      <c r="I6" s="16">
        <v>12</v>
      </c>
      <c r="J6" s="16">
        <f>J4</f>
        <v>262374.90000000002</v>
      </c>
      <c r="K6" s="16">
        <f>K5</f>
        <v>524805</v>
      </c>
      <c r="L6" s="16">
        <v>0</v>
      </c>
      <c r="M6" s="16">
        <f>0</f>
        <v>0</v>
      </c>
      <c r="N6" s="16">
        <f t="shared" si="0"/>
        <v>12</v>
      </c>
      <c r="O6" s="66">
        <f t="shared" si="1"/>
        <v>2104517.1</v>
      </c>
    </row>
    <row r="7" spans="1:17" ht="14.25" customHeight="1" x14ac:dyDescent="0.3">
      <c r="B7" s="16" t="s">
        <v>41</v>
      </c>
      <c r="C7" s="65">
        <v>262374.90000000002</v>
      </c>
      <c r="G7" s="16">
        <f>G9</f>
        <v>-169036.79999999999</v>
      </c>
      <c r="H7" s="16">
        <v>17</v>
      </c>
      <c r="I7" s="16">
        <v>1</v>
      </c>
      <c r="J7" s="16">
        <v>0</v>
      </c>
      <c r="K7" s="16">
        <v>0</v>
      </c>
      <c r="L7" s="16">
        <f>L12</f>
        <v>0</v>
      </c>
      <c r="M7" s="16">
        <v>0</v>
      </c>
      <c r="N7" s="16">
        <f t="shared" si="0"/>
        <v>1</v>
      </c>
      <c r="O7" s="66">
        <f t="shared" si="1"/>
        <v>1317303.2</v>
      </c>
    </row>
    <row r="8" spans="1:17" ht="14.25" customHeight="1" x14ac:dyDescent="0.3">
      <c r="B8" s="16" t="s">
        <v>20</v>
      </c>
      <c r="C8" s="65">
        <v>524805</v>
      </c>
      <c r="H8" s="16">
        <v>50</v>
      </c>
      <c r="I8" s="16">
        <v>30</v>
      </c>
      <c r="J8" s="16">
        <v>0</v>
      </c>
      <c r="K8" s="16">
        <v>0</v>
      </c>
      <c r="L8" s="16">
        <v>0</v>
      </c>
      <c r="M8" s="16">
        <v>0</v>
      </c>
      <c r="N8" s="16">
        <f t="shared" si="0"/>
        <v>30</v>
      </c>
      <c r="O8" s="66">
        <f t="shared" si="1"/>
        <v>1486402</v>
      </c>
    </row>
    <row r="9" spans="1:17" ht="14.25" customHeight="1" x14ac:dyDescent="0.3">
      <c r="B9" s="16" t="s">
        <v>281</v>
      </c>
      <c r="C9" s="65">
        <v>150256.9</v>
      </c>
      <c r="G9" s="16">
        <f>C4</f>
        <v>-169036.79999999999</v>
      </c>
      <c r="H9" s="16">
        <v>33</v>
      </c>
      <c r="I9" s="16">
        <v>8</v>
      </c>
      <c r="J9" s="16">
        <f>J4</f>
        <v>262374.90000000002</v>
      </c>
      <c r="K9" s="16">
        <f>K6</f>
        <v>524805</v>
      </c>
      <c r="L9" s="16">
        <v>0</v>
      </c>
      <c r="M9" s="16">
        <f>C11</f>
        <v>-874487.3</v>
      </c>
      <c r="N9" s="16">
        <f t="shared" si="0"/>
        <v>8</v>
      </c>
      <c r="O9" s="66">
        <f t="shared" si="1"/>
        <v>1230018.8</v>
      </c>
    </row>
    <row r="10" spans="1:17" ht="14.25" customHeight="1" x14ac:dyDescent="0.3">
      <c r="B10" s="16" t="s">
        <v>285</v>
      </c>
      <c r="C10" s="65">
        <v>-963135.4</v>
      </c>
      <c r="H10" s="16">
        <v>30</v>
      </c>
      <c r="I10" s="16">
        <v>10</v>
      </c>
      <c r="J10" s="16">
        <v>0</v>
      </c>
      <c r="K10" s="16">
        <v>0</v>
      </c>
      <c r="L10" s="16">
        <v>0</v>
      </c>
      <c r="M10" s="16">
        <v>0</v>
      </c>
      <c r="N10" s="16">
        <f t="shared" si="0"/>
        <v>10</v>
      </c>
      <c r="O10" s="66">
        <f t="shared" si="1"/>
        <v>1486362</v>
      </c>
    </row>
    <row r="11" spans="1:17" ht="14.25" customHeight="1" x14ac:dyDescent="0.3">
      <c r="B11" s="16" t="s">
        <v>286</v>
      </c>
      <c r="C11" s="65">
        <v>-874487.3</v>
      </c>
      <c r="H11" s="16">
        <v>22</v>
      </c>
      <c r="I11" s="16">
        <v>5</v>
      </c>
      <c r="J11" s="16">
        <v>0</v>
      </c>
      <c r="K11" s="16">
        <f>K5</f>
        <v>524805</v>
      </c>
      <c r="L11" s="16">
        <v>0</v>
      </c>
      <c r="N11" s="16">
        <f t="shared" si="0"/>
        <v>5</v>
      </c>
      <c r="O11" s="66">
        <f t="shared" si="1"/>
        <v>2011154</v>
      </c>
    </row>
    <row r="12" spans="1:17" ht="14.25" customHeight="1" x14ac:dyDescent="0.3">
      <c r="B12" s="16" t="s">
        <v>283</v>
      </c>
      <c r="C12" s="67">
        <v>-6755939</v>
      </c>
      <c r="G12" s="16">
        <f>C4</f>
        <v>-169036.79999999999</v>
      </c>
      <c r="H12" s="16">
        <v>25</v>
      </c>
      <c r="I12" s="16">
        <v>1</v>
      </c>
      <c r="J12" s="16">
        <f>J6</f>
        <v>262374.90000000002</v>
      </c>
      <c r="K12" s="16">
        <v>0</v>
      </c>
      <c r="L12" s="16">
        <v>0</v>
      </c>
      <c r="M12" s="16">
        <f>C10</f>
        <v>-963135.4</v>
      </c>
      <c r="N12" s="16">
        <f t="shared" si="0"/>
        <v>1</v>
      </c>
      <c r="O12" s="66">
        <f t="shared" si="1"/>
        <v>616550.70000000007</v>
      </c>
      <c r="Q12" s="66"/>
    </row>
    <row r="13" spans="1:17" ht="14.25" customHeight="1" x14ac:dyDescent="0.3">
      <c r="B13" s="16" t="s">
        <v>287</v>
      </c>
      <c r="C13" s="65">
        <v>1486322</v>
      </c>
      <c r="H13" s="16">
        <v>25</v>
      </c>
      <c r="I13" s="16">
        <v>1</v>
      </c>
      <c r="J13" s="16">
        <f>J12</f>
        <v>262374.90000000002</v>
      </c>
      <c r="K13" s="16">
        <v>0</v>
      </c>
      <c r="L13" s="16">
        <f t="shared" ref="L13:M13" si="2">L12</f>
        <v>0</v>
      </c>
      <c r="M13" s="16">
        <f t="shared" si="2"/>
        <v>-963135.4</v>
      </c>
      <c r="N13" s="16">
        <f t="shared" si="0"/>
        <v>1</v>
      </c>
      <c r="O13" s="66">
        <f t="shared" si="1"/>
        <v>785587.49999999988</v>
      </c>
      <c r="Q13" s="66"/>
    </row>
    <row r="14" spans="1:17" ht="14.25" customHeight="1" x14ac:dyDescent="0.3">
      <c r="C14" s="65"/>
      <c r="O14" s="66"/>
    </row>
    <row r="15" spans="1:17" ht="14.25" customHeight="1" x14ac:dyDescent="0.3">
      <c r="C15" s="65"/>
      <c r="O15" s="66"/>
    </row>
    <row r="16" spans="1:17" ht="14.25" customHeight="1" x14ac:dyDescent="0.3">
      <c r="C16" s="65"/>
      <c r="O16" s="66"/>
    </row>
    <row r="17" spans="3:15" ht="14.25" customHeight="1" x14ac:dyDescent="0.3">
      <c r="C17" s="65"/>
      <c r="O17" s="66"/>
    </row>
    <row r="18" spans="3:15" ht="14.25" customHeight="1" x14ac:dyDescent="0.3">
      <c r="C18" s="65"/>
      <c r="O18" s="66"/>
    </row>
    <row r="19" spans="3:15" ht="14.25" customHeight="1" x14ac:dyDescent="0.3">
      <c r="C19" s="65"/>
      <c r="O19" s="66"/>
    </row>
    <row r="20" spans="3:15" ht="14.25" customHeight="1" x14ac:dyDescent="0.3">
      <c r="C20" s="65"/>
      <c r="O20" s="66"/>
    </row>
    <row r="21" spans="3:15" ht="14.25" customHeight="1" x14ac:dyDescent="0.3">
      <c r="C21" s="65"/>
      <c r="O21" s="66"/>
    </row>
    <row r="22" spans="3:15" ht="14.25" customHeight="1" x14ac:dyDescent="0.3">
      <c r="C22" s="65"/>
      <c r="O22" s="66"/>
    </row>
    <row r="23" spans="3:15" ht="14.25" customHeight="1" x14ac:dyDescent="0.3">
      <c r="C23" s="65"/>
      <c r="O23" s="66"/>
    </row>
    <row r="24" spans="3:15" ht="14.25" customHeight="1" x14ac:dyDescent="0.3">
      <c r="C24" s="65"/>
      <c r="O24" s="66"/>
    </row>
    <row r="25" spans="3:15" ht="14.25" customHeight="1" x14ac:dyDescent="0.3">
      <c r="C25" s="65"/>
      <c r="O25" s="66"/>
    </row>
    <row r="26" spans="3:15" ht="14.25" customHeight="1" x14ac:dyDescent="0.3">
      <c r="C26" s="65"/>
      <c r="O26" s="66"/>
    </row>
    <row r="27" spans="3:15" ht="14.25" customHeight="1" x14ac:dyDescent="0.3">
      <c r="C27" s="65"/>
      <c r="O27" s="66"/>
    </row>
    <row r="28" spans="3:15" ht="14.25" customHeight="1" x14ac:dyDescent="0.3">
      <c r="C28" s="65"/>
      <c r="O28" s="66"/>
    </row>
    <row r="29" spans="3:15" ht="14.25" customHeight="1" x14ac:dyDescent="0.3">
      <c r="C29" s="65"/>
      <c r="O29" s="66"/>
    </row>
    <row r="30" spans="3:15" ht="14.25" customHeight="1" x14ac:dyDescent="0.3">
      <c r="C30" s="65"/>
      <c r="O30" s="66"/>
    </row>
    <row r="31" spans="3:15" ht="14.25" customHeight="1" x14ac:dyDescent="0.3">
      <c r="C31" s="65"/>
      <c r="O31" s="66"/>
    </row>
    <row r="32" spans="3:15" ht="14.25" customHeight="1" x14ac:dyDescent="0.3">
      <c r="C32" s="65"/>
      <c r="O32" s="66"/>
    </row>
    <row r="33" spans="3:15" ht="14.25" customHeight="1" x14ac:dyDescent="0.3">
      <c r="C33" s="65"/>
      <c r="O33" s="66"/>
    </row>
    <row r="34" spans="3:15" ht="14.25" customHeight="1" x14ac:dyDescent="0.3">
      <c r="C34" s="65"/>
      <c r="O34" s="66"/>
    </row>
    <row r="35" spans="3:15" ht="14.25" customHeight="1" x14ac:dyDescent="0.3">
      <c r="C35" s="65"/>
      <c r="O35" s="66"/>
    </row>
    <row r="36" spans="3:15" ht="14.25" customHeight="1" x14ac:dyDescent="0.3">
      <c r="C36" s="65"/>
      <c r="O36" s="66"/>
    </row>
    <row r="37" spans="3:15" ht="14.25" customHeight="1" x14ac:dyDescent="0.3">
      <c r="C37" s="65"/>
      <c r="O37" s="66"/>
    </row>
    <row r="38" spans="3:15" ht="14.25" customHeight="1" x14ac:dyDescent="0.3">
      <c r="C38" s="65"/>
      <c r="O38" s="66"/>
    </row>
    <row r="39" spans="3:15" ht="14.25" customHeight="1" x14ac:dyDescent="0.3">
      <c r="C39" s="65"/>
      <c r="O39" s="66"/>
    </row>
    <row r="40" spans="3:15" ht="14.25" customHeight="1" x14ac:dyDescent="0.3">
      <c r="C40" s="65"/>
      <c r="O40" s="66"/>
    </row>
    <row r="41" spans="3:15" ht="14.25" customHeight="1" x14ac:dyDescent="0.3">
      <c r="C41" s="65"/>
      <c r="O41" s="66"/>
    </row>
    <row r="42" spans="3:15" ht="14.25" customHeight="1" x14ac:dyDescent="0.3">
      <c r="C42" s="65"/>
      <c r="O42" s="66"/>
    </row>
    <row r="43" spans="3:15" ht="14.25" customHeight="1" x14ac:dyDescent="0.3">
      <c r="C43" s="65"/>
      <c r="O43" s="66"/>
    </row>
    <row r="44" spans="3:15" ht="14.25" customHeight="1" x14ac:dyDescent="0.3">
      <c r="C44" s="65"/>
      <c r="O44" s="66"/>
    </row>
    <row r="45" spans="3:15" ht="14.25" customHeight="1" x14ac:dyDescent="0.3">
      <c r="C45" s="65"/>
      <c r="O45" s="66"/>
    </row>
    <row r="46" spans="3:15" ht="14.25" customHeight="1" x14ac:dyDescent="0.3">
      <c r="C46" s="65"/>
      <c r="O46" s="66"/>
    </row>
    <row r="47" spans="3:15" ht="14.25" customHeight="1" x14ac:dyDescent="0.3">
      <c r="C47" s="65"/>
      <c r="O47" s="66"/>
    </row>
    <row r="48" spans="3:15" ht="14.25" customHeight="1" x14ac:dyDescent="0.3">
      <c r="C48" s="65"/>
      <c r="O48" s="66"/>
    </row>
    <row r="49" spans="3:15" ht="14.25" customHeight="1" x14ac:dyDescent="0.3">
      <c r="C49" s="65"/>
      <c r="O49" s="66"/>
    </row>
    <row r="50" spans="3:15" ht="14.25" customHeight="1" x14ac:dyDescent="0.3">
      <c r="C50" s="65"/>
      <c r="O50" s="66"/>
    </row>
    <row r="51" spans="3:15" ht="14.25" customHeight="1" x14ac:dyDescent="0.3">
      <c r="C51" s="65"/>
      <c r="O51" s="66"/>
    </row>
    <row r="52" spans="3:15" ht="14.25" customHeight="1" x14ac:dyDescent="0.3">
      <c r="C52" s="65"/>
      <c r="O52" s="66"/>
    </row>
    <row r="53" spans="3:15" ht="14.25" customHeight="1" x14ac:dyDescent="0.3">
      <c r="C53" s="65"/>
      <c r="O53" s="66"/>
    </row>
    <row r="54" spans="3:15" ht="14.25" customHeight="1" x14ac:dyDescent="0.3">
      <c r="C54" s="65"/>
      <c r="O54" s="66"/>
    </row>
    <row r="55" spans="3:15" ht="14.25" customHeight="1" x14ac:dyDescent="0.3">
      <c r="C55" s="65"/>
      <c r="O55" s="66"/>
    </row>
    <row r="56" spans="3:15" ht="14.25" customHeight="1" x14ac:dyDescent="0.3">
      <c r="C56" s="65"/>
      <c r="O56" s="66"/>
    </row>
    <row r="57" spans="3:15" ht="14.25" customHeight="1" x14ac:dyDescent="0.3">
      <c r="C57" s="65"/>
      <c r="O57" s="66"/>
    </row>
    <row r="58" spans="3:15" ht="14.25" customHeight="1" x14ac:dyDescent="0.3">
      <c r="C58" s="65"/>
      <c r="O58" s="66"/>
    </row>
    <row r="59" spans="3:15" ht="14.25" customHeight="1" x14ac:dyDescent="0.3">
      <c r="C59" s="65"/>
      <c r="O59" s="66"/>
    </row>
    <row r="60" spans="3:15" ht="14.25" customHeight="1" x14ac:dyDescent="0.3">
      <c r="C60" s="65"/>
      <c r="O60" s="66"/>
    </row>
    <row r="61" spans="3:15" ht="14.25" customHeight="1" x14ac:dyDescent="0.3">
      <c r="C61" s="65"/>
      <c r="O61" s="66"/>
    </row>
    <row r="62" spans="3:15" ht="14.25" customHeight="1" x14ac:dyDescent="0.3">
      <c r="C62" s="65"/>
      <c r="O62" s="66"/>
    </row>
    <row r="63" spans="3:15" ht="14.25" customHeight="1" x14ac:dyDescent="0.3">
      <c r="C63" s="65"/>
      <c r="O63" s="66"/>
    </row>
    <row r="64" spans="3:15" ht="14.25" customHeight="1" x14ac:dyDescent="0.3">
      <c r="C64" s="65"/>
      <c r="O64" s="66"/>
    </row>
    <row r="65" spans="3:15" ht="14.25" customHeight="1" x14ac:dyDescent="0.3">
      <c r="C65" s="65"/>
      <c r="O65" s="66"/>
    </row>
    <row r="66" spans="3:15" ht="14.25" customHeight="1" x14ac:dyDescent="0.3">
      <c r="C66" s="65"/>
      <c r="O66" s="66"/>
    </row>
    <row r="67" spans="3:15" ht="14.25" customHeight="1" x14ac:dyDescent="0.3">
      <c r="C67" s="65"/>
      <c r="O67" s="66"/>
    </row>
    <row r="68" spans="3:15" ht="14.25" customHeight="1" x14ac:dyDescent="0.3">
      <c r="C68" s="65"/>
      <c r="O68" s="66"/>
    </row>
    <row r="69" spans="3:15" ht="14.25" customHeight="1" x14ac:dyDescent="0.3">
      <c r="C69" s="65"/>
      <c r="O69" s="66"/>
    </row>
    <row r="70" spans="3:15" ht="14.25" customHeight="1" x14ac:dyDescent="0.3">
      <c r="C70" s="65"/>
      <c r="O70" s="66"/>
    </row>
    <row r="71" spans="3:15" ht="14.25" customHeight="1" x14ac:dyDescent="0.3">
      <c r="C71" s="65"/>
      <c r="O71" s="66"/>
    </row>
    <row r="72" spans="3:15" ht="14.25" customHeight="1" x14ac:dyDescent="0.3">
      <c r="C72" s="65"/>
      <c r="O72" s="66"/>
    </row>
    <row r="73" spans="3:15" ht="14.25" customHeight="1" x14ac:dyDescent="0.3">
      <c r="C73" s="65"/>
      <c r="O73" s="66"/>
    </row>
    <row r="74" spans="3:15" ht="14.25" customHeight="1" x14ac:dyDescent="0.3">
      <c r="C74" s="65"/>
      <c r="O74" s="66"/>
    </row>
    <row r="75" spans="3:15" ht="14.25" customHeight="1" x14ac:dyDescent="0.3">
      <c r="C75" s="65"/>
      <c r="O75" s="66"/>
    </row>
    <row r="76" spans="3:15" ht="14.25" customHeight="1" x14ac:dyDescent="0.3">
      <c r="C76" s="65"/>
      <c r="O76" s="66"/>
    </row>
    <row r="77" spans="3:15" ht="14.25" customHeight="1" x14ac:dyDescent="0.3">
      <c r="C77" s="65"/>
      <c r="O77" s="66"/>
    </row>
    <row r="78" spans="3:15" ht="14.25" customHeight="1" x14ac:dyDescent="0.3">
      <c r="C78" s="65"/>
      <c r="O78" s="66"/>
    </row>
    <row r="79" spans="3:15" ht="14.25" customHeight="1" x14ac:dyDescent="0.3">
      <c r="C79" s="65"/>
      <c r="O79" s="66"/>
    </row>
    <row r="80" spans="3:15" ht="14.25" customHeight="1" x14ac:dyDescent="0.3">
      <c r="C80" s="65"/>
      <c r="O80" s="66"/>
    </row>
    <row r="81" spans="3:15" ht="14.25" customHeight="1" x14ac:dyDescent="0.3">
      <c r="C81" s="65"/>
      <c r="O81" s="66"/>
    </row>
    <row r="82" spans="3:15" ht="14.25" customHeight="1" x14ac:dyDescent="0.3">
      <c r="C82" s="65"/>
      <c r="O82" s="66"/>
    </row>
    <row r="83" spans="3:15" ht="14.25" customHeight="1" x14ac:dyDescent="0.3">
      <c r="C83" s="65"/>
      <c r="O83" s="66"/>
    </row>
    <row r="84" spans="3:15" ht="14.25" customHeight="1" x14ac:dyDescent="0.3">
      <c r="C84" s="65"/>
      <c r="O84" s="66"/>
    </row>
    <row r="85" spans="3:15" ht="14.25" customHeight="1" x14ac:dyDescent="0.3">
      <c r="C85" s="65"/>
      <c r="O85" s="66"/>
    </row>
    <row r="86" spans="3:15" ht="14.25" customHeight="1" x14ac:dyDescent="0.3">
      <c r="C86" s="65"/>
      <c r="O86" s="66"/>
    </row>
    <row r="87" spans="3:15" ht="14.25" customHeight="1" x14ac:dyDescent="0.3">
      <c r="C87" s="65"/>
      <c r="O87" s="66"/>
    </row>
    <row r="88" spans="3:15" ht="14.25" customHeight="1" x14ac:dyDescent="0.3">
      <c r="C88" s="65"/>
      <c r="O88" s="66"/>
    </row>
    <row r="89" spans="3:15" ht="14.25" customHeight="1" x14ac:dyDescent="0.3">
      <c r="C89" s="65"/>
      <c r="O89" s="66"/>
    </row>
    <row r="90" spans="3:15" ht="14.25" customHeight="1" x14ac:dyDescent="0.3">
      <c r="C90" s="65"/>
      <c r="O90" s="66"/>
    </row>
    <row r="91" spans="3:15" ht="14.25" customHeight="1" x14ac:dyDescent="0.3">
      <c r="C91" s="65"/>
      <c r="O91" s="66"/>
    </row>
    <row r="92" spans="3:15" ht="14.25" customHeight="1" x14ac:dyDescent="0.3">
      <c r="C92" s="65"/>
      <c r="O92" s="66"/>
    </row>
    <row r="93" spans="3:15" ht="14.25" customHeight="1" x14ac:dyDescent="0.3">
      <c r="C93" s="65"/>
      <c r="O93" s="66"/>
    </row>
    <row r="94" spans="3:15" ht="14.25" customHeight="1" x14ac:dyDescent="0.3">
      <c r="C94" s="65"/>
      <c r="O94" s="66"/>
    </row>
    <row r="95" spans="3:15" ht="14.25" customHeight="1" x14ac:dyDescent="0.3">
      <c r="C95" s="65"/>
      <c r="O95" s="66"/>
    </row>
    <row r="96" spans="3:15" ht="14.25" customHeight="1" x14ac:dyDescent="0.3">
      <c r="C96" s="65"/>
      <c r="O96" s="66"/>
    </row>
    <row r="97" spans="3:15" ht="14.25" customHeight="1" x14ac:dyDescent="0.3">
      <c r="C97" s="65"/>
      <c r="O97" s="66"/>
    </row>
    <row r="98" spans="3:15" ht="14.25" customHeight="1" x14ac:dyDescent="0.3">
      <c r="C98" s="65"/>
      <c r="O98" s="66"/>
    </row>
    <row r="99" spans="3:15" ht="14.25" customHeight="1" x14ac:dyDescent="0.3">
      <c r="C99" s="65"/>
      <c r="O99" s="66"/>
    </row>
    <row r="100" spans="3:15" ht="14.25" customHeight="1" x14ac:dyDescent="0.3">
      <c r="C100" s="65"/>
      <c r="O100" s="66"/>
    </row>
    <row r="101" spans="3:15" ht="14.25" customHeight="1" x14ac:dyDescent="0.3">
      <c r="C101" s="65"/>
      <c r="O101" s="66"/>
    </row>
    <row r="102" spans="3:15" ht="14.25" customHeight="1" x14ac:dyDescent="0.3">
      <c r="C102" s="65"/>
      <c r="O102" s="66"/>
    </row>
    <row r="103" spans="3:15" ht="14.25" customHeight="1" x14ac:dyDescent="0.3">
      <c r="C103" s="65"/>
      <c r="O103" s="66"/>
    </row>
    <row r="104" spans="3:15" ht="14.25" customHeight="1" x14ac:dyDescent="0.3">
      <c r="C104" s="65"/>
      <c r="O104" s="66"/>
    </row>
    <row r="105" spans="3:15" ht="14.25" customHeight="1" x14ac:dyDescent="0.3">
      <c r="C105" s="65"/>
      <c r="O105" s="66"/>
    </row>
    <row r="106" spans="3:15" ht="14.25" customHeight="1" x14ac:dyDescent="0.3">
      <c r="C106" s="65"/>
      <c r="O106" s="66"/>
    </row>
    <row r="107" spans="3:15" ht="14.25" customHeight="1" x14ac:dyDescent="0.3">
      <c r="C107" s="65"/>
      <c r="O107" s="66"/>
    </row>
    <row r="108" spans="3:15" ht="14.25" customHeight="1" x14ac:dyDescent="0.3">
      <c r="C108" s="65"/>
      <c r="O108" s="66"/>
    </row>
    <row r="109" spans="3:15" ht="14.25" customHeight="1" x14ac:dyDescent="0.3">
      <c r="C109" s="65"/>
      <c r="O109" s="66"/>
    </row>
    <row r="110" spans="3:15" ht="14.25" customHeight="1" x14ac:dyDescent="0.3">
      <c r="C110" s="65"/>
      <c r="O110" s="66"/>
    </row>
    <row r="111" spans="3:15" ht="14.25" customHeight="1" x14ac:dyDescent="0.3">
      <c r="C111" s="65"/>
      <c r="O111" s="66"/>
    </row>
    <row r="112" spans="3:15" ht="14.25" customHeight="1" x14ac:dyDescent="0.3">
      <c r="C112" s="65"/>
      <c r="O112" s="66"/>
    </row>
    <row r="113" spans="3:15" ht="14.25" customHeight="1" x14ac:dyDescent="0.3">
      <c r="C113" s="65"/>
      <c r="O113" s="66"/>
    </row>
    <row r="114" spans="3:15" ht="14.25" customHeight="1" x14ac:dyDescent="0.3">
      <c r="C114" s="65"/>
      <c r="O114" s="66"/>
    </row>
    <row r="115" spans="3:15" ht="14.25" customHeight="1" x14ac:dyDescent="0.3">
      <c r="C115" s="65"/>
      <c r="O115" s="66"/>
    </row>
    <row r="116" spans="3:15" ht="14.25" customHeight="1" x14ac:dyDescent="0.3">
      <c r="C116" s="65"/>
      <c r="O116" s="66"/>
    </row>
    <row r="117" spans="3:15" ht="14.25" customHeight="1" x14ac:dyDescent="0.3">
      <c r="C117" s="65"/>
      <c r="O117" s="66"/>
    </row>
    <row r="118" spans="3:15" ht="14.25" customHeight="1" x14ac:dyDescent="0.3">
      <c r="C118" s="65"/>
      <c r="O118" s="66"/>
    </row>
    <row r="119" spans="3:15" ht="14.25" customHeight="1" x14ac:dyDescent="0.3">
      <c r="C119" s="65"/>
      <c r="O119" s="66"/>
    </row>
    <row r="120" spans="3:15" ht="14.25" customHeight="1" x14ac:dyDescent="0.3">
      <c r="C120" s="65"/>
      <c r="O120" s="66"/>
    </row>
    <row r="121" spans="3:15" ht="14.25" customHeight="1" x14ac:dyDescent="0.3">
      <c r="C121" s="65"/>
      <c r="O121" s="66"/>
    </row>
    <row r="122" spans="3:15" ht="14.25" customHeight="1" x14ac:dyDescent="0.3">
      <c r="C122" s="65"/>
      <c r="O122" s="66"/>
    </row>
    <row r="123" spans="3:15" ht="14.25" customHeight="1" x14ac:dyDescent="0.3">
      <c r="C123" s="65"/>
      <c r="O123" s="66"/>
    </row>
    <row r="124" spans="3:15" ht="14.25" customHeight="1" x14ac:dyDescent="0.3">
      <c r="C124" s="65"/>
      <c r="O124" s="66"/>
    </row>
    <row r="125" spans="3:15" ht="14.25" customHeight="1" x14ac:dyDescent="0.3">
      <c r="C125" s="65"/>
      <c r="O125" s="66"/>
    </row>
    <row r="126" spans="3:15" ht="14.25" customHeight="1" x14ac:dyDescent="0.3">
      <c r="C126" s="65"/>
      <c r="O126" s="66"/>
    </row>
    <row r="127" spans="3:15" ht="14.25" customHeight="1" x14ac:dyDescent="0.3">
      <c r="C127" s="65"/>
      <c r="O127" s="66"/>
    </row>
    <row r="128" spans="3:15" ht="14.25" customHeight="1" x14ac:dyDescent="0.3">
      <c r="C128" s="65"/>
      <c r="O128" s="66"/>
    </row>
    <row r="129" spans="3:15" ht="14.25" customHeight="1" x14ac:dyDescent="0.3">
      <c r="C129" s="65"/>
      <c r="O129" s="66"/>
    </row>
    <row r="130" spans="3:15" ht="14.25" customHeight="1" x14ac:dyDescent="0.3">
      <c r="C130" s="65"/>
      <c r="O130" s="66"/>
    </row>
    <row r="131" spans="3:15" ht="14.25" customHeight="1" x14ac:dyDescent="0.3">
      <c r="C131" s="65"/>
      <c r="O131" s="66"/>
    </row>
    <row r="132" spans="3:15" ht="14.25" customHeight="1" x14ac:dyDescent="0.3">
      <c r="C132" s="65"/>
      <c r="O132" s="66"/>
    </row>
    <row r="133" spans="3:15" ht="14.25" customHeight="1" x14ac:dyDescent="0.3">
      <c r="C133" s="65"/>
      <c r="O133" s="66"/>
    </row>
    <row r="134" spans="3:15" ht="14.25" customHeight="1" x14ac:dyDescent="0.3">
      <c r="C134" s="65"/>
      <c r="O134" s="66"/>
    </row>
    <row r="135" spans="3:15" ht="14.25" customHeight="1" x14ac:dyDescent="0.3">
      <c r="C135" s="65"/>
      <c r="O135" s="66"/>
    </row>
    <row r="136" spans="3:15" ht="14.25" customHeight="1" x14ac:dyDescent="0.3">
      <c r="C136" s="65"/>
      <c r="O136" s="66"/>
    </row>
    <row r="137" spans="3:15" ht="14.25" customHeight="1" x14ac:dyDescent="0.3">
      <c r="C137" s="65"/>
      <c r="O137" s="66"/>
    </row>
    <row r="138" spans="3:15" ht="14.25" customHeight="1" x14ac:dyDescent="0.3">
      <c r="C138" s="65"/>
      <c r="O138" s="66"/>
    </row>
    <row r="139" spans="3:15" ht="14.25" customHeight="1" x14ac:dyDescent="0.3">
      <c r="C139" s="65"/>
      <c r="O139" s="66"/>
    </row>
    <row r="140" spans="3:15" ht="14.25" customHeight="1" x14ac:dyDescent="0.3">
      <c r="C140" s="65"/>
      <c r="O140" s="66"/>
    </row>
    <row r="141" spans="3:15" ht="14.25" customHeight="1" x14ac:dyDescent="0.3">
      <c r="C141" s="65"/>
      <c r="O141" s="66"/>
    </row>
    <row r="142" spans="3:15" ht="14.25" customHeight="1" x14ac:dyDescent="0.3">
      <c r="C142" s="65"/>
      <c r="O142" s="66"/>
    </row>
    <row r="143" spans="3:15" ht="14.25" customHeight="1" x14ac:dyDescent="0.3">
      <c r="C143" s="65"/>
      <c r="O143" s="66"/>
    </row>
    <row r="144" spans="3:15" ht="14.25" customHeight="1" x14ac:dyDescent="0.3">
      <c r="C144" s="65"/>
      <c r="O144" s="66"/>
    </row>
    <row r="145" spans="3:15" ht="14.25" customHeight="1" x14ac:dyDescent="0.3">
      <c r="C145" s="65"/>
      <c r="O145" s="66"/>
    </row>
    <row r="146" spans="3:15" ht="14.25" customHeight="1" x14ac:dyDescent="0.3">
      <c r="C146" s="65"/>
      <c r="O146" s="66"/>
    </row>
    <row r="147" spans="3:15" ht="14.25" customHeight="1" x14ac:dyDescent="0.3">
      <c r="C147" s="65"/>
      <c r="O147" s="66"/>
    </row>
    <row r="148" spans="3:15" ht="14.25" customHeight="1" x14ac:dyDescent="0.3">
      <c r="C148" s="65"/>
      <c r="O148" s="66"/>
    </row>
    <row r="149" spans="3:15" ht="14.25" customHeight="1" x14ac:dyDescent="0.3">
      <c r="C149" s="65"/>
      <c r="O149" s="66"/>
    </row>
    <row r="150" spans="3:15" ht="14.25" customHeight="1" x14ac:dyDescent="0.3">
      <c r="C150" s="65"/>
      <c r="O150" s="66"/>
    </row>
    <row r="151" spans="3:15" ht="14.25" customHeight="1" x14ac:dyDescent="0.3">
      <c r="C151" s="65"/>
      <c r="O151" s="66"/>
    </row>
    <row r="152" spans="3:15" ht="14.25" customHeight="1" x14ac:dyDescent="0.3">
      <c r="C152" s="65"/>
      <c r="O152" s="66"/>
    </row>
    <row r="153" spans="3:15" ht="14.25" customHeight="1" x14ac:dyDescent="0.3">
      <c r="C153" s="65"/>
      <c r="O153" s="66"/>
    </row>
    <row r="154" spans="3:15" ht="14.25" customHeight="1" x14ac:dyDescent="0.3">
      <c r="C154" s="65"/>
      <c r="O154" s="66"/>
    </row>
    <row r="155" spans="3:15" ht="14.25" customHeight="1" x14ac:dyDescent="0.3">
      <c r="C155" s="65"/>
      <c r="O155" s="66"/>
    </row>
    <row r="156" spans="3:15" ht="14.25" customHeight="1" x14ac:dyDescent="0.3">
      <c r="C156" s="65"/>
      <c r="O156" s="66"/>
    </row>
    <row r="157" spans="3:15" ht="14.25" customHeight="1" x14ac:dyDescent="0.3">
      <c r="C157" s="65"/>
      <c r="O157" s="66"/>
    </row>
    <row r="158" spans="3:15" ht="14.25" customHeight="1" x14ac:dyDescent="0.3">
      <c r="C158" s="65"/>
      <c r="O158" s="66"/>
    </row>
    <row r="159" spans="3:15" ht="14.25" customHeight="1" x14ac:dyDescent="0.3">
      <c r="C159" s="65"/>
      <c r="O159" s="66"/>
    </row>
    <row r="160" spans="3:15" ht="14.25" customHeight="1" x14ac:dyDescent="0.3">
      <c r="C160" s="65"/>
      <c r="O160" s="66"/>
    </row>
    <row r="161" spans="3:15" ht="14.25" customHeight="1" x14ac:dyDescent="0.3">
      <c r="C161" s="65"/>
      <c r="O161" s="66"/>
    </row>
    <row r="162" spans="3:15" ht="14.25" customHeight="1" x14ac:dyDescent="0.3">
      <c r="C162" s="65"/>
      <c r="O162" s="66"/>
    </row>
    <row r="163" spans="3:15" ht="14.25" customHeight="1" x14ac:dyDescent="0.3">
      <c r="C163" s="65"/>
      <c r="O163" s="66"/>
    </row>
    <row r="164" spans="3:15" ht="14.25" customHeight="1" x14ac:dyDescent="0.3">
      <c r="C164" s="65"/>
      <c r="O164" s="66"/>
    </row>
    <row r="165" spans="3:15" ht="14.25" customHeight="1" x14ac:dyDescent="0.3">
      <c r="C165" s="65"/>
      <c r="O165" s="66"/>
    </row>
    <row r="166" spans="3:15" ht="14.25" customHeight="1" x14ac:dyDescent="0.3">
      <c r="C166" s="65"/>
      <c r="O166" s="66"/>
    </row>
    <row r="167" spans="3:15" ht="14.25" customHeight="1" x14ac:dyDescent="0.3">
      <c r="C167" s="65"/>
      <c r="O167" s="66"/>
    </row>
    <row r="168" spans="3:15" ht="14.25" customHeight="1" x14ac:dyDescent="0.3">
      <c r="C168" s="65"/>
      <c r="O168" s="66"/>
    </row>
    <row r="169" spans="3:15" ht="14.25" customHeight="1" x14ac:dyDescent="0.3">
      <c r="C169" s="65"/>
      <c r="O169" s="66"/>
    </row>
    <row r="170" spans="3:15" ht="14.25" customHeight="1" x14ac:dyDescent="0.3">
      <c r="C170" s="65"/>
      <c r="O170" s="66"/>
    </row>
    <row r="171" spans="3:15" ht="14.25" customHeight="1" x14ac:dyDescent="0.3">
      <c r="C171" s="65"/>
      <c r="O171" s="66"/>
    </row>
    <row r="172" spans="3:15" ht="14.25" customHeight="1" x14ac:dyDescent="0.3">
      <c r="C172" s="65"/>
      <c r="O172" s="66"/>
    </row>
    <row r="173" spans="3:15" ht="14.25" customHeight="1" x14ac:dyDescent="0.3">
      <c r="C173" s="65"/>
      <c r="O173" s="66"/>
    </row>
    <row r="174" spans="3:15" ht="14.25" customHeight="1" x14ac:dyDescent="0.3">
      <c r="C174" s="65"/>
      <c r="O174" s="66"/>
    </row>
    <row r="175" spans="3:15" ht="14.25" customHeight="1" x14ac:dyDescent="0.3">
      <c r="C175" s="65"/>
      <c r="O175" s="66"/>
    </row>
    <row r="176" spans="3:15" ht="14.25" customHeight="1" x14ac:dyDescent="0.3">
      <c r="C176" s="65"/>
      <c r="O176" s="66"/>
    </row>
    <row r="177" spans="3:15" ht="14.25" customHeight="1" x14ac:dyDescent="0.3">
      <c r="C177" s="65"/>
      <c r="O177" s="66"/>
    </row>
    <row r="178" spans="3:15" ht="14.25" customHeight="1" x14ac:dyDescent="0.3">
      <c r="C178" s="65"/>
      <c r="O178" s="66"/>
    </row>
    <row r="179" spans="3:15" ht="14.25" customHeight="1" x14ac:dyDescent="0.3">
      <c r="C179" s="65"/>
      <c r="O179" s="66"/>
    </row>
    <row r="180" spans="3:15" ht="14.25" customHeight="1" x14ac:dyDescent="0.3">
      <c r="C180" s="65"/>
      <c r="O180" s="66"/>
    </row>
    <row r="181" spans="3:15" ht="14.25" customHeight="1" x14ac:dyDescent="0.3">
      <c r="C181" s="65"/>
      <c r="O181" s="66"/>
    </row>
    <row r="182" spans="3:15" ht="14.25" customHeight="1" x14ac:dyDescent="0.3">
      <c r="C182" s="65"/>
      <c r="O182" s="66"/>
    </row>
    <row r="183" spans="3:15" ht="14.25" customHeight="1" x14ac:dyDescent="0.3">
      <c r="C183" s="65"/>
      <c r="O183" s="66"/>
    </row>
    <row r="184" spans="3:15" ht="14.25" customHeight="1" x14ac:dyDescent="0.3">
      <c r="C184" s="65"/>
      <c r="O184" s="66"/>
    </row>
    <row r="185" spans="3:15" ht="14.25" customHeight="1" x14ac:dyDescent="0.3">
      <c r="C185" s="65"/>
      <c r="O185" s="66"/>
    </row>
    <row r="186" spans="3:15" ht="14.25" customHeight="1" x14ac:dyDescent="0.3">
      <c r="C186" s="65"/>
      <c r="O186" s="66"/>
    </row>
    <row r="187" spans="3:15" ht="14.25" customHeight="1" x14ac:dyDescent="0.3">
      <c r="C187" s="65"/>
      <c r="O187" s="66"/>
    </row>
    <row r="188" spans="3:15" ht="14.25" customHeight="1" x14ac:dyDescent="0.3">
      <c r="C188" s="65"/>
      <c r="O188" s="66"/>
    </row>
    <row r="189" spans="3:15" ht="14.25" customHeight="1" x14ac:dyDescent="0.3">
      <c r="C189" s="65"/>
      <c r="O189" s="66"/>
    </row>
    <row r="190" spans="3:15" ht="14.25" customHeight="1" x14ac:dyDescent="0.3">
      <c r="C190" s="65"/>
      <c r="O190" s="66"/>
    </row>
    <row r="191" spans="3:15" ht="14.25" customHeight="1" x14ac:dyDescent="0.3">
      <c r="C191" s="65"/>
      <c r="O191" s="66"/>
    </row>
    <row r="192" spans="3:15" ht="14.25" customHeight="1" x14ac:dyDescent="0.3">
      <c r="C192" s="65"/>
      <c r="O192" s="66"/>
    </row>
    <row r="193" spans="3:15" ht="14.25" customHeight="1" x14ac:dyDescent="0.3">
      <c r="C193" s="65"/>
      <c r="O193" s="66"/>
    </row>
    <row r="194" spans="3:15" ht="14.25" customHeight="1" x14ac:dyDescent="0.3">
      <c r="C194" s="65"/>
      <c r="O194" s="66"/>
    </row>
    <row r="195" spans="3:15" ht="14.25" customHeight="1" x14ac:dyDescent="0.3">
      <c r="C195" s="65"/>
      <c r="O195" s="66"/>
    </row>
    <row r="196" spans="3:15" ht="14.25" customHeight="1" x14ac:dyDescent="0.3">
      <c r="C196" s="65"/>
      <c r="O196" s="66"/>
    </row>
    <row r="197" spans="3:15" ht="14.25" customHeight="1" x14ac:dyDescent="0.3">
      <c r="C197" s="65"/>
      <c r="O197" s="66"/>
    </row>
    <row r="198" spans="3:15" ht="14.25" customHeight="1" x14ac:dyDescent="0.3">
      <c r="C198" s="65"/>
      <c r="O198" s="66"/>
    </row>
    <row r="199" spans="3:15" ht="14.25" customHeight="1" x14ac:dyDescent="0.3">
      <c r="C199" s="65"/>
      <c r="O199" s="66"/>
    </row>
    <row r="200" spans="3:15" ht="14.25" customHeight="1" x14ac:dyDescent="0.3">
      <c r="C200" s="65"/>
      <c r="O200" s="66"/>
    </row>
    <row r="201" spans="3:15" ht="14.25" customHeight="1" x14ac:dyDescent="0.3">
      <c r="C201" s="65"/>
      <c r="O201" s="66"/>
    </row>
    <row r="202" spans="3:15" ht="14.25" customHeight="1" x14ac:dyDescent="0.3">
      <c r="C202" s="65"/>
      <c r="O202" s="66"/>
    </row>
    <row r="203" spans="3:15" ht="14.25" customHeight="1" x14ac:dyDescent="0.3">
      <c r="C203" s="65"/>
      <c r="O203" s="66"/>
    </row>
    <row r="204" spans="3:15" ht="14.25" customHeight="1" x14ac:dyDescent="0.3">
      <c r="C204" s="65"/>
      <c r="O204" s="66"/>
    </row>
    <row r="205" spans="3:15" ht="14.25" customHeight="1" x14ac:dyDescent="0.3">
      <c r="C205" s="65"/>
      <c r="O205" s="66"/>
    </row>
    <row r="206" spans="3:15" ht="14.25" customHeight="1" x14ac:dyDescent="0.3">
      <c r="C206" s="65"/>
      <c r="O206" s="66"/>
    </row>
    <row r="207" spans="3:15" ht="14.25" customHeight="1" x14ac:dyDescent="0.3">
      <c r="C207" s="65"/>
      <c r="O207" s="66"/>
    </row>
    <row r="208" spans="3:15" ht="14.25" customHeight="1" x14ac:dyDescent="0.3">
      <c r="C208" s="65"/>
      <c r="O208" s="66"/>
    </row>
    <row r="209" spans="3:15" ht="14.25" customHeight="1" x14ac:dyDescent="0.3">
      <c r="C209" s="65"/>
      <c r="O209" s="66"/>
    </row>
    <row r="210" spans="3:15" ht="14.25" customHeight="1" x14ac:dyDescent="0.3">
      <c r="C210" s="65"/>
      <c r="O210" s="66"/>
    </row>
    <row r="211" spans="3:15" ht="14.25" customHeight="1" x14ac:dyDescent="0.3">
      <c r="C211" s="65"/>
      <c r="O211" s="66"/>
    </row>
    <row r="212" spans="3:15" ht="14.25" customHeight="1" x14ac:dyDescent="0.3">
      <c r="C212" s="65"/>
      <c r="O212" s="66"/>
    </row>
    <row r="213" spans="3:15" ht="14.25" customHeight="1" x14ac:dyDescent="0.3">
      <c r="C213" s="65"/>
      <c r="O213" s="66"/>
    </row>
    <row r="214" spans="3:15" ht="14.25" customHeight="1" x14ac:dyDescent="0.3">
      <c r="C214" s="65"/>
      <c r="O214" s="66"/>
    </row>
    <row r="215" spans="3:15" ht="14.25" customHeight="1" x14ac:dyDescent="0.3">
      <c r="C215" s="65"/>
      <c r="O215" s="66"/>
    </row>
    <row r="216" spans="3:15" ht="14.25" customHeight="1" x14ac:dyDescent="0.3">
      <c r="C216" s="65"/>
      <c r="O216" s="66"/>
    </row>
    <row r="217" spans="3:15" ht="14.25" customHeight="1" x14ac:dyDescent="0.3">
      <c r="C217" s="65"/>
      <c r="O217" s="66"/>
    </row>
    <row r="218" spans="3:15" ht="14.25" customHeight="1" x14ac:dyDescent="0.3">
      <c r="C218" s="65"/>
      <c r="O218" s="66"/>
    </row>
    <row r="219" spans="3:15" ht="14.25" customHeight="1" x14ac:dyDescent="0.3">
      <c r="C219" s="65"/>
      <c r="O219" s="66"/>
    </row>
    <row r="220" spans="3:15" ht="14.25" customHeight="1" x14ac:dyDescent="0.3">
      <c r="C220" s="65"/>
      <c r="O220" s="66"/>
    </row>
    <row r="221" spans="3:15" ht="14.25" customHeight="1" x14ac:dyDescent="0.3">
      <c r="C221" s="65"/>
      <c r="O221" s="66"/>
    </row>
    <row r="222" spans="3:15" ht="14.25" customHeight="1" x14ac:dyDescent="0.3">
      <c r="C222" s="65"/>
      <c r="O222" s="66"/>
    </row>
    <row r="223" spans="3:15" ht="14.25" customHeight="1" x14ac:dyDescent="0.3">
      <c r="C223" s="65"/>
      <c r="O223" s="66"/>
    </row>
    <row r="224" spans="3:15" ht="14.25" customHeight="1" x14ac:dyDescent="0.3">
      <c r="C224" s="65"/>
      <c r="O224" s="66"/>
    </row>
    <row r="225" spans="3:15" ht="14.25" customHeight="1" x14ac:dyDescent="0.3">
      <c r="C225" s="65"/>
      <c r="O225" s="66"/>
    </row>
    <row r="226" spans="3:15" ht="14.25" customHeight="1" x14ac:dyDescent="0.3">
      <c r="C226" s="65"/>
      <c r="O226" s="66"/>
    </row>
    <row r="227" spans="3:15" ht="14.25" customHeight="1" x14ac:dyDescent="0.3">
      <c r="C227" s="65"/>
      <c r="O227" s="66"/>
    </row>
    <row r="228" spans="3:15" ht="14.25" customHeight="1" x14ac:dyDescent="0.3">
      <c r="C228" s="65"/>
      <c r="O228" s="66"/>
    </row>
    <row r="229" spans="3:15" ht="14.25" customHeight="1" x14ac:dyDescent="0.3">
      <c r="C229" s="65"/>
      <c r="O229" s="66"/>
    </row>
    <row r="230" spans="3:15" ht="14.25" customHeight="1" x14ac:dyDescent="0.3">
      <c r="C230" s="65"/>
      <c r="O230" s="66"/>
    </row>
    <row r="231" spans="3:15" ht="14.25" customHeight="1" x14ac:dyDescent="0.3">
      <c r="C231" s="65"/>
      <c r="O231" s="66"/>
    </row>
    <row r="232" spans="3:15" ht="14.25" customHeight="1" x14ac:dyDescent="0.3">
      <c r="C232" s="65"/>
      <c r="O232" s="66"/>
    </row>
    <row r="233" spans="3:15" ht="14.25" customHeight="1" x14ac:dyDescent="0.3">
      <c r="C233" s="65"/>
      <c r="O233" s="66"/>
    </row>
    <row r="234" spans="3:15" ht="14.25" customHeight="1" x14ac:dyDescent="0.3">
      <c r="C234" s="65"/>
      <c r="O234" s="66"/>
    </row>
    <row r="235" spans="3:15" ht="14.25" customHeight="1" x14ac:dyDescent="0.3">
      <c r="C235" s="65"/>
      <c r="O235" s="66"/>
    </row>
    <row r="236" spans="3:15" ht="14.25" customHeight="1" x14ac:dyDescent="0.3">
      <c r="C236" s="65"/>
      <c r="O236" s="66"/>
    </row>
    <row r="237" spans="3:15" ht="14.25" customHeight="1" x14ac:dyDescent="0.3">
      <c r="C237" s="65"/>
      <c r="O237" s="66"/>
    </row>
    <row r="238" spans="3:15" ht="14.25" customHeight="1" x14ac:dyDescent="0.3">
      <c r="C238" s="65"/>
      <c r="O238" s="66"/>
    </row>
    <row r="239" spans="3:15" ht="14.25" customHeight="1" x14ac:dyDescent="0.3">
      <c r="C239" s="65"/>
      <c r="O239" s="66"/>
    </row>
    <row r="240" spans="3:15" ht="14.25" customHeight="1" x14ac:dyDescent="0.3">
      <c r="C240" s="65"/>
      <c r="O240" s="66"/>
    </row>
    <row r="241" spans="3:15" ht="14.25" customHeight="1" x14ac:dyDescent="0.3">
      <c r="C241" s="65"/>
      <c r="O241" s="66"/>
    </row>
    <row r="242" spans="3:15" ht="14.25" customHeight="1" x14ac:dyDescent="0.3">
      <c r="C242" s="65"/>
      <c r="O242" s="66"/>
    </row>
    <row r="243" spans="3:15" ht="14.25" customHeight="1" x14ac:dyDescent="0.3">
      <c r="C243" s="65"/>
      <c r="O243" s="66"/>
    </row>
    <row r="244" spans="3:15" ht="14.25" customHeight="1" x14ac:dyDescent="0.3">
      <c r="C244" s="65"/>
      <c r="O244" s="66"/>
    </row>
    <row r="245" spans="3:15" ht="14.25" customHeight="1" x14ac:dyDescent="0.3">
      <c r="C245" s="65"/>
      <c r="O245" s="66"/>
    </row>
    <row r="246" spans="3:15" ht="14.25" customHeight="1" x14ac:dyDescent="0.3">
      <c r="C246" s="65"/>
      <c r="O246" s="66"/>
    </row>
    <row r="247" spans="3:15" ht="14.25" customHeight="1" x14ac:dyDescent="0.3">
      <c r="C247" s="65"/>
      <c r="O247" s="66"/>
    </row>
    <row r="248" spans="3:15" ht="14.25" customHeight="1" x14ac:dyDescent="0.3">
      <c r="C248" s="65"/>
      <c r="O248" s="66"/>
    </row>
    <row r="249" spans="3:15" ht="14.25" customHeight="1" x14ac:dyDescent="0.3">
      <c r="C249" s="65"/>
      <c r="O249" s="66"/>
    </row>
    <row r="250" spans="3:15" ht="14.25" customHeight="1" x14ac:dyDescent="0.3">
      <c r="C250" s="65"/>
      <c r="O250" s="66"/>
    </row>
    <row r="251" spans="3:15" ht="14.25" customHeight="1" x14ac:dyDescent="0.3">
      <c r="C251" s="65"/>
      <c r="O251" s="66"/>
    </row>
    <row r="252" spans="3:15" ht="14.25" customHeight="1" x14ac:dyDescent="0.3">
      <c r="C252" s="65"/>
      <c r="O252" s="66"/>
    </row>
    <row r="253" spans="3:15" ht="14.25" customHeight="1" x14ac:dyDescent="0.3">
      <c r="C253" s="65"/>
      <c r="O253" s="66"/>
    </row>
    <row r="254" spans="3:15" ht="14.25" customHeight="1" x14ac:dyDescent="0.3">
      <c r="C254" s="65"/>
      <c r="O254" s="66"/>
    </row>
    <row r="255" spans="3:15" ht="14.25" customHeight="1" x14ac:dyDescent="0.3">
      <c r="C255" s="65"/>
      <c r="O255" s="66"/>
    </row>
    <row r="256" spans="3:15" ht="14.25" customHeight="1" x14ac:dyDescent="0.3">
      <c r="C256" s="65"/>
      <c r="O256" s="66"/>
    </row>
    <row r="257" spans="3:15" ht="14.25" customHeight="1" x14ac:dyDescent="0.3">
      <c r="C257" s="65"/>
      <c r="O257" s="66"/>
    </row>
    <row r="258" spans="3:15" ht="14.25" customHeight="1" x14ac:dyDescent="0.3">
      <c r="C258" s="65"/>
      <c r="O258" s="66"/>
    </row>
    <row r="259" spans="3:15" ht="14.25" customHeight="1" x14ac:dyDescent="0.3">
      <c r="C259" s="65"/>
      <c r="O259" s="66"/>
    </row>
    <row r="260" spans="3:15" ht="14.25" customHeight="1" x14ac:dyDescent="0.3">
      <c r="C260" s="65"/>
      <c r="O260" s="66"/>
    </row>
    <row r="261" spans="3:15" ht="14.25" customHeight="1" x14ac:dyDescent="0.3">
      <c r="C261" s="65"/>
      <c r="O261" s="66"/>
    </row>
    <row r="262" spans="3:15" ht="14.25" customHeight="1" x14ac:dyDescent="0.3">
      <c r="C262" s="65"/>
      <c r="O262" s="66"/>
    </row>
    <row r="263" spans="3:15" ht="14.25" customHeight="1" x14ac:dyDescent="0.3">
      <c r="C263" s="65"/>
      <c r="O263" s="66"/>
    </row>
    <row r="264" spans="3:15" ht="14.25" customHeight="1" x14ac:dyDescent="0.3">
      <c r="C264" s="65"/>
      <c r="O264" s="66"/>
    </row>
    <row r="265" spans="3:15" ht="14.25" customHeight="1" x14ac:dyDescent="0.3">
      <c r="C265" s="65"/>
      <c r="O265" s="66"/>
    </row>
    <row r="266" spans="3:15" ht="14.25" customHeight="1" x14ac:dyDescent="0.3">
      <c r="C266" s="65"/>
      <c r="O266" s="66"/>
    </row>
    <row r="267" spans="3:15" ht="14.25" customHeight="1" x14ac:dyDescent="0.3">
      <c r="C267" s="65"/>
      <c r="O267" s="66"/>
    </row>
    <row r="268" spans="3:15" ht="14.25" customHeight="1" x14ac:dyDescent="0.3">
      <c r="C268" s="65"/>
      <c r="O268" s="66"/>
    </row>
    <row r="269" spans="3:15" ht="14.25" customHeight="1" x14ac:dyDescent="0.3">
      <c r="C269" s="65"/>
      <c r="O269" s="66"/>
    </row>
    <row r="270" spans="3:15" ht="14.25" customHeight="1" x14ac:dyDescent="0.3">
      <c r="C270" s="65"/>
      <c r="O270" s="66"/>
    </row>
    <row r="271" spans="3:15" ht="14.25" customHeight="1" x14ac:dyDescent="0.3">
      <c r="C271" s="65"/>
      <c r="O271" s="66"/>
    </row>
    <row r="272" spans="3:15" ht="14.25" customHeight="1" x14ac:dyDescent="0.3">
      <c r="C272" s="65"/>
      <c r="O272" s="66"/>
    </row>
    <row r="273" spans="3:15" ht="14.25" customHeight="1" x14ac:dyDescent="0.3">
      <c r="C273" s="65"/>
      <c r="O273" s="66"/>
    </row>
    <row r="274" spans="3:15" ht="14.25" customHeight="1" x14ac:dyDescent="0.3">
      <c r="C274" s="65"/>
      <c r="O274" s="66"/>
    </row>
    <row r="275" spans="3:15" ht="14.25" customHeight="1" x14ac:dyDescent="0.3">
      <c r="C275" s="65"/>
      <c r="O275" s="66"/>
    </row>
    <row r="276" spans="3:15" ht="14.25" customHeight="1" x14ac:dyDescent="0.3">
      <c r="C276" s="65"/>
      <c r="O276" s="66"/>
    </row>
    <row r="277" spans="3:15" ht="14.25" customHeight="1" x14ac:dyDescent="0.3">
      <c r="C277" s="65"/>
      <c r="O277" s="66"/>
    </row>
    <row r="278" spans="3:15" ht="14.25" customHeight="1" x14ac:dyDescent="0.3">
      <c r="C278" s="65"/>
      <c r="O278" s="66"/>
    </row>
    <row r="279" spans="3:15" ht="14.25" customHeight="1" x14ac:dyDescent="0.3">
      <c r="C279" s="65"/>
      <c r="O279" s="66"/>
    </row>
    <row r="280" spans="3:15" ht="14.25" customHeight="1" x14ac:dyDescent="0.3">
      <c r="C280" s="65"/>
      <c r="O280" s="66"/>
    </row>
    <row r="281" spans="3:15" ht="14.25" customHeight="1" x14ac:dyDescent="0.3">
      <c r="C281" s="65"/>
      <c r="O281" s="66"/>
    </row>
    <row r="282" spans="3:15" ht="14.25" customHeight="1" x14ac:dyDescent="0.3">
      <c r="C282" s="65"/>
      <c r="O282" s="66"/>
    </row>
    <row r="283" spans="3:15" ht="14.25" customHeight="1" x14ac:dyDescent="0.3">
      <c r="C283" s="65"/>
      <c r="O283" s="66"/>
    </row>
    <row r="284" spans="3:15" ht="14.25" customHeight="1" x14ac:dyDescent="0.3">
      <c r="C284" s="65"/>
      <c r="O284" s="66"/>
    </row>
    <row r="285" spans="3:15" ht="14.25" customHeight="1" x14ac:dyDescent="0.3">
      <c r="C285" s="65"/>
      <c r="O285" s="66"/>
    </row>
    <row r="286" spans="3:15" ht="14.25" customHeight="1" x14ac:dyDescent="0.3">
      <c r="C286" s="65"/>
      <c r="O286" s="66"/>
    </row>
    <row r="287" spans="3:15" ht="14.25" customHeight="1" x14ac:dyDescent="0.3">
      <c r="C287" s="65"/>
      <c r="O287" s="66"/>
    </row>
    <row r="288" spans="3:15" ht="14.25" customHeight="1" x14ac:dyDescent="0.3">
      <c r="C288" s="65"/>
      <c r="O288" s="66"/>
    </row>
    <row r="289" spans="3:15" ht="14.25" customHeight="1" x14ac:dyDescent="0.3">
      <c r="C289" s="65"/>
      <c r="O289" s="66"/>
    </row>
    <row r="290" spans="3:15" ht="14.25" customHeight="1" x14ac:dyDescent="0.3">
      <c r="C290" s="65"/>
      <c r="O290" s="66"/>
    </row>
    <row r="291" spans="3:15" ht="14.25" customHeight="1" x14ac:dyDescent="0.3">
      <c r="C291" s="65"/>
      <c r="O291" s="66"/>
    </row>
    <row r="292" spans="3:15" ht="14.25" customHeight="1" x14ac:dyDescent="0.3">
      <c r="C292" s="65"/>
      <c r="O292" s="66"/>
    </row>
    <row r="293" spans="3:15" ht="14.25" customHeight="1" x14ac:dyDescent="0.3">
      <c r="C293" s="65"/>
      <c r="O293" s="66"/>
    </row>
    <row r="294" spans="3:15" ht="14.25" customHeight="1" x14ac:dyDescent="0.3">
      <c r="C294" s="65"/>
      <c r="O294" s="66"/>
    </row>
    <row r="295" spans="3:15" ht="14.25" customHeight="1" x14ac:dyDescent="0.3">
      <c r="C295" s="65"/>
      <c r="O295" s="66"/>
    </row>
    <row r="296" spans="3:15" ht="14.25" customHeight="1" x14ac:dyDescent="0.3">
      <c r="C296" s="65"/>
      <c r="O296" s="66"/>
    </row>
    <row r="297" spans="3:15" ht="14.25" customHeight="1" x14ac:dyDescent="0.3">
      <c r="C297" s="65"/>
      <c r="O297" s="66"/>
    </row>
    <row r="298" spans="3:15" ht="14.25" customHeight="1" x14ac:dyDescent="0.3">
      <c r="C298" s="65"/>
      <c r="O298" s="66"/>
    </row>
    <row r="299" spans="3:15" ht="14.25" customHeight="1" x14ac:dyDescent="0.3">
      <c r="C299" s="65"/>
      <c r="O299" s="66"/>
    </row>
    <row r="300" spans="3:15" ht="14.25" customHeight="1" x14ac:dyDescent="0.3">
      <c r="C300" s="65"/>
      <c r="O300" s="66"/>
    </row>
    <row r="301" spans="3:15" ht="14.25" customHeight="1" x14ac:dyDescent="0.3">
      <c r="C301" s="65"/>
      <c r="O301" s="66"/>
    </row>
    <row r="302" spans="3:15" ht="14.25" customHeight="1" x14ac:dyDescent="0.3">
      <c r="C302" s="65"/>
      <c r="O302" s="66"/>
    </row>
    <row r="303" spans="3:15" ht="14.25" customHeight="1" x14ac:dyDescent="0.3">
      <c r="C303" s="65"/>
      <c r="O303" s="66"/>
    </row>
    <row r="304" spans="3:15" ht="14.25" customHeight="1" x14ac:dyDescent="0.3">
      <c r="C304" s="65"/>
      <c r="O304" s="66"/>
    </row>
    <row r="305" spans="3:15" ht="14.25" customHeight="1" x14ac:dyDescent="0.3">
      <c r="C305" s="65"/>
      <c r="O305" s="66"/>
    </row>
    <row r="306" spans="3:15" ht="14.25" customHeight="1" x14ac:dyDescent="0.3">
      <c r="C306" s="65"/>
      <c r="O306" s="66"/>
    </row>
    <row r="307" spans="3:15" ht="14.25" customHeight="1" x14ac:dyDescent="0.3">
      <c r="C307" s="65"/>
      <c r="O307" s="66"/>
    </row>
    <row r="308" spans="3:15" ht="14.25" customHeight="1" x14ac:dyDescent="0.3">
      <c r="C308" s="65"/>
      <c r="O308" s="66"/>
    </row>
    <row r="309" spans="3:15" ht="14.25" customHeight="1" x14ac:dyDescent="0.3">
      <c r="C309" s="65"/>
      <c r="O309" s="66"/>
    </row>
    <row r="310" spans="3:15" ht="14.25" customHeight="1" x14ac:dyDescent="0.3">
      <c r="C310" s="65"/>
      <c r="O310" s="66"/>
    </row>
    <row r="311" spans="3:15" ht="14.25" customHeight="1" x14ac:dyDescent="0.3">
      <c r="C311" s="65"/>
      <c r="O311" s="66"/>
    </row>
    <row r="312" spans="3:15" ht="14.25" customHeight="1" x14ac:dyDescent="0.3">
      <c r="C312" s="65"/>
      <c r="O312" s="66"/>
    </row>
    <row r="313" spans="3:15" ht="14.25" customHeight="1" x14ac:dyDescent="0.3">
      <c r="C313" s="65"/>
      <c r="O313" s="66"/>
    </row>
    <row r="314" spans="3:15" ht="14.25" customHeight="1" x14ac:dyDescent="0.3">
      <c r="C314" s="65"/>
      <c r="O314" s="66"/>
    </row>
    <row r="315" spans="3:15" ht="14.25" customHeight="1" x14ac:dyDescent="0.3">
      <c r="C315" s="65"/>
      <c r="O315" s="66"/>
    </row>
    <row r="316" spans="3:15" ht="14.25" customHeight="1" x14ac:dyDescent="0.3">
      <c r="C316" s="65"/>
      <c r="O316" s="66"/>
    </row>
    <row r="317" spans="3:15" ht="14.25" customHeight="1" x14ac:dyDescent="0.3">
      <c r="C317" s="65"/>
      <c r="O317" s="66"/>
    </row>
    <row r="318" spans="3:15" ht="14.25" customHeight="1" x14ac:dyDescent="0.3">
      <c r="C318" s="65"/>
      <c r="O318" s="66"/>
    </row>
    <row r="319" spans="3:15" ht="14.25" customHeight="1" x14ac:dyDescent="0.3">
      <c r="C319" s="65"/>
      <c r="O319" s="66"/>
    </row>
    <row r="320" spans="3:15" ht="14.25" customHeight="1" x14ac:dyDescent="0.3">
      <c r="C320" s="65"/>
      <c r="O320" s="66"/>
    </row>
    <row r="321" spans="3:15" ht="14.25" customHeight="1" x14ac:dyDescent="0.3">
      <c r="C321" s="65"/>
      <c r="O321" s="66"/>
    </row>
    <row r="322" spans="3:15" ht="14.25" customHeight="1" x14ac:dyDescent="0.3">
      <c r="C322" s="65"/>
      <c r="O322" s="66"/>
    </row>
    <row r="323" spans="3:15" ht="14.25" customHeight="1" x14ac:dyDescent="0.3">
      <c r="C323" s="65"/>
      <c r="O323" s="66"/>
    </row>
    <row r="324" spans="3:15" ht="14.25" customHeight="1" x14ac:dyDescent="0.3">
      <c r="C324" s="65"/>
      <c r="O324" s="66"/>
    </row>
    <row r="325" spans="3:15" ht="14.25" customHeight="1" x14ac:dyDescent="0.3">
      <c r="C325" s="65"/>
      <c r="O325" s="66"/>
    </row>
    <row r="326" spans="3:15" ht="14.25" customHeight="1" x14ac:dyDescent="0.3">
      <c r="C326" s="65"/>
      <c r="O326" s="66"/>
    </row>
    <row r="327" spans="3:15" ht="14.25" customHeight="1" x14ac:dyDescent="0.3">
      <c r="C327" s="65"/>
      <c r="O327" s="66"/>
    </row>
    <row r="328" spans="3:15" ht="14.25" customHeight="1" x14ac:dyDescent="0.3">
      <c r="C328" s="65"/>
      <c r="O328" s="66"/>
    </row>
    <row r="329" spans="3:15" ht="14.25" customHeight="1" x14ac:dyDescent="0.3">
      <c r="C329" s="65"/>
      <c r="O329" s="66"/>
    </row>
    <row r="330" spans="3:15" ht="14.25" customHeight="1" x14ac:dyDescent="0.3">
      <c r="C330" s="65"/>
      <c r="O330" s="66"/>
    </row>
    <row r="331" spans="3:15" ht="14.25" customHeight="1" x14ac:dyDescent="0.3">
      <c r="C331" s="65"/>
      <c r="O331" s="66"/>
    </row>
    <row r="332" spans="3:15" ht="14.25" customHeight="1" x14ac:dyDescent="0.3">
      <c r="C332" s="65"/>
      <c r="O332" s="66"/>
    </row>
    <row r="333" spans="3:15" ht="14.25" customHeight="1" x14ac:dyDescent="0.3">
      <c r="C333" s="65"/>
      <c r="O333" s="66"/>
    </row>
    <row r="334" spans="3:15" ht="14.25" customHeight="1" x14ac:dyDescent="0.3">
      <c r="C334" s="65"/>
      <c r="O334" s="66"/>
    </row>
    <row r="335" spans="3:15" ht="14.25" customHeight="1" x14ac:dyDescent="0.3">
      <c r="C335" s="65"/>
      <c r="O335" s="66"/>
    </row>
    <row r="336" spans="3:15" ht="14.25" customHeight="1" x14ac:dyDescent="0.3">
      <c r="C336" s="65"/>
      <c r="O336" s="66"/>
    </row>
    <row r="337" spans="3:15" ht="14.25" customHeight="1" x14ac:dyDescent="0.3">
      <c r="C337" s="65"/>
      <c r="O337" s="66"/>
    </row>
    <row r="338" spans="3:15" ht="14.25" customHeight="1" x14ac:dyDescent="0.3">
      <c r="C338" s="65"/>
      <c r="O338" s="66"/>
    </row>
    <row r="339" spans="3:15" ht="14.25" customHeight="1" x14ac:dyDescent="0.3">
      <c r="C339" s="65"/>
      <c r="O339" s="66"/>
    </row>
    <row r="340" spans="3:15" ht="14.25" customHeight="1" x14ac:dyDescent="0.3">
      <c r="C340" s="65"/>
      <c r="O340" s="66"/>
    </row>
    <row r="341" spans="3:15" ht="14.25" customHeight="1" x14ac:dyDescent="0.3">
      <c r="C341" s="65"/>
      <c r="O341" s="66"/>
    </row>
    <row r="342" spans="3:15" ht="14.25" customHeight="1" x14ac:dyDescent="0.3">
      <c r="C342" s="65"/>
      <c r="O342" s="66"/>
    </row>
    <row r="343" spans="3:15" ht="14.25" customHeight="1" x14ac:dyDescent="0.3">
      <c r="C343" s="65"/>
      <c r="O343" s="66"/>
    </row>
    <row r="344" spans="3:15" ht="14.25" customHeight="1" x14ac:dyDescent="0.3">
      <c r="C344" s="65"/>
      <c r="O344" s="66"/>
    </row>
    <row r="345" spans="3:15" ht="14.25" customHeight="1" x14ac:dyDescent="0.3">
      <c r="C345" s="65"/>
      <c r="O345" s="66"/>
    </row>
    <row r="346" spans="3:15" ht="14.25" customHeight="1" x14ac:dyDescent="0.3">
      <c r="C346" s="65"/>
      <c r="O346" s="66"/>
    </row>
    <row r="347" spans="3:15" ht="14.25" customHeight="1" x14ac:dyDescent="0.3">
      <c r="C347" s="65"/>
      <c r="O347" s="66"/>
    </row>
    <row r="348" spans="3:15" ht="14.25" customHeight="1" x14ac:dyDescent="0.3">
      <c r="C348" s="65"/>
      <c r="O348" s="66"/>
    </row>
    <row r="349" spans="3:15" ht="14.25" customHeight="1" x14ac:dyDescent="0.3">
      <c r="C349" s="65"/>
      <c r="O349" s="66"/>
    </row>
    <row r="350" spans="3:15" ht="14.25" customHeight="1" x14ac:dyDescent="0.3">
      <c r="C350" s="65"/>
      <c r="O350" s="66"/>
    </row>
    <row r="351" spans="3:15" ht="14.25" customHeight="1" x14ac:dyDescent="0.3">
      <c r="C351" s="65"/>
      <c r="O351" s="66"/>
    </row>
    <row r="352" spans="3:15" ht="14.25" customHeight="1" x14ac:dyDescent="0.3">
      <c r="C352" s="65"/>
      <c r="O352" s="66"/>
    </row>
    <row r="353" spans="3:15" ht="14.25" customHeight="1" x14ac:dyDescent="0.3">
      <c r="C353" s="65"/>
      <c r="O353" s="66"/>
    </row>
    <row r="354" spans="3:15" ht="14.25" customHeight="1" x14ac:dyDescent="0.3">
      <c r="C354" s="65"/>
      <c r="O354" s="66"/>
    </row>
    <row r="355" spans="3:15" ht="14.25" customHeight="1" x14ac:dyDescent="0.3">
      <c r="C355" s="65"/>
      <c r="O355" s="66"/>
    </row>
    <row r="356" spans="3:15" ht="14.25" customHeight="1" x14ac:dyDescent="0.3">
      <c r="C356" s="65"/>
      <c r="O356" s="66"/>
    </row>
    <row r="357" spans="3:15" ht="14.25" customHeight="1" x14ac:dyDescent="0.3">
      <c r="C357" s="65"/>
      <c r="O357" s="66"/>
    </row>
    <row r="358" spans="3:15" ht="14.25" customHeight="1" x14ac:dyDescent="0.3">
      <c r="C358" s="65"/>
      <c r="O358" s="66"/>
    </row>
    <row r="359" spans="3:15" ht="14.25" customHeight="1" x14ac:dyDescent="0.3">
      <c r="C359" s="65"/>
      <c r="O359" s="66"/>
    </row>
    <row r="360" spans="3:15" ht="14.25" customHeight="1" x14ac:dyDescent="0.3">
      <c r="C360" s="65"/>
      <c r="O360" s="66"/>
    </row>
    <row r="361" spans="3:15" ht="14.25" customHeight="1" x14ac:dyDescent="0.3">
      <c r="C361" s="65"/>
      <c r="O361" s="66"/>
    </row>
    <row r="362" spans="3:15" ht="14.25" customHeight="1" x14ac:dyDescent="0.3">
      <c r="C362" s="65"/>
      <c r="O362" s="66"/>
    </row>
    <row r="363" spans="3:15" ht="14.25" customHeight="1" x14ac:dyDescent="0.3">
      <c r="C363" s="65"/>
      <c r="O363" s="66"/>
    </row>
    <row r="364" spans="3:15" ht="14.25" customHeight="1" x14ac:dyDescent="0.3">
      <c r="C364" s="65"/>
      <c r="O364" s="66"/>
    </row>
    <row r="365" spans="3:15" ht="14.25" customHeight="1" x14ac:dyDescent="0.3">
      <c r="C365" s="65"/>
      <c r="O365" s="66"/>
    </row>
    <row r="366" spans="3:15" ht="14.25" customHeight="1" x14ac:dyDescent="0.3">
      <c r="C366" s="65"/>
      <c r="O366" s="66"/>
    </row>
    <row r="367" spans="3:15" ht="14.25" customHeight="1" x14ac:dyDescent="0.3">
      <c r="C367" s="65"/>
      <c r="O367" s="66"/>
    </row>
    <row r="368" spans="3:15" ht="14.25" customHeight="1" x14ac:dyDescent="0.3">
      <c r="C368" s="65"/>
      <c r="O368" s="66"/>
    </row>
    <row r="369" spans="3:15" ht="14.25" customHeight="1" x14ac:dyDescent="0.3">
      <c r="C369" s="65"/>
      <c r="O369" s="66"/>
    </row>
    <row r="370" spans="3:15" ht="14.25" customHeight="1" x14ac:dyDescent="0.3">
      <c r="C370" s="65"/>
      <c r="O370" s="66"/>
    </row>
    <row r="371" spans="3:15" ht="14.25" customHeight="1" x14ac:dyDescent="0.3">
      <c r="C371" s="65"/>
      <c r="O371" s="66"/>
    </row>
    <row r="372" spans="3:15" ht="14.25" customHeight="1" x14ac:dyDescent="0.3">
      <c r="C372" s="65"/>
      <c r="O372" s="66"/>
    </row>
    <row r="373" spans="3:15" ht="14.25" customHeight="1" x14ac:dyDescent="0.3">
      <c r="C373" s="65"/>
      <c r="O373" s="66"/>
    </row>
    <row r="374" spans="3:15" ht="14.25" customHeight="1" x14ac:dyDescent="0.3">
      <c r="C374" s="65"/>
      <c r="O374" s="66"/>
    </row>
    <row r="375" spans="3:15" ht="14.25" customHeight="1" x14ac:dyDescent="0.3">
      <c r="C375" s="65"/>
      <c r="O375" s="66"/>
    </row>
    <row r="376" spans="3:15" ht="14.25" customHeight="1" x14ac:dyDescent="0.3">
      <c r="C376" s="65"/>
      <c r="O376" s="66"/>
    </row>
    <row r="377" spans="3:15" ht="14.25" customHeight="1" x14ac:dyDescent="0.3">
      <c r="C377" s="65"/>
      <c r="O377" s="66"/>
    </row>
    <row r="378" spans="3:15" ht="14.25" customHeight="1" x14ac:dyDescent="0.3">
      <c r="C378" s="65"/>
      <c r="O378" s="66"/>
    </row>
    <row r="379" spans="3:15" ht="14.25" customHeight="1" x14ac:dyDescent="0.3">
      <c r="C379" s="65"/>
      <c r="O379" s="66"/>
    </row>
    <row r="380" spans="3:15" ht="14.25" customHeight="1" x14ac:dyDescent="0.3">
      <c r="C380" s="65"/>
      <c r="O380" s="66"/>
    </row>
    <row r="381" spans="3:15" ht="14.25" customHeight="1" x14ac:dyDescent="0.3">
      <c r="C381" s="65"/>
      <c r="O381" s="66"/>
    </row>
    <row r="382" spans="3:15" ht="14.25" customHeight="1" x14ac:dyDescent="0.3">
      <c r="C382" s="65"/>
      <c r="O382" s="66"/>
    </row>
    <row r="383" spans="3:15" ht="14.25" customHeight="1" x14ac:dyDescent="0.3">
      <c r="C383" s="65"/>
      <c r="O383" s="66"/>
    </row>
    <row r="384" spans="3:15" ht="14.25" customHeight="1" x14ac:dyDescent="0.3">
      <c r="C384" s="65"/>
      <c r="O384" s="66"/>
    </row>
    <row r="385" spans="3:15" ht="14.25" customHeight="1" x14ac:dyDescent="0.3">
      <c r="C385" s="65"/>
      <c r="O385" s="66"/>
    </row>
    <row r="386" spans="3:15" ht="14.25" customHeight="1" x14ac:dyDescent="0.3">
      <c r="C386" s="65"/>
      <c r="O386" s="66"/>
    </row>
    <row r="387" spans="3:15" ht="14.25" customHeight="1" x14ac:dyDescent="0.3">
      <c r="C387" s="65"/>
      <c r="O387" s="66"/>
    </row>
    <row r="388" spans="3:15" ht="14.25" customHeight="1" x14ac:dyDescent="0.3">
      <c r="C388" s="65"/>
      <c r="O388" s="66"/>
    </row>
    <row r="389" spans="3:15" ht="14.25" customHeight="1" x14ac:dyDescent="0.3">
      <c r="C389" s="65"/>
      <c r="O389" s="66"/>
    </row>
    <row r="390" spans="3:15" ht="14.25" customHeight="1" x14ac:dyDescent="0.3">
      <c r="C390" s="65"/>
      <c r="O390" s="66"/>
    </row>
    <row r="391" spans="3:15" ht="14.25" customHeight="1" x14ac:dyDescent="0.3">
      <c r="C391" s="65"/>
      <c r="O391" s="66"/>
    </row>
    <row r="392" spans="3:15" ht="14.25" customHeight="1" x14ac:dyDescent="0.3">
      <c r="C392" s="65"/>
      <c r="O392" s="66"/>
    </row>
    <row r="393" spans="3:15" ht="14.25" customHeight="1" x14ac:dyDescent="0.3">
      <c r="C393" s="65"/>
      <c r="O393" s="66"/>
    </row>
    <row r="394" spans="3:15" ht="14.25" customHeight="1" x14ac:dyDescent="0.3">
      <c r="C394" s="65"/>
      <c r="O394" s="66"/>
    </row>
    <row r="395" spans="3:15" ht="14.25" customHeight="1" x14ac:dyDescent="0.3">
      <c r="C395" s="65"/>
      <c r="O395" s="66"/>
    </row>
    <row r="396" spans="3:15" ht="14.25" customHeight="1" x14ac:dyDescent="0.3">
      <c r="C396" s="65"/>
      <c r="O396" s="66"/>
    </row>
    <row r="397" spans="3:15" ht="14.25" customHeight="1" x14ac:dyDescent="0.3">
      <c r="C397" s="65"/>
      <c r="O397" s="66"/>
    </row>
    <row r="398" spans="3:15" ht="14.25" customHeight="1" x14ac:dyDescent="0.3">
      <c r="C398" s="65"/>
      <c r="O398" s="66"/>
    </row>
    <row r="399" spans="3:15" ht="14.25" customHeight="1" x14ac:dyDescent="0.3">
      <c r="C399" s="65"/>
      <c r="O399" s="66"/>
    </row>
    <row r="400" spans="3:15" ht="14.25" customHeight="1" x14ac:dyDescent="0.3">
      <c r="C400" s="65"/>
      <c r="O400" s="66"/>
    </row>
    <row r="401" spans="3:15" ht="14.25" customHeight="1" x14ac:dyDescent="0.3">
      <c r="C401" s="65"/>
      <c r="O401" s="66"/>
    </row>
    <row r="402" spans="3:15" ht="14.25" customHeight="1" x14ac:dyDescent="0.3">
      <c r="C402" s="65"/>
      <c r="O402" s="66"/>
    </row>
    <row r="403" spans="3:15" ht="14.25" customHeight="1" x14ac:dyDescent="0.3">
      <c r="C403" s="65"/>
      <c r="O403" s="66"/>
    </row>
    <row r="404" spans="3:15" ht="14.25" customHeight="1" x14ac:dyDescent="0.3">
      <c r="C404" s="65"/>
      <c r="O404" s="66"/>
    </row>
    <row r="405" spans="3:15" ht="14.25" customHeight="1" x14ac:dyDescent="0.3">
      <c r="C405" s="65"/>
      <c r="O405" s="66"/>
    </row>
    <row r="406" spans="3:15" ht="14.25" customHeight="1" x14ac:dyDescent="0.3">
      <c r="C406" s="65"/>
      <c r="O406" s="66"/>
    </row>
    <row r="407" spans="3:15" ht="14.25" customHeight="1" x14ac:dyDescent="0.3">
      <c r="C407" s="65"/>
      <c r="O407" s="66"/>
    </row>
    <row r="408" spans="3:15" ht="14.25" customHeight="1" x14ac:dyDescent="0.3">
      <c r="C408" s="65"/>
      <c r="O408" s="66"/>
    </row>
    <row r="409" spans="3:15" ht="14.25" customHeight="1" x14ac:dyDescent="0.3">
      <c r="C409" s="65"/>
      <c r="O409" s="66"/>
    </row>
    <row r="410" spans="3:15" ht="14.25" customHeight="1" x14ac:dyDescent="0.3">
      <c r="C410" s="65"/>
      <c r="O410" s="66"/>
    </row>
    <row r="411" spans="3:15" ht="14.25" customHeight="1" x14ac:dyDescent="0.3">
      <c r="C411" s="65"/>
      <c r="O411" s="66"/>
    </row>
    <row r="412" spans="3:15" ht="14.25" customHeight="1" x14ac:dyDescent="0.3">
      <c r="C412" s="65"/>
      <c r="O412" s="66"/>
    </row>
    <row r="413" spans="3:15" ht="14.25" customHeight="1" x14ac:dyDescent="0.3">
      <c r="C413" s="65"/>
      <c r="O413" s="66"/>
    </row>
    <row r="414" spans="3:15" ht="14.25" customHeight="1" x14ac:dyDescent="0.3">
      <c r="C414" s="65"/>
      <c r="O414" s="66"/>
    </row>
    <row r="415" spans="3:15" ht="14.25" customHeight="1" x14ac:dyDescent="0.3">
      <c r="C415" s="65"/>
      <c r="O415" s="66"/>
    </row>
    <row r="416" spans="3:15" ht="14.25" customHeight="1" x14ac:dyDescent="0.3">
      <c r="C416" s="65"/>
      <c r="O416" s="66"/>
    </row>
    <row r="417" spans="3:15" ht="14.25" customHeight="1" x14ac:dyDescent="0.3">
      <c r="C417" s="65"/>
      <c r="O417" s="66"/>
    </row>
    <row r="418" spans="3:15" ht="14.25" customHeight="1" x14ac:dyDescent="0.3">
      <c r="C418" s="65"/>
      <c r="O418" s="66"/>
    </row>
    <row r="419" spans="3:15" ht="14.25" customHeight="1" x14ac:dyDescent="0.3">
      <c r="C419" s="65"/>
      <c r="O419" s="66"/>
    </row>
    <row r="420" spans="3:15" ht="14.25" customHeight="1" x14ac:dyDescent="0.3">
      <c r="C420" s="65"/>
      <c r="O420" s="66"/>
    </row>
    <row r="421" spans="3:15" ht="14.25" customHeight="1" x14ac:dyDescent="0.3">
      <c r="C421" s="65"/>
      <c r="O421" s="66"/>
    </row>
    <row r="422" spans="3:15" ht="14.25" customHeight="1" x14ac:dyDescent="0.3">
      <c r="C422" s="65"/>
      <c r="O422" s="66"/>
    </row>
    <row r="423" spans="3:15" ht="14.25" customHeight="1" x14ac:dyDescent="0.3">
      <c r="C423" s="65"/>
      <c r="O423" s="66"/>
    </row>
    <row r="424" spans="3:15" ht="14.25" customHeight="1" x14ac:dyDescent="0.3">
      <c r="C424" s="65"/>
      <c r="O424" s="66"/>
    </row>
    <row r="425" spans="3:15" ht="14.25" customHeight="1" x14ac:dyDescent="0.3">
      <c r="C425" s="65"/>
      <c r="O425" s="66"/>
    </row>
    <row r="426" spans="3:15" ht="14.25" customHeight="1" x14ac:dyDescent="0.3">
      <c r="C426" s="65"/>
      <c r="O426" s="66"/>
    </row>
    <row r="427" spans="3:15" ht="14.25" customHeight="1" x14ac:dyDescent="0.3">
      <c r="C427" s="65"/>
      <c r="O427" s="66"/>
    </row>
    <row r="428" spans="3:15" ht="14.25" customHeight="1" x14ac:dyDescent="0.3">
      <c r="C428" s="65"/>
      <c r="O428" s="66"/>
    </row>
    <row r="429" spans="3:15" ht="14.25" customHeight="1" x14ac:dyDescent="0.3">
      <c r="C429" s="65"/>
      <c r="O429" s="66"/>
    </row>
    <row r="430" spans="3:15" ht="14.25" customHeight="1" x14ac:dyDescent="0.3">
      <c r="C430" s="65"/>
      <c r="O430" s="66"/>
    </row>
    <row r="431" spans="3:15" ht="14.25" customHeight="1" x14ac:dyDescent="0.3">
      <c r="C431" s="65"/>
      <c r="O431" s="66"/>
    </row>
    <row r="432" spans="3:15" ht="14.25" customHeight="1" x14ac:dyDescent="0.3">
      <c r="C432" s="65"/>
      <c r="O432" s="66"/>
    </row>
    <row r="433" spans="3:15" ht="14.25" customHeight="1" x14ac:dyDescent="0.3">
      <c r="C433" s="65"/>
      <c r="O433" s="66"/>
    </row>
    <row r="434" spans="3:15" ht="14.25" customHeight="1" x14ac:dyDescent="0.3">
      <c r="C434" s="65"/>
      <c r="O434" s="66"/>
    </row>
    <row r="435" spans="3:15" ht="14.25" customHeight="1" x14ac:dyDescent="0.3">
      <c r="C435" s="65"/>
      <c r="O435" s="66"/>
    </row>
    <row r="436" spans="3:15" ht="14.25" customHeight="1" x14ac:dyDescent="0.3">
      <c r="C436" s="65"/>
      <c r="O436" s="66"/>
    </row>
    <row r="437" spans="3:15" ht="14.25" customHeight="1" x14ac:dyDescent="0.3">
      <c r="C437" s="65"/>
      <c r="O437" s="66"/>
    </row>
    <row r="438" spans="3:15" ht="14.25" customHeight="1" x14ac:dyDescent="0.3">
      <c r="C438" s="65"/>
      <c r="O438" s="66"/>
    </row>
    <row r="439" spans="3:15" ht="14.25" customHeight="1" x14ac:dyDescent="0.3">
      <c r="C439" s="65"/>
      <c r="O439" s="66"/>
    </row>
    <row r="440" spans="3:15" ht="14.25" customHeight="1" x14ac:dyDescent="0.3">
      <c r="C440" s="65"/>
      <c r="O440" s="66"/>
    </row>
    <row r="441" spans="3:15" ht="14.25" customHeight="1" x14ac:dyDescent="0.3">
      <c r="C441" s="65"/>
      <c r="O441" s="66"/>
    </row>
    <row r="442" spans="3:15" ht="14.25" customHeight="1" x14ac:dyDescent="0.3">
      <c r="C442" s="65"/>
      <c r="O442" s="66"/>
    </row>
    <row r="443" spans="3:15" ht="14.25" customHeight="1" x14ac:dyDescent="0.3">
      <c r="C443" s="65"/>
      <c r="O443" s="66"/>
    </row>
    <row r="444" spans="3:15" ht="14.25" customHeight="1" x14ac:dyDescent="0.3">
      <c r="C444" s="65"/>
      <c r="O444" s="66"/>
    </row>
    <row r="445" spans="3:15" ht="14.25" customHeight="1" x14ac:dyDescent="0.3">
      <c r="C445" s="65"/>
      <c r="O445" s="66"/>
    </row>
    <row r="446" spans="3:15" ht="14.25" customHeight="1" x14ac:dyDescent="0.3">
      <c r="C446" s="65"/>
      <c r="O446" s="66"/>
    </row>
    <row r="447" spans="3:15" ht="14.25" customHeight="1" x14ac:dyDescent="0.3">
      <c r="C447" s="65"/>
      <c r="O447" s="66"/>
    </row>
    <row r="448" spans="3:15" ht="14.25" customHeight="1" x14ac:dyDescent="0.3">
      <c r="C448" s="65"/>
      <c r="O448" s="66"/>
    </row>
    <row r="449" spans="3:15" ht="14.25" customHeight="1" x14ac:dyDescent="0.3">
      <c r="C449" s="65"/>
      <c r="O449" s="66"/>
    </row>
    <row r="450" spans="3:15" ht="14.25" customHeight="1" x14ac:dyDescent="0.3">
      <c r="C450" s="65"/>
      <c r="O450" s="66"/>
    </row>
    <row r="451" spans="3:15" ht="14.25" customHeight="1" x14ac:dyDescent="0.3">
      <c r="C451" s="65"/>
      <c r="O451" s="66"/>
    </row>
    <row r="452" spans="3:15" ht="14.25" customHeight="1" x14ac:dyDescent="0.3">
      <c r="C452" s="65"/>
      <c r="O452" s="66"/>
    </row>
    <row r="453" spans="3:15" ht="14.25" customHeight="1" x14ac:dyDescent="0.3">
      <c r="C453" s="65"/>
      <c r="O453" s="66"/>
    </row>
    <row r="454" spans="3:15" ht="14.25" customHeight="1" x14ac:dyDescent="0.3">
      <c r="C454" s="65"/>
      <c r="O454" s="66"/>
    </row>
    <row r="455" spans="3:15" ht="14.25" customHeight="1" x14ac:dyDescent="0.3">
      <c r="C455" s="65"/>
      <c r="O455" s="66"/>
    </row>
    <row r="456" spans="3:15" ht="14.25" customHeight="1" x14ac:dyDescent="0.3">
      <c r="C456" s="65"/>
      <c r="O456" s="66"/>
    </row>
    <row r="457" spans="3:15" ht="14.25" customHeight="1" x14ac:dyDescent="0.3">
      <c r="C457" s="65"/>
      <c r="O457" s="66"/>
    </row>
    <row r="458" spans="3:15" ht="14.25" customHeight="1" x14ac:dyDescent="0.3">
      <c r="C458" s="65"/>
      <c r="O458" s="66"/>
    </row>
    <row r="459" spans="3:15" ht="14.25" customHeight="1" x14ac:dyDescent="0.3">
      <c r="C459" s="65"/>
      <c r="O459" s="66"/>
    </row>
    <row r="460" spans="3:15" ht="14.25" customHeight="1" x14ac:dyDescent="0.3">
      <c r="C460" s="65"/>
      <c r="O460" s="66"/>
    </row>
    <row r="461" spans="3:15" ht="14.25" customHeight="1" x14ac:dyDescent="0.3">
      <c r="C461" s="65"/>
      <c r="O461" s="66"/>
    </row>
    <row r="462" spans="3:15" ht="14.25" customHeight="1" x14ac:dyDescent="0.3">
      <c r="C462" s="65"/>
      <c r="O462" s="66"/>
    </row>
    <row r="463" spans="3:15" ht="14.25" customHeight="1" x14ac:dyDescent="0.3">
      <c r="C463" s="65"/>
      <c r="O463" s="66"/>
    </row>
    <row r="464" spans="3:15" ht="14.25" customHeight="1" x14ac:dyDescent="0.3">
      <c r="C464" s="65"/>
      <c r="O464" s="66"/>
    </row>
    <row r="465" spans="3:15" ht="14.25" customHeight="1" x14ac:dyDescent="0.3">
      <c r="C465" s="65"/>
      <c r="O465" s="66"/>
    </row>
    <row r="466" spans="3:15" ht="14.25" customHeight="1" x14ac:dyDescent="0.3">
      <c r="C466" s="65"/>
      <c r="O466" s="66"/>
    </row>
    <row r="467" spans="3:15" ht="14.25" customHeight="1" x14ac:dyDescent="0.3">
      <c r="C467" s="65"/>
      <c r="O467" s="66"/>
    </row>
    <row r="468" spans="3:15" ht="14.25" customHeight="1" x14ac:dyDescent="0.3">
      <c r="C468" s="65"/>
      <c r="O468" s="66"/>
    </row>
    <row r="469" spans="3:15" ht="14.25" customHeight="1" x14ac:dyDescent="0.3">
      <c r="C469" s="65"/>
      <c r="O469" s="66"/>
    </row>
    <row r="470" spans="3:15" ht="14.25" customHeight="1" x14ac:dyDescent="0.3">
      <c r="C470" s="65"/>
      <c r="O470" s="66"/>
    </row>
    <row r="471" spans="3:15" ht="14.25" customHeight="1" x14ac:dyDescent="0.3">
      <c r="C471" s="65"/>
      <c r="O471" s="66"/>
    </row>
    <row r="472" spans="3:15" ht="14.25" customHeight="1" x14ac:dyDescent="0.3">
      <c r="C472" s="65"/>
      <c r="O472" s="66"/>
    </row>
    <row r="473" spans="3:15" ht="14.25" customHeight="1" x14ac:dyDescent="0.3">
      <c r="C473" s="65"/>
      <c r="O473" s="66"/>
    </row>
    <row r="474" spans="3:15" ht="14.25" customHeight="1" x14ac:dyDescent="0.3">
      <c r="C474" s="65"/>
      <c r="O474" s="66"/>
    </row>
    <row r="475" spans="3:15" ht="14.25" customHeight="1" x14ac:dyDescent="0.3">
      <c r="C475" s="65"/>
      <c r="O475" s="66"/>
    </row>
    <row r="476" spans="3:15" ht="14.25" customHeight="1" x14ac:dyDescent="0.3">
      <c r="C476" s="65"/>
      <c r="O476" s="66"/>
    </row>
    <row r="477" spans="3:15" ht="14.25" customHeight="1" x14ac:dyDescent="0.3">
      <c r="C477" s="65"/>
      <c r="O477" s="66"/>
    </row>
    <row r="478" spans="3:15" ht="14.25" customHeight="1" x14ac:dyDescent="0.3">
      <c r="C478" s="65"/>
      <c r="O478" s="66"/>
    </row>
    <row r="479" spans="3:15" ht="14.25" customHeight="1" x14ac:dyDescent="0.3">
      <c r="C479" s="65"/>
      <c r="O479" s="66"/>
    </row>
    <row r="480" spans="3:15" ht="14.25" customHeight="1" x14ac:dyDescent="0.3">
      <c r="C480" s="65"/>
      <c r="O480" s="66"/>
    </row>
    <row r="481" spans="3:15" ht="14.25" customHeight="1" x14ac:dyDescent="0.3">
      <c r="C481" s="65"/>
      <c r="O481" s="66"/>
    </row>
    <row r="482" spans="3:15" ht="14.25" customHeight="1" x14ac:dyDescent="0.3">
      <c r="C482" s="65"/>
      <c r="O482" s="66"/>
    </row>
    <row r="483" spans="3:15" ht="14.25" customHeight="1" x14ac:dyDescent="0.3">
      <c r="C483" s="65"/>
      <c r="O483" s="66"/>
    </row>
    <row r="484" spans="3:15" ht="14.25" customHeight="1" x14ac:dyDescent="0.3">
      <c r="C484" s="65"/>
      <c r="O484" s="66"/>
    </row>
    <row r="485" spans="3:15" ht="14.25" customHeight="1" x14ac:dyDescent="0.3">
      <c r="C485" s="65"/>
      <c r="O485" s="66"/>
    </row>
    <row r="486" spans="3:15" ht="14.25" customHeight="1" x14ac:dyDescent="0.3">
      <c r="C486" s="65"/>
      <c r="O486" s="66"/>
    </row>
    <row r="487" spans="3:15" ht="14.25" customHeight="1" x14ac:dyDescent="0.3">
      <c r="C487" s="65"/>
      <c r="O487" s="66"/>
    </row>
    <row r="488" spans="3:15" ht="14.25" customHeight="1" x14ac:dyDescent="0.3">
      <c r="C488" s="65"/>
      <c r="O488" s="66"/>
    </row>
    <row r="489" spans="3:15" ht="14.25" customHeight="1" x14ac:dyDescent="0.3">
      <c r="C489" s="65"/>
      <c r="O489" s="66"/>
    </row>
    <row r="490" spans="3:15" ht="14.25" customHeight="1" x14ac:dyDescent="0.3">
      <c r="C490" s="65"/>
      <c r="O490" s="66"/>
    </row>
    <row r="491" spans="3:15" ht="14.25" customHeight="1" x14ac:dyDescent="0.3">
      <c r="C491" s="65"/>
      <c r="O491" s="66"/>
    </row>
    <row r="492" spans="3:15" ht="14.25" customHeight="1" x14ac:dyDescent="0.3">
      <c r="C492" s="65"/>
      <c r="O492" s="66"/>
    </row>
    <row r="493" spans="3:15" ht="14.25" customHeight="1" x14ac:dyDescent="0.3">
      <c r="C493" s="65"/>
      <c r="O493" s="66"/>
    </row>
    <row r="494" spans="3:15" ht="14.25" customHeight="1" x14ac:dyDescent="0.3">
      <c r="C494" s="65"/>
      <c r="O494" s="66"/>
    </row>
    <row r="495" spans="3:15" ht="14.25" customHeight="1" x14ac:dyDescent="0.3">
      <c r="C495" s="65"/>
      <c r="O495" s="66"/>
    </row>
    <row r="496" spans="3:15" ht="14.25" customHeight="1" x14ac:dyDescent="0.3">
      <c r="C496" s="65"/>
      <c r="O496" s="66"/>
    </row>
    <row r="497" spans="3:15" ht="14.25" customHeight="1" x14ac:dyDescent="0.3">
      <c r="C497" s="65"/>
      <c r="O497" s="66"/>
    </row>
    <row r="498" spans="3:15" ht="14.25" customHeight="1" x14ac:dyDescent="0.3">
      <c r="C498" s="65"/>
      <c r="O498" s="66"/>
    </row>
    <row r="499" spans="3:15" ht="14.25" customHeight="1" x14ac:dyDescent="0.3">
      <c r="C499" s="65"/>
      <c r="O499" s="66"/>
    </row>
    <row r="500" spans="3:15" ht="14.25" customHeight="1" x14ac:dyDescent="0.3">
      <c r="C500" s="65"/>
      <c r="O500" s="66"/>
    </row>
    <row r="501" spans="3:15" ht="14.25" customHeight="1" x14ac:dyDescent="0.3">
      <c r="C501" s="65"/>
      <c r="O501" s="66"/>
    </row>
    <row r="502" spans="3:15" ht="14.25" customHeight="1" x14ac:dyDescent="0.3">
      <c r="C502" s="65"/>
      <c r="O502" s="66"/>
    </row>
    <row r="503" spans="3:15" ht="14.25" customHeight="1" x14ac:dyDescent="0.3">
      <c r="C503" s="65"/>
      <c r="O503" s="66"/>
    </row>
    <row r="504" spans="3:15" ht="14.25" customHeight="1" x14ac:dyDescent="0.3">
      <c r="C504" s="65"/>
      <c r="O504" s="66"/>
    </row>
    <row r="505" spans="3:15" ht="14.25" customHeight="1" x14ac:dyDescent="0.3">
      <c r="C505" s="65"/>
      <c r="O505" s="66"/>
    </row>
    <row r="506" spans="3:15" ht="14.25" customHeight="1" x14ac:dyDescent="0.3">
      <c r="C506" s="65"/>
      <c r="O506" s="66"/>
    </row>
    <row r="507" spans="3:15" ht="14.25" customHeight="1" x14ac:dyDescent="0.3">
      <c r="C507" s="65"/>
      <c r="O507" s="66"/>
    </row>
    <row r="508" spans="3:15" ht="14.25" customHeight="1" x14ac:dyDescent="0.3">
      <c r="C508" s="65"/>
      <c r="O508" s="66"/>
    </row>
    <row r="509" spans="3:15" ht="14.25" customHeight="1" x14ac:dyDescent="0.3">
      <c r="C509" s="65"/>
      <c r="O509" s="66"/>
    </row>
    <row r="510" spans="3:15" ht="14.25" customHeight="1" x14ac:dyDescent="0.3">
      <c r="C510" s="65"/>
      <c r="O510" s="66"/>
    </row>
    <row r="511" spans="3:15" ht="14.25" customHeight="1" x14ac:dyDescent="0.3">
      <c r="C511" s="65"/>
      <c r="O511" s="66"/>
    </row>
    <row r="512" spans="3:15" ht="14.25" customHeight="1" x14ac:dyDescent="0.3">
      <c r="C512" s="65"/>
      <c r="O512" s="66"/>
    </row>
    <row r="513" spans="3:15" ht="14.25" customHeight="1" x14ac:dyDescent="0.3">
      <c r="C513" s="65"/>
      <c r="O513" s="66"/>
    </row>
    <row r="514" spans="3:15" ht="14.25" customHeight="1" x14ac:dyDescent="0.3">
      <c r="C514" s="65"/>
      <c r="O514" s="66"/>
    </row>
    <row r="515" spans="3:15" ht="14.25" customHeight="1" x14ac:dyDescent="0.3">
      <c r="C515" s="65"/>
      <c r="O515" s="66"/>
    </row>
    <row r="516" spans="3:15" ht="14.25" customHeight="1" x14ac:dyDescent="0.3">
      <c r="C516" s="65"/>
      <c r="O516" s="66"/>
    </row>
    <row r="517" spans="3:15" ht="14.25" customHeight="1" x14ac:dyDescent="0.3">
      <c r="C517" s="65"/>
      <c r="O517" s="66"/>
    </row>
    <row r="518" spans="3:15" ht="14.25" customHeight="1" x14ac:dyDescent="0.3">
      <c r="C518" s="65"/>
      <c r="O518" s="66"/>
    </row>
    <row r="519" spans="3:15" ht="14.25" customHeight="1" x14ac:dyDescent="0.3">
      <c r="C519" s="65"/>
      <c r="O519" s="66"/>
    </row>
    <row r="520" spans="3:15" ht="14.25" customHeight="1" x14ac:dyDescent="0.3">
      <c r="C520" s="65"/>
      <c r="O520" s="66"/>
    </row>
    <row r="521" spans="3:15" ht="14.25" customHeight="1" x14ac:dyDescent="0.3">
      <c r="C521" s="65"/>
      <c r="O521" s="66"/>
    </row>
    <row r="522" spans="3:15" ht="14.25" customHeight="1" x14ac:dyDescent="0.3">
      <c r="C522" s="65"/>
      <c r="O522" s="66"/>
    </row>
    <row r="523" spans="3:15" ht="14.25" customHeight="1" x14ac:dyDescent="0.3">
      <c r="C523" s="65"/>
      <c r="O523" s="66"/>
    </row>
    <row r="524" spans="3:15" ht="14.25" customHeight="1" x14ac:dyDescent="0.3">
      <c r="C524" s="65"/>
      <c r="O524" s="66"/>
    </row>
    <row r="525" spans="3:15" ht="14.25" customHeight="1" x14ac:dyDescent="0.3">
      <c r="C525" s="65"/>
      <c r="O525" s="66"/>
    </row>
    <row r="526" spans="3:15" ht="14.25" customHeight="1" x14ac:dyDescent="0.3">
      <c r="C526" s="65"/>
      <c r="O526" s="66"/>
    </row>
    <row r="527" spans="3:15" ht="14.25" customHeight="1" x14ac:dyDescent="0.3">
      <c r="C527" s="65"/>
      <c r="O527" s="66"/>
    </row>
    <row r="528" spans="3:15" ht="14.25" customHeight="1" x14ac:dyDescent="0.3">
      <c r="C528" s="65"/>
      <c r="O528" s="66"/>
    </row>
    <row r="529" spans="3:15" ht="14.25" customHeight="1" x14ac:dyDescent="0.3">
      <c r="C529" s="65"/>
      <c r="O529" s="66"/>
    </row>
    <row r="530" spans="3:15" ht="14.25" customHeight="1" x14ac:dyDescent="0.3">
      <c r="C530" s="65"/>
      <c r="O530" s="66"/>
    </row>
    <row r="531" spans="3:15" ht="14.25" customHeight="1" x14ac:dyDescent="0.3">
      <c r="C531" s="65"/>
      <c r="O531" s="66"/>
    </row>
    <row r="532" spans="3:15" ht="14.25" customHeight="1" x14ac:dyDescent="0.3">
      <c r="C532" s="65"/>
      <c r="O532" s="66"/>
    </row>
    <row r="533" spans="3:15" ht="14.25" customHeight="1" x14ac:dyDescent="0.3">
      <c r="C533" s="65"/>
      <c r="O533" s="66"/>
    </row>
    <row r="534" spans="3:15" ht="14.25" customHeight="1" x14ac:dyDescent="0.3">
      <c r="C534" s="65"/>
      <c r="O534" s="66"/>
    </row>
    <row r="535" spans="3:15" ht="14.25" customHeight="1" x14ac:dyDescent="0.3">
      <c r="C535" s="65"/>
      <c r="O535" s="66"/>
    </row>
    <row r="536" spans="3:15" ht="14.25" customHeight="1" x14ac:dyDescent="0.3">
      <c r="C536" s="65"/>
      <c r="O536" s="66"/>
    </row>
    <row r="537" spans="3:15" ht="14.25" customHeight="1" x14ac:dyDescent="0.3">
      <c r="C537" s="65"/>
      <c r="O537" s="66"/>
    </row>
    <row r="538" spans="3:15" ht="14.25" customHeight="1" x14ac:dyDescent="0.3">
      <c r="C538" s="65"/>
      <c r="O538" s="66"/>
    </row>
    <row r="539" spans="3:15" ht="14.25" customHeight="1" x14ac:dyDescent="0.3">
      <c r="C539" s="65"/>
      <c r="O539" s="66"/>
    </row>
    <row r="540" spans="3:15" ht="14.25" customHeight="1" x14ac:dyDescent="0.3">
      <c r="C540" s="65"/>
      <c r="O540" s="66"/>
    </row>
    <row r="541" spans="3:15" ht="14.25" customHeight="1" x14ac:dyDescent="0.3">
      <c r="C541" s="65"/>
      <c r="O541" s="66"/>
    </row>
    <row r="542" spans="3:15" ht="14.25" customHeight="1" x14ac:dyDescent="0.3">
      <c r="C542" s="65"/>
      <c r="O542" s="66"/>
    </row>
    <row r="543" spans="3:15" ht="14.25" customHeight="1" x14ac:dyDescent="0.3">
      <c r="C543" s="65"/>
      <c r="O543" s="66"/>
    </row>
    <row r="544" spans="3:15" ht="14.25" customHeight="1" x14ac:dyDescent="0.3">
      <c r="C544" s="65"/>
      <c r="O544" s="66"/>
    </row>
    <row r="545" spans="3:15" ht="14.25" customHeight="1" x14ac:dyDescent="0.3">
      <c r="C545" s="65"/>
      <c r="O545" s="66"/>
    </row>
    <row r="546" spans="3:15" ht="14.25" customHeight="1" x14ac:dyDescent="0.3">
      <c r="C546" s="65"/>
      <c r="O546" s="66"/>
    </row>
    <row r="547" spans="3:15" ht="14.25" customHeight="1" x14ac:dyDescent="0.3">
      <c r="C547" s="65"/>
      <c r="O547" s="66"/>
    </row>
    <row r="548" spans="3:15" ht="14.25" customHeight="1" x14ac:dyDescent="0.3">
      <c r="C548" s="65"/>
      <c r="O548" s="66"/>
    </row>
    <row r="549" spans="3:15" ht="14.25" customHeight="1" x14ac:dyDescent="0.3">
      <c r="C549" s="65"/>
      <c r="O549" s="66"/>
    </row>
    <row r="550" spans="3:15" ht="14.25" customHeight="1" x14ac:dyDescent="0.3">
      <c r="C550" s="65"/>
      <c r="O550" s="66"/>
    </row>
    <row r="551" spans="3:15" ht="14.25" customHeight="1" x14ac:dyDescent="0.3">
      <c r="C551" s="65"/>
      <c r="O551" s="66"/>
    </row>
    <row r="552" spans="3:15" ht="14.25" customHeight="1" x14ac:dyDescent="0.3">
      <c r="C552" s="65"/>
      <c r="O552" s="66"/>
    </row>
    <row r="553" spans="3:15" ht="14.25" customHeight="1" x14ac:dyDescent="0.3">
      <c r="C553" s="65"/>
      <c r="O553" s="66"/>
    </row>
    <row r="554" spans="3:15" ht="14.25" customHeight="1" x14ac:dyDescent="0.3">
      <c r="C554" s="65"/>
      <c r="O554" s="66"/>
    </row>
    <row r="555" spans="3:15" ht="14.25" customHeight="1" x14ac:dyDescent="0.3">
      <c r="C555" s="65"/>
      <c r="O555" s="66"/>
    </row>
    <row r="556" spans="3:15" ht="14.25" customHeight="1" x14ac:dyDescent="0.3">
      <c r="C556" s="65"/>
      <c r="O556" s="66"/>
    </row>
    <row r="557" spans="3:15" ht="14.25" customHeight="1" x14ac:dyDescent="0.3">
      <c r="C557" s="65"/>
      <c r="O557" s="66"/>
    </row>
    <row r="558" spans="3:15" ht="14.25" customHeight="1" x14ac:dyDescent="0.3">
      <c r="C558" s="65"/>
      <c r="O558" s="66"/>
    </row>
    <row r="559" spans="3:15" ht="14.25" customHeight="1" x14ac:dyDescent="0.3">
      <c r="C559" s="65"/>
      <c r="O559" s="66"/>
    </row>
    <row r="560" spans="3:15" ht="14.25" customHeight="1" x14ac:dyDescent="0.3">
      <c r="C560" s="65"/>
      <c r="O560" s="66"/>
    </row>
    <row r="561" spans="3:15" ht="14.25" customHeight="1" x14ac:dyDescent="0.3">
      <c r="C561" s="65"/>
      <c r="O561" s="66"/>
    </row>
    <row r="562" spans="3:15" ht="14.25" customHeight="1" x14ac:dyDescent="0.3">
      <c r="C562" s="65"/>
      <c r="O562" s="66"/>
    </row>
    <row r="563" spans="3:15" ht="14.25" customHeight="1" x14ac:dyDescent="0.3">
      <c r="C563" s="65"/>
      <c r="O563" s="66"/>
    </row>
    <row r="564" spans="3:15" ht="14.25" customHeight="1" x14ac:dyDescent="0.3">
      <c r="C564" s="65"/>
      <c r="O564" s="66"/>
    </row>
    <row r="565" spans="3:15" ht="14.25" customHeight="1" x14ac:dyDescent="0.3">
      <c r="C565" s="65"/>
      <c r="O565" s="66"/>
    </row>
    <row r="566" spans="3:15" ht="14.25" customHeight="1" x14ac:dyDescent="0.3">
      <c r="C566" s="65"/>
      <c r="O566" s="66"/>
    </row>
    <row r="567" spans="3:15" ht="14.25" customHeight="1" x14ac:dyDescent="0.3">
      <c r="C567" s="65"/>
      <c r="O567" s="66"/>
    </row>
    <row r="568" spans="3:15" ht="14.25" customHeight="1" x14ac:dyDescent="0.3">
      <c r="C568" s="65"/>
      <c r="O568" s="66"/>
    </row>
    <row r="569" spans="3:15" ht="14.25" customHeight="1" x14ac:dyDescent="0.3">
      <c r="C569" s="65"/>
      <c r="O569" s="66"/>
    </row>
    <row r="570" spans="3:15" ht="14.25" customHeight="1" x14ac:dyDescent="0.3">
      <c r="C570" s="65"/>
      <c r="O570" s="66"/>
    </row>
    <row r="571" spans="3:15" ht="14.25" customHeight="1" x14ac:dyDescent="0.3">
      <c r="C571" s="65"/>
      <c r="O571" s="66"/>
    </row>
    <row r="572" spans="3:15" ht="14.25" customHeight="1" x14ac:dyDescent="0.3">
      <c r="C572" s="65"/>
      <c r="O572" s="66"/>
    </row>
    <row r="573" spans="3:15" ht="14.25" customHeight="1" x14ac:dyDescent="0.3">
      <c r="C573" s="65"/>
      <c r="O573" s="66"/>
    </row>
    <row r="574" spans="3:15" ht="14.25" customHeight="1" x14ac:dyDescent="0.3">
      <c r="C574" s="65"/>
      <c r="O574" s="66"/>
    </row>
    <row r="575" spans="3:15" ht="14.25" customHeight="1" x14ac:dyDescent="0.3">
      <c r="C575" s="65"/>
      <c r="O575" s="66"/>
    </row>
    <row r="576" spans="3:15" ht="14.25" customHeight="1" x14ac:dyDescent="0.3">
      <c r="C576" s="65"/>
      <c r="O576" s="66"/>
    </row>
    <row r="577" spans="3:15" ht="14.25" customHeight="1" x14ac:dyDescent="0.3">
      <c r="C577" s="65"/>
      <c r="O577" s="66"/>
    </row>
    <row r="578" spans="3:15" ht="14.25" customHeight="1" x14ac:dyDescent="0.3">
      <c r="C578" s="65"/>
      <c r="O578" s="66"/>
    </row>
    <row r="579" spans="3:15" ht="14.25" customHeight="1" x14ac:dyDescent="0.3">
      <c r="C579" s="65"/>
      <c r="O579" s="66"/>
    </row>
    <row r="580" spans="3:15" ht="14.25" customHeight="1" x14ac:dyDescent="0.3">
      <c r="C580" s="65"/>
      <c r="O580" s="66"/>
    </row>
    <row r="581" spans="3:15" ht="14.25" customHeight="1" x14ac:dyDescent="0.3">
      <c r="C581" s="65"/>
      <c r="O581" s="66"/>
    </row>
    <row r="582" spans="3:15" ht="14.25" customHeight="1" x14ac:dyDescent="0.3">
      <c r="C582" s="65"/>
      <c r="O582" s="66"/>
    </row>
    <row r="583" spans="3:15" ht="14.25" customHeight="1" x14ac:dyDescent="0.3">
      <c r="C583" s="65"/>
      <c r="O583" s="66"/>
    </row>
    <row r="584" spans="3:15" ht="14.25" customHeight="1" x14ac:dyDescent="0.3">
      <c r="C584" s="65"/>
      <c r="O584" s="66"/>
    </row>
    <row r="585" spans="3:15" ht="14.25" customHeight="1" x14ac:dyDescent="0.3">
      <c r="C585" s="65"/>
      <c r="O585" s="66"/>
    </row>
    <row r="586" spans="3:15" ht="14.25" customHeight="1" x14ac:dyDescent="0.3">
      <c r="C586" s="65"/>
      <c r="O586" s="66"/>
    </row>
    <row r="587" spans="3:15" ht="14.25" customHeight="1" x14ac:dyDescent="0.3">
      <c r="C587" s="65"/>
      <c r="O587" s="66"/>
    </row>
    <row r="588" spans="3:15" ht="14.25" customHeight="1" x14ac:dyDescent="0.3">
      <c r="C588" s="65"/>
      <c r="O588" s="66"/>
    </row>
    <row r="589" spans="3:15" ht="14.25" customHeight="1" x14ac:dyDescent="0.3">
      <c r="C589" s="65"/>
      <c r="O589" s="66"/>
    </row>
    <row r="590" spans="3:15" ht="14.25" customHeight="1" x14ac:dyDescent="0.3">
      <c r="C590" s="65"/>
      <c r="O590" s="66"/>
    </row>
    <row r="591" spans="3:15" ht="14.25" customHeight="1" x14ac:dyDescent="0.3">
      <c r="C591" s="65"/>
      <c r="O591" s="66"/>
    </row>
    <row r="592" spans="3:15" ht="14.25" customHeight="1" x14ac:dyDescent="0.3">
      <c r="C592" s="65"/>
      <c r="O592" s="66"/>
    </row>
    <row r="593" spans="3:15" ht="14.25" customHeight="1" x14ac:dyDescent="0.3">
      <c r="C593" s="65"/>
      <c r="O593" s="66"/>
    </row>
    <row r="594" spans="3:15" ht="14.25" customHeight="1" x14ac:dyDescent="0.3">
      <c r="C594" s="65"/>
      <c r="O594" s="66"/>
    </row>
    <row r="595" spans="3:15" ht="14.25" customHeight="1" x14ac:dyDescent="0.3">
      <c r="C595" s="65"/>
      <c r="O595" s="66"/>
    </row>
    <row r="596" spans="3:15" ht="14.25" customHeight="1" x14ac:dyDescent="0.3">
      <c r="C596" s="65"/>
      <c r="O596" s="66"/>
    </row>
    <row r="597" spans="3:15" ht="14.25" customHeight="1" x14ac:dyDescent="0.3">
      <c r="C597" s="65"/>
      <c r="O597" s="66"/>
    </row>
    <row r="598" spans="3:15" ht="14.25" customHeight="1" x14ac:dyDescent="0.3">
      <c r="C598" s="65"/>
      <c r="O598" s="66"/>
    </row>
    <row r="599" spans="3:15" ht="14.25" customHeight="1" x14ac:dyDescent="0.3">
      <c r="C599" s="65"/>
      <c r="O599" s="66"/>
    </row>
    <row r="600" spans="3:15" ht="14.25" customHeight="1" x14ac:dyDescent="0.3">
      <c r="C600" s="65"/>
      <c r="O600" s="66"/>
    </row>
    <row r="601" spans="3:15" ht="14.25" customHeight="1" x14ac:dyDescent="0.3">
      <c r="C601" s="65"/>
      <c r="O601" s="66"/>
    </row>
    <row r="602" spans="3:15" ht="14.25" customHeight="1" x14ac:dyDescent="0.3">
      <c r="C602" s="65"/>
      <c r="O602" s="66"/>
    </row>
    <row r="603" spans="3:15" ht="14.25" customHeight="1" x14ac:dyDescent="0.3">
      <c r="C603" s="65"/>
      <c r="O603" s="66"/>
    </row>
    <row r="604" spans="3:15" ht="14.25" customHeight="1" x14ac:dyDescent="0.3">
      <c r="C604" s="65"/>
      <c r="O604" s="66"/>
    </row>
    <row r="605" spans="3:15" ht="14.25" customHeight="1" x14ac:dyDescent="0.3">
      <c r="C605" s="65"/>
      <c r="O605" s="66"/>
    </row>
    <row r="606" spans="3:15" ht="14.25" customHeight="1" x14ac:dyDescent="0.3">
      <c r="C606" s="65"/>
      <c r="O606" s="66"/>
    </row>
    <row r="607" spans="3:15" ht="14.25" customHeight="1" x14ac:dyDescent="0.3">
      <c r="C607" s="65"/>
      <c r="O607" s="66"/>
    </row>
    <row r="608" spans="3:15" ht="14.25" customHeight="1" x14ac:dyDescent="0.3">
      <c r="C608" s="65"/>
      <c r="O608" s="66"/>
    </row>
    <row r="609" spans="3:15" ht="14.25" customHeight="1" x14ac:dyDescent="0.3">
      <c r="C609" s="65"/>
      <c r="O609" s="66"/>
    </row>
    <row r="610" spans="3:15" ht="14.25" customHeight="1" x14ac:dyDescent="0.3">
      <c r="C610" s="65"/>
      <c r="O610" s="66"/>
    </row>
    <row r="611" spans="3:15" ht="14.25" customHeight="1" x14ac:dyDescent="0.3">
      <c r="C611" s="65"/>
      <c r="O611" s="66"/>
    </row>
    <row r="612" spans="3:15" ht="14.25" customHeight="1" x14ac:dyDescent="0.3">
      <c r="C612" s="65"/>
      <c r="O612" s="66"/>
    </row>
    <row r="613" spans="3:15" ht="14.25" customHeight="1" x14ac:dyDescent="0.3">
      <c r="C613" s="65"/>
      <c r="O613" s="66"/>
    </row>
    <row r="614" spans="3:15" ht="14.25" customHeight="1" x14ac:dyDescent="0.3">
      <c r="C614" s="65"/>
      <c r="O614" s="66"/>
    </row>
    <row r="615" spans="3:15" ht="14.25" customHeight="1" x14ac:dyDescent="0.3">
      <c r="C615" s="65"/>
      <c r="O615" s="66"/>
    </row>
    <row r="616" spans="3:15" ht="14.25" customHeight="1" x14ac:dyDescent="0.3">
      <c r="C616" s="65"/>
      <c r="O616" s="66"/>
    </row>
    <row r="617" spans="3:15" ht="14.25" customHeight="1" x14ac:dyDescent="0.3">
      <c r="C617" s="65"/>
      <c r="O617" s="66"/>
    </row>
    <row r="618" spans="3:15" ht="14.25" customHeight="1" x14ac:dyDescent="0.3">
      <c r="C618" s="65"/>
      <c r="O618" s="66"/>
    </row>
    <row r="619" spans="3:15" ht="14.25" customHeight="1" x14ac:dyDescent="0.3">
      <c r="C619" s="65"/>
      <c r="O619" s="66"/>
    </row>
    <row r="620" spans="3:15" ht="14.25" customHeight="1" x14ac:dyDescent="0.3">
      <c r="C620" s="65"/>
      <c r="O620" s="66"/>
    </row>
    <row r="621" spans="3:15" ht="14.25" customHeight="1" x14ac:dyDescent="0.3">
      <c r="C621" s="65"/>
      <c r="O621" s="66"/>
    </row>
    <row r="622" spans="3:15" ht="14.25" customHeight="1" x14ac:dyDescent="0.3">
      <c r="C622" s="65"/>
      <c r="O622" s="66"/>
    </row>
    <row r="623" spans="3:15" ht="14.25" customHeight="1" x14ac:dyDescent="0.3">
      <c r="C623" s="65"/>
      <c r="O623" s="66"/>
    </row>
    <row r="624" spans="3:15" ht="14.25" customHeight="1" x14ac:dyDescent="0.3">
      <c r="C624" s="65"/>
      <c r="O624" s="66"/>
    </row>
    <row r="625" spans="3:15" ht="14.25" customHeight="1" x14ac:dyDescent="0.3">
      <c r="C625" s="65"/>
      <c r="O625" s="66"/>
    </row>
    <row r="626" spans="3:15" ht="14.25" customHeight="1" x14ac:dyDescent="0.3">
      <c r="C626" s="65"/>
      <c r="O626" s="66"/>
    </row>
    <row r="627" spans="3:15" ht="14.25" customHeight="1" x14ac:dyDescent="0.3">
      <c r="C627" s="65"/>
      <c r="O627" s="66"/>
    </row>
    <row r="628" spans="3:15" ht="14.25" customHeight="1" x14ac:dyDescent="0.3">
      <c r="C628" s="65"/>
      <c r="O628" s="66"/>
    </row>
    <row r="629" spans="3:15" ht="14.25" customHeight="1" x14ac:dyDescent="0.3">
      <c r="C629" s="65"/>
      <c r="O629" s="66"/>
    </row>
    <row r="630" spans="3:15" ht="14.25" customHeight="1" x14ac:dyDescent="0.3">
      <c r="C630" s="65"/>
      <c r="O630" s="66"/>
    </row>
    <row r="631" spans="3:15" ht="14.25" customHeight="1" x14ac:dyDescent="0.3">
      <c r="C631" s="65"/>
      <c r="O631" s="66"/>
    </row>
    <row r="632" spans="3:15" ht="14.25" customHeight="1" x14ac:dyDescent="0.3">
      <c r="C632" s="65"/>
      <c r="O632" s="66"/>
    </row>
    <row r="633" spans="3:15" ht="14.25" customHeight="1" x14ac:dyDescent="0.3">
      <c r="C633" s="65"/>
      <c r="O633" s="66"/>
    </row>
    <row r="634" spans="3:15" ht="14.25" customHeight="1" x14ac:dyDescent="0.3">
      <c r="C634" s="65"/>
      <c r="O634" s="66"/>
    </row>
    <row r="635" spans="3:15" ht="14.25" customHeight="1" x14ac:dyDescent="0.3">
      <c r="C635" s="65"/>
      <c r="O635" s="66"/>
    </row>
    <row r="636" spans="3:15" ht="14.25" customHeight="1" x14ac:dyDescent="0.3">
      <c r="C636" s="65"/>
      <c r="O636" s="66"/>
    </row>
    <row r="637" spans="3:15" ht="14.25" customHeight="1" x14ac:dyDescent="0.3">
      <c r="C637" s="65"/>
      <c r="O637" s="66"/>
    </row>
    <row r="638" spans="3:15" ht="14.25" customHeight="1" x14ac:dyDescent="0.3">
      <c r="C638" s="65"/>
      <c r="O638" s="66"/>
    </row>
    <row r="639" spans="3:15" ht="14.25" customHeight="1" x14ac:dyDescent="0.3">
      <c r="C639" s="65"/>
      <c r="O639" s="66"/>
    </row>
    <row r="640" spans="3:15" ht="14.25" customHeight="1" x14ac:dyDescent="0.3">
      <c r="C640" s="65"/>
      <c r="O640" s="66"/>
    </row>
    <row r="641" spans="3:15" ht="14.25" customHeight="1" x14ac:dyDescent="0.3">
      <c r="C641" s="65"/>
      <c r="O641" s="66"/>
    </row>
    <row r="642" spans="3:15" ht="14.25" customHeight="1" x14ac:dyDescent="0.3">
      <c r="C642" s="65"/>
      <c r="O642" s="66"/>
    </row>
    <row r="643" spans="3:15" ht="14.25" customHeight="1" x14ac:dyDescent="0.3">
      <c r="C643" s="65"/>
      <c r="O643" s="66"/>
    </row>
    <row r="644" spans="3:15" ht="14.25" customHeight="1" x14ac:dyDescent="0.3">
      <c r="C644" s="65"/>
      <c r="O644" s="66"/>
    </row>
    <row r="645" spans="3:15" ht="14.25" customHeight="1" x14ac:dyDescent="0.3">
      <c r="C645" s="65"/>
      <c r="O645" s="66"/>
    </row>
    <row r="646" spans="3:15" ht="14.25" customHeight="1" x14ac:dyDescent="0.3">
      <c r="C646" s="65"/>
      <c r="O646" s="66"/>
    </row>
    <row r="647" spans="3:15" ht="14.25" customHeight="1" x14ac:dyDescent="0.3">
      <c r="C647" s="65"/>
      <c r="O647" s="66"/>
    </row>
    <row r="648" spans="3:15" ht="14.25" customHeight="1" x14ac:dyDescent="0.3">
      <c r="C648" s="65"/>
      <c r="O648" s="66"/>
    </row>
    <row r="649" spans="3:15" ht="14.25" customHeight="1" x14ac:dyDescent="0.3">
      <c r="C649" s="65"/>
      <c r="O649" s="66"/>
    </row>
    <row r="650" spans="3:15" ht="14.25" customHeight="1" x14ac:dyDescent="0.3">
      <c r="C650" s="65"/>
      <c r="O650" s="66"/>
    </row>
    <row r="651" spans="3:15" ht="14.25" customHeight="1" x14ac:dyDescent="0.3">
      <c r="C651" s="65"/>
      <c r="O651" s="66"/>
    </row>
    <row r="652" spans="3:15" ht="14.25" customHeight="1" x14ac:dyDescent="0.3">
      <c r="C652" s="65"/>
      <c r="O652" s="66"/>
    </row>
    <row r="653" spans="3:15" ht="14.25" customHeight="1" x14ac:dyDescent="0.3">
      <c r="C653" s="65"/>
      <c r="O653" s="66"/>
    </row>
    <row r="654" spans="3:15" ht="14.25" customHeight="1" x14ac:dyDescent="0.3">
      <c r="C654" s="65"/>
      <c r="O654" s="66"/>
    </row>
    <row r="655" spans="3:15" ht="14.25" customHeight="1" x14ac:dyDescent="0.3">
      <c r="C655" s="65"/>
      <c r="O655" s="66"/>
    </row>
    <row r="656" spans="3:15" ht="14.25" customHeight="1" x14ac:dyDescent="0.3">
      <c r="C656" s="65"/>
      <c r="O656" s="66"/>
    </row>
    <row r="657" spans="3:15" ht="14.25" customHeight="1" x14ac:dyDescent="0.3">
      <c r="C657" s="65"/>
      <c r="O657" s="66"/>
    </row>
    <row r="658" spans="3:15" ht="14.25" customHeight="1" x14ac:dyDescent="0.3">
      <c r="C658" s="65"/>
      <c r="O658" s="66"/>
    </row>
    <row r="659" spans="3:15" ht="14.25" customHeight="1" x14ac:dyDescent="0.3">
      <c r="C659" s="65"/>
      <c r="O659" s="66"/>
    </row>
    <row r="660" spans="3:15" ht="14.25" customHeight="1" x14ac:dyDescent="0.3">
      <c r="C660" s="65"/>
      <c r="O660" s="66"/>
    </row>
    <row r="661" spans="3:15" ht="14.25" customHeight="1" x14ac:dyDescent="0.3">
      <c r="C661" s="65"/>
      <c r="O661" s="66"/>
    </row>
    <row r="662" spans="3:15" ht="14.25" customHeight="1" x14ac:dyDescent="0.3">
      <c r="C662" s="65"/>
      <c r="O662" s="66"/>
    </row>
    <row r="663" spans="3:15" ht="14.25" customHeight="1" x14ac:dyDescent="0.3">
      <c r="C663" s="65"/>
      <c r="O663" s="66"/>
    </row>
    <row r="664" spans="3:15" ht="14.25" customHeight="1" x14ac:dyDescent="0.3">
      <c r="C664" s="65"/>
      <c r="O664" s="66"/>
    </row>
    <row r="665" spans="3:15" ht="14.25" customHeight="1" x14ac:dyDescent="0.3">
      <c r="C665" s="65"/>
      <c r="O665" s="66"/>
    </row>
    <row r="666" spans="3:15" ht="14.25" customHeight="1" x14ac:dyDescent="0.3">
      <c r="C666" s="65"/>
      <c r="O666" s="66"/>
    </row>
    <row r="667" spans="3:15" ht="14.25" customHeight="1" x14ac:dyDescent="0.3">
      <c r="C667" s="65"/>
      <c r="O667" s="66"/>
    </row>
    <row r="668" spans="3:15" ht="14.25" customHeight="1" x14ac:dyDescent="0.3">
      <c r="C668" s="65"/>
      <c r="O668" s="66"/>
    </row>
    <row r="669" spans="3:15" ht="14.25" customHeight="1" x14ac:dyDescent="0.3">
      <c r="C669" s="65"/>
      <c r="O669" s="66"/>
    </row>
    <row r="670" spans="3:15" ht="14.25" customHeight="1" x14ac:dyDescent="0.3">
      <c r="C670" s="65"/>
      <c r="O670" s="66"/>
    </row>
    <row r="671" spans="3:15" ht="14.25" customHeight="1" x14ac:dyDescent="0.3">
      <c r="C671" s="65"/>
      <c r="O671" s="66"/>
    </row>
    <row r="672" spans="3:15" ht="14.25" customHeight="1" x14ac:dyDescent="0.3">
      <c r="C672" s="65"/>
      <c r="O672" s="66"/>
    </row>
    <row r="673" spans="3:15" ht="14.25" customHeight="1" x14ac:dyDescent="0.3">
      <c r="C673" s="65"/>
      <c r="O673" s="66"/>
    </row>
    <row r="674" spans="3:15" ht="14.25" customHeight="1" x14ac:dyDescent="0.3">
      <c r="C674" s="65"/>
      <c r="O674" s="66"/>
    </row>
    <row r="675" spans="3:15" ht="14.25" customHeight="1" x14ac:dyDescent="0.3">
      <c r="C675" s="65"/>
      <c r="O675" s="66"/>
    </row>
    <row r="676" spans="3:15" ht="14.25" customHeight="1" x14ac:dyDescent="0.3">
      <c r="C676" s="65"/>
      <c r="O676" s="66"/>
    </row>
    <row r="677" spans="3:15" ht="14.25" customHeight="1" x14ac:dyDescent="0.3">
      <c r="C677" s="65"/>
      <c r="O677" s="66"/>
    </row>
    <row r="678" spans="3:15" ht="14.25" customHeight="1" x14ac:dyDescent="0.3">
      <c r="C678" s="65"/>
      <c r="O678" s="66"/>
    </row>
    <row r="679" spans="3:15" ht="14.25" customHeight="1" x14ac:dyDescent="0.3">
      <c r="C679" s="65"/>
      <c r="O679" s="66"/>
    </row>
    <row r="680" spans="3:15" ht="14.25" customHeight="1" x14ac:dyDescent="0.3">
      <c r="C680" s="65"/>
      <c r="O680" s="66"/>
    </row>
    <row r="681" spans="3:15" ht="14.25" customHeight="1" x14ac:dyDescent="0.3">
      <c r="C681" s="65"/>
      <c r="O681" s="66"/>
    </row>
    <row r="682" spans="3:15" ht="14.25" customHeight="1" x14ac:dyDescent="0.3">
      <c r="C682" s="65"/>
      <c r="O682" s="66"/>
    </row>
    <row r="683" spans="3:15" ht="14.25" customHeight="1" x14ac:dyDescent="0.3">
      <c r="C683" s="65"/>
      <c r="O683" s="66"/>
    </row>
    <row r="684" spans="3:15" ht="14.25" customHeight="1" x14ac:dyDescent="0.3">
      <c r="C684" s="65"/>
      <c r="O684" s="66"/>
    </row>
    <row r="685" spans="3:15" ht="14.25" customHeight="1" x14ac:dyDescent="0.3">
      <c r="C685" s="65"/>
      <c r="O685" s="66"/>
    </row>
    <row r="686" spans="3:15" ht="14.25" customHeight="1" x14ac:dyDescent="0.3">
      <c r="C686" s="65"/>
      <c r="O686" s="66"/>
    </row>
    <row r="687" spans="3:15" ht="14.25" customHeight="1" x14ac:dyDescent="0.3">
      <c r="C687" s="65"/>
      <c r="O687" s="66"/>
    </row>
    <row r="688" spans="3:15" ht="14.25" customHeight="1" x14ac:dyDescent="0.3">
      <c r="C688" s="65"/>
      <c r="O688" s="66"/>
    </row>
    <row r="689" spans="3:15" ht="14.25" customHeight="1" x14ac:dyDescent="0.3">
      <c r="C689" s="65"/>
      <c r="O689" s="66"/>
    </row>
    <row r="690" spans="3:15" ht="14.25" customHeight="1" x14ac:dyDescent="0.3">
      <c r="C690" s="65"/>
      <c r="O690" s="66"/>
    </row>
    <row r="691" spans="3:15" ht="14.25" customHeight="1" x14ac:dyDescent="0.3">
      <c r="C691" s="65"/>
      <c r="O691" s="66"/>
    </row>
    <row r="692" spans="3:15" ht="14.25" customHeight="1" x14ac:dyDescent="0.3">
      <c r="C692" s="65"/>
      <c r="O692" s="66"/>
    </row>
    <row r="693" spans="3:15" ht="14.25" customHeight="1" x14ac:dyDescent="0.3">
      <c r="C693" s="65"/>
      <c r="O693" s="66"/>
    </row>
    <row r="694" spans="3:15" ht="14.25" customHeight="1" x14ac:dyDescent="0.3">
      <c r="C694" s="65"/>
      <c r="O694" s="66"/>
    </row>
    <row r="695" spans="3:15" ht="14.25" customHeight="1" x14ac:dyDescent="0.3">
      <c r="C695" s="65"/>
      <c r="O695" s="66"/>
    </row>
    <row r="696" spans="3:15" ht="14.25" customHeight="1" x14ac:dyDescent="0.3">
      <c r="C696" s="65"/>
      <c r="O696" s="66"/>
    </row>
    <row r="697" spans="3:15" ht="14.25" customHeight="1" x14ac:dyDescent="0.3">
      <c r="C697" s="65"/>
      <c r="O697" s="66"/>
    </row>
    <row r="698" spans="3:15" ht="14.25" customHeight="1" x14ac:dyDescent="0.3">
      <c r="C698" s="65"/>
      <c r="O698" s="66"/>
    </row>
    <row r="699" spans="3:15" ht="14.25" customHeight="1" x14ac:dyDescent="0.3">
      <c r="C699" s="65"/>
      <c r="O699" s="66"/>
    </row>
    <row r="700" spans="3:15" ht="14.25" customHeight="1" x14ac:dyDescent="0.3">
      <c r="C700" s="65"/>
      <c r="O700" s="66"/>
    </row>
    <row r="701" spans="3:15" ht="14.25" customHeight="1" x14ac:dyDescent="0.3">
      <c r="C701" s="65"/>
      <c r="O701" s="66"/>
    </row>
    <row r="702" spans="3:15" ht="14.25" customHeight="1" x14ac:dyDescent="0.3">
      <c r="C702" s="65"/>
      <c r="O702" s="66"/>
    </row>
    <row r="703" spans="3:15" ht="14.25" customHeight="1" x14ac:dyDescent="0.3">
      <c r="C703" s="65"/>
      <c r="O703" s="66"/>
    </row>
    <row r="704" spans="3:15" ht="14.25" customHeight="1" x14ac:dyDescent="0.3">
      <c r="C704" s="65"/>
      <c r="O704" s="66"/>
    </row>
    <row r="705" spans="3:15" ht="14.25" customHeight="1" x14ac:dyDescent="0.3">
      <c r="C705" s="65"/>
      <c r="O705" s="66"/>
    </row>
    <row r="706" spans="3:15" ht="14.25" customHeight="1" x14ac:dyDescent="0.3">
      <c r="C706" s="65"/>
      <c r="O706" s="66"/>
    </row>
    <row r="707" spans="3:15" ht="14.25" customHeight="1" x14ac:dyDescent="0.3">
      <c r="C707" s="65"/>
      <c r="O707" s="66"/>
    </row>
    <row r="708" spans="3:15" ht="14.25" customHeight="1" x14ac:dyDescent="0.3">
      <c r="C708" s="65"/>
      <c r="O708" s="66"/>
    </row>
    <row r="709" spans="3:15" ht="14.25" customHeight="1" x14ac:dyDescent="0.3">
      <c r="C709" s="65"/>
      <c r="O709" s="66"/>
    </row>
    <row r="710" spans="3:15" ht="14.25" customHeight="1" x14ac:dyDescent="0.3">
      <c r="C710" s="65"/>
      <c r="O710" s="66"/>
    </row>
    <row r="711" spans="3:15" ht="14.25" customHeight="1" x14ac:dyDescent="0.3">
      <c r="C711" s="65"/>
      <c r="O711" s="66"/>
    </row>
    <row r="712" spans="3:15" ht="14.25" customHeight="1" x14ac:dyDescent="0.3">
      <c r="C712" s="65"/>
      <c r="O712" s="66"/>
    </row>
    <row r="713" spans="3:15" ht="14.25" customHeight="1" x14ac:dyDescent="0.3">
      <c r="C713" s="65"/>
      <c r="O713" s="66"/>
    </row>
    <row r="714" spans="3:15" ht="14.25" customHeight="1" x14ac:dyDescent="0.3">
      <c r="C714" s="65"/>
      <c r="O714" s="66"/>
    </row>
    <row r="715" spans="3:15" ht="14.25" customHeight="1" x14ac:dyDescent="0.3">
      <c r="C715" s="65"/>
      <c r="O715" s="66"/>
    </row>
    <row r="716" spans="3:15" ht="14.25" customHeight="1" x14ac:dyDescent="0.3">
      <c r="C716" s="65"/>
      <c r="O716" s="66"/>
    </row>
    <row r="717" spans="3:15" ht="14.25" customHeight="1" x14ac:dyDescent="0.3">
      <c r="C717" s="65"/>
      <c r="O717" s="66"/>
    </row>
    <row r="718" spans="3:15" ht="14.25" customHeight="1" x14ac:dyDescent="0.3">
      <c r="C718" s="65"/>
      <c r="O718" s="66"/>
    </row>
    <row r="719" spans="3:15" ht="14.25" customHeight="1" x14ac:dyDescent="0.3">
      <c r="C719" s="65"/>
      <c r="O719" s="66"/>
    </row>
    <row r="720" spans="3:15" ht="14.25" customHeight="1" x14ac:dyDescent="0.3">
      <c r="C720" s="65"/>
      <c r="O720" s="66"/>
    </row>
    <row r="721" spans="3:15" ht="14.25" customHeight="1" x14ac:dyDescent="0.3">
      <c r="C721" s="65"/>
      <c r="O721" s="66"/>
    </row>
    <row r="722" spans="3:15" ht="14.25" customHeight="1" x14ac:dyDescent="0.3">
      <c r="C722" s="65"/>
      <c r="O722" s="66"/>
    </row>
    <row r="723" spans="3:15" ht="14.25" customHeight="1" x14ac:dyDescent="0.3">
      <c r="C723" s="65"/>
      <c r="O723" s="66"/>
    </row>
    <row r="724" spans="3:15" ht="14.25" customHeight="1" x14ac:dyDescent="0.3">
      <c r="C724" s="65"/>
      <c r="O724" s="66"/>
    </row>
    <row r="725" spans="3:15" ht="14.25" customHeight="1" x14ac:dyDescent="0.3">
      <c r="C725" s="65"/>
      <c r="O725" s="66"/>
    </row>
    <row r="726" spans="3:15" ht="14.25" customHeight="1" x14ac:dyDescent="0.3">
      <c r="C726" s="65"/>
      <c r="O726" s="66"/>
    </row>
    <row r="727" spans="3:15" ht="14.25" customHeight="1" x14ac:dyDescent="0.3">
      <c r="C727" s="65"/>
      <c r="O727" s="66"/>
    </row>
    <row r="728" spans="3:15" ht="14.25" customHeight="1" x14ac:dyDescent="0.3">
      <c r="C728" s="65"/>
      <c r="O728" s="66"/>
    </row>
    <row r="729" spans="3:15" ht="14.25" customHeight="1" x14ac:dyDescent="0.3">
      <c r="C729" s="65"/>
      <c r="O729" s="66"/>
    </row>
    <row r="730" spans="3:15" ht="14.25" customHeight="1" x14ac:dyDescent="0.3">
      <c r="C730" s="65"/>
      <c r="O730" s="66"/>
    </row>
    <row r="731" spans="3:15" ht="14.25" customHeight="1" x14ac:dyDescent="0.3">
      <c r="C731" s="65"/>
      <c r="O731" s="66"/>
    </row>
    <row r="732" spans="3:15" ht="14.25" customHeight="1" x14ac:dyDescent="0.3">
      <c r="C732" s="65"/>
      <c r="O732" s="66"/>
    </row>
    <row r="733" spans="3:15" ht="14.25" customHeight="1" x14ac:dyDescent="0.3">
      <c r="C733" s="65"/>
      <c r="O733" s="66"/>
    </row>
    <row r="734" spans="3:15" ht="14.25" customHeight="1" x14ac:dyDescent="0.3">
      <c r="C734" s="65"/>
      <c r="O734" s="66"/>
    </row>
    <row r="735" spans="3:15" ht="14.25" customHeight="1" x14ac:dyDescent="0.3">
      <c r="C735" s="65"/>
      <c r="O735" s="66"/>
    </row>
    <row r="736" spans="3:15" ht="14.25" customHeight="1" x14ac:dyDescent="0.3">
      <c r="C736" s="65"/>
      <c r="O736" s="66"/>
    </row>
    <row r="737" spans="3:15" ht="14.25" customHeight="1" x14ac:dyDescent="0.3">
      <c r="C737" s="65"/>
      <c r="O737" s="66"/>
    </row>
    <row r="738" spans="3:15" ht="14.25" customHeight="1" x14ac:dyDescent="0.3">
      <c r="C738" s="65"/>
      <c r="O738" s="66"/>
    </row>
    <row r="739" spans="3:15" ht="14.25" customHeight="1" x14ac:dyDescent="0.3">
      <c r="C739" s="65"/>
      <c r="O739" s="66"/>
    </row>
    <row r="740" spans="3:15" ht="14.25" customHeight="1" x14ac:dyDescent="0.3">
      <c r="C740" s="65"/>
      <c r="O740" s="66"/>
    </row>
    <row r="741" spans="3:15" ht="14.25" customHeight="1" x14ac:dyDescent="0.3">
      <c r="C741" s="65"/>
      <c r="O741" s="66"/>
    </row>
    <row r="742" spans="3:15" ht="14.25" customHeight="1" x14ac:dyDescent="0.3">
      <c r="C742" s="65"/>
      <c r="O742" s="66"/>
    </row>
    <row r="743" spans="3:15" ht="14.25" customHeight="1" x14ac:dyDescent="0.3">
      <c r="C743" s="65"/>
      <c r="O743" s="66"/>
    </row>
    <row r="744" spans="3:15" ht="14.25" customHeight="1" x14ac:dyDescent="0.3">
      <c r="C744" s="65"/>
      <c r="O744" s="66"/>
    </row>
    <row r="745" spans="3:15" ht="14.25" customHeight="1" x14ac:dyDescent="0.3">
      <c r="C745" s="65"/>
      <c r="O745" s="66"/>
    </row>
    <row r="746" spans="3:15" ht="14.25" customHeight="1" x14ac:dyDescent="0.3">
      <c r="C746" s="65"/>
      <c r="O746" s="66"/>
    </row>
    <row r="747" spans="3:15" ht="14.25" customHeight="1" x14ac:dyDescent="0.3">
      <c r="C747" s="65"/>
      <c r="O747" s="66"/>
    </row>
    <row r="748" spans="3:15" ht="14.25" customHeight="1" x14ac:dyDescent="0.3">
      <c r="C748" s="65"/>
      <c r="O748" s="66"/>
    </row>
    <row r="749" spans="3:15" ht="14.25" customHeight="1" x14ac:dyDescent="0.3">
      <c r="C749" s="65"/>
      <c r="O749" s="66"/>
    </row>
    <row r="750" spans="3:15" ht="14.25" customHeight="1" x14ac:dyDescent="0.3">
      <c r="C750" s="65"/>
      <c r="O750" s="66"/>
    </row>
    <row r="751" spans="3:15" ht="14.25" customHeight="1" x14ac:dyDescent="0.3">
      <c r="C751" s="65"/>
      <c r="O751" s="66"/>
    </row>
    <row r="752" spans="3:15" ht="14.25" customHeight="1" x14ac:dyDescent="0.3">
      <c r="C752" s="65"/>
      <c r="O752" s="66"/>
    </row>
    <row r="753" spans="3:15" ht="14.25" customHeight="1" x14ac:dyDescent="0.3">
      <c r="C753" s="65"/>
      <c r="O753" s="66"/>
    </row>
    <row r="754" spans="3:15" ht="14.25" customHeight="1" x14ac:dyDescent="0.3">
      <c r="C754" s="65"/>
      <c r="O754" s="66"/>
    </row>
    <row r="755" spans="3:15" ht="14.25" customHeight="1" x14ac:dyDescent="0.3">
      <c r="C755" s="65"/>
      <c r="O755" s="66"/>
    </row>
    <row r="756" spans="3:15" ht="14.25" customHeight="1" x14ac:dyDescent="0.3">
      <c r="C756" s="65"/>
      <c r="O756" s="66"/>
    </row>
    <row r="757" spans="3:15" ht="14.25" customHeight="1" x14ac:dyDescent="0.3">
      <c r="C757" s="65"/>
      <c r="O757" s="66"/>
    </row>
    <row r="758" spans="3:15" ht="14.25" customHeight="1" x14ac:dyDescent="0.3">
      <c r="C758" s="65"/>
      <c r="O758" s="66"/>
    </row>
    <row r="759" spans="3:15" ht="14.25" customHeight="1" x14ac:dyDescent="0.3">
      <c r="C759" s="65"/>
      <c r="O759" s="66"/>
    </row>
    <row r="760" spans="3:15" ht="14.25" customHeight="1" x14ac:dyDescent="0.3">
      <c r="C760" s="65"/>
      <c r="O760" s="66"/>
    </row>
    <row r="761" spans="3:15" ht="14.25" customHeight="1" x14ac:dyDescent="0.3">
      <c r="C761" s="65"/>
      <c r="O761" s="66"/>
    </row>
    <row r="762" spans="3:15" ht="14.25" customHeight="1" x14ac:dyDescent="0.3">
      <c r="C762" s="65"/>
      <c r="O762" s="66"/>
    </row>
    <row r="763" spans="3:15" ht="14.25" customHeight="1" x14ac:dyDescent="0.3">
      <c r="C763" s="65"/>
      <c r="O763" s="66"/>
    </row>
    <row r="764" spans="3:15" ht="14.25" customHeight="1" x14ac:dyDescent="0.3">
      <c r="C764" s="65"/>
      <c r="O764" s="66"/>
    </row>
    <row r="765" spans="3:15" ht="14.25" customHeight="1" x14ac:dyDescent="0.3">
      <c r="C765" s="65"/>
      <c r="O765" s="66"/>
    </row>
    <row r="766" spans="3:15" ht="14.25" customHeight="1" x14ac:dyDescent="0.3">
      <c r="C766" s="65"/>
      <c r="O766" s="66"/>
    </row>
    <row r="767" spans="3:15" ht="14.25" customHeight="1" x14ac:dyDescent="0.3">
      <c r="C767" s="65"/>
      <c r="O767" s="66"/>
    </row>
    <row r="768" spans="3:15" ht="14.25" customHeight="1" x14ac:dyDescent="0.3">
      <c r="C768" s="65"/>
      <c r="O768" s="66"/>
    </row>
    <row r="769" spans="3:15" ht="14.25" customHeight="1" x14ac:dyDescent="0.3">
      <c r="C769" s="65"/>
      <c r="O769" s="66"/>
    </row>
    <row r="770" spans="3:15" ht="14.25" customHeight="1" x14ac:dyDescent="0.3">
      <c r="C770" s="65"/>
      <c r="O770" s="66"/>
    </row>
    <row r="771" spans="3:15" ht="14.25" customHeight="1" x14ac:dyDescent="0.3">
      <c r="C771" s="65"/>
      <c r="O771" s="66"/>
    </row>
    <row r="772" spans="3:15" ht="14.25" customHeight="1" x14ac:dyDescent="0.3">
      <c r="C772" s="65"/>
      <c r="O772" s="66"/>
    </row>
    <row r="773" spans="3:15" ht="14.25" customHeight="1" x14ac:dyDescent="0.3">
      <c r="C773" s="65"/>
      <c r="O773" s="66"/>
    </row>
    <row r="774" spans="3:15" ht="14.25" customHeight="1" x14ac:dyDescent="0.3">
      <c r="C774" s="65"/>
      <c r="O774" s="66"/>
    </row>
    <row r="775" spans="3:15" ht="14.25" customHeight="1" x14ac:dyDescent="0.3">
      <c r="C775" s="65"/>
      <c r="O775" s="66"/>
    </row>
    <row r="776" spans="3:15" ht="14.25" customHeight="1" x14ac:dyDescent="0.3">
      <c r="C776" s="65"/>
      <c r="O776" s="66"/>
    </row>
    <row r="777" spans="3:15" ht="14.25" customHeight="1" x14ac:dyDescent="0.3">
      <c r="C777" s="65"/>
      <c r="O777" s="66"/>
    </row>
    <row r="778" spans="3:15" ht="14.25" customHeight="1" x14ac:dyDescent="0.3">
      <c r="C778" s="65"/>
      <c r="O778" s="66"/>
    </row>
    <row r="779" spans="3:15" ht="14.25" customHeight="1" x14ac:dyDescent="0.3">
      <c r="C779" s="65"/>
      <c r="O779" s="66"/>
    </row>
    <row r="780" spans="3:15" ht="14.25" customHeight="1" x14ac:dyDescent="0.3">
      <c r="C780" s="65"/>
      <c r="O780" s="66"/>
    </row>
    <row r="781" spans="3:15" ht="14.25" customHeight="1" x14ac:dyDescent="0.3">
      <c r="C781" s="65"/>
      <c r="O781" s="66"/>
    </row>
    <row r="782" spans="3:15" ht="14.25" customHeight="1" x14ac:dyDescent="0.3">
      <c r="C782" s="65"/>
      <c r="O782" s="66"/>
    </row>
    <row r="783" spans="3:15" ht="14.25" customHeight="1" x14ac:dyDescent="0.3">
      <c r="C783" s="65"/>
      <c r="O783" s="66"/>
    </row>
    <row r="784" spans="3:15" ht="14.25" customHeight="1" x14ac:dyDescent="0.3">
      <c r="C784" s="65"/>
      <c r="O784" s="66"/>
    </row>
    <row r="785" spans="3:15" ht="14.25" customHeight="1" x14ac:dyDescent="0.3">
      <c r="C785" s="65"/>
      <c r="O785" s="66"/>
    </row>
    <row r="786" spans="3:15" ht="14.25" customHeight="1" x14ac:dyDescent="0.3">
      <c r="C786" s="65"/>
      <c r="O786" s="66"/>
    </row>
    <row r="787" spans="3:15" ht="14.25" customHeight="1" x14ac:dyDescent="0.3">
      <c r="C787" s="65"/>
      <c r="O787" s="66"/>
    </row>
    <row r="788" spans="3:15" ht="14.25" customHeight="1" x14ac:dyDescent="0.3">
      <c r="C788" s="65"/>
      <c r="O788" s="66"/>
    </row>
    <row r="789" spans="3:15" ht="14.25" customHeight="1" x14ac:dyDescent="0.3">
      <c r="C789" s="65"/>
      <c r="O789" s="66"/>
    </row>
    <row r="790" spans="3:15" ht="14.25" customHeight="1" x14ac:dyDescent="0.3">
      <c r="C790" s="65"/>
      <c r="O790" s="66"/>
    </row>
    <row r="791" spans="3:15" ht="14.25" customHeight="1" x14ac:dyDescent="0.3">
      <c r="C791" s="65"/>
      <c r="O791" s="66"/>
    </row>
    <row r="792" spans="3:15" ht="14.25" customHeight="1" x14ac:dyDescent="0.3">
      <c r="C792" s="65"/>
      <c r="O792" s="66"/>
    </row>
    <row r="793" spans="3:15" ht="14.25" customHeight="1" x14ac:dyDescent="0.3">
      <c r="C793" s="65"/>
      <c r="O793" s="66"/>
    </row>
    <row r="794" spans="3:15" ht="14.25" customHeight="1" x14ac:dyDescent="0.3">
      <c r="C794" s="65"/>
      <c r="O794" s="66"/>
    </row>
    <row r="795" spans="3:15" ht="14.25" customHeight="1" x14ac:dyDescent="0.3">
      <c r="C795" s="65"/>
      <c r="O795" s="66"/>
    </row>
    <row r="796" spans="3:15" ht="14.25" customHeight="1" x14ac:dyDescent="0.3">
      <c r="C796" s="65"/>
      <c r="O796" s="66"/>
    </row>
    <row r="797" spans="3:15" ht="14.25" customHeight="1" x14ac:dyDescent="0.3">
      <c r="C797" s="65"/>
      <c r="O797" s="66"/>
    </row>
    <row r="798" spans="3:15" ht="14.25" customHeight="1" x14ac:dyDescent="0.3">
      <c r="C798" s="65"/>
      <c r="O798" s="66"/>
    </row>
    <row r="799" spans="3:15" ht="14.25" customHeight="1" x14ac:dyDescent="0.3">
      <c r="C799" s="65"/>
      <c r="O799" s="66"/>
    </row>
    <row r="800" spans="3:15" ht="14.25" customHeight="1" x14ac:dyDescent="0.3">
      <c r="C800" s="65"/>
      <c r="O800" s="66"/>
    </row>
    <row r="801" spans="3:15" ht="14.25" customHeight="1" x14ac:dyDescent="0.3">
      <c r="C801" s="65"/>
      <c r="O801" s="66"/>
    </row>
    <row r="802" spans="3:15" ht="14.25" customHeight="1" x14ac:dyDescent="0.3">
      <c r="C802" s="65"/>
      <c r="O802" s="66"/>
    </row>
    <row r="803" spans="3:15" ht="14.25" customHeight="1" x14ac:dyDescent="0.3">
      <c r="C803" s="65"/>
      <c r="O803" s="66"/>
    </row>
    <row r="804" spans="3:15" ht="14.25" customHeight="1" x14ac:dyDescent="0.3">
      <c r="C804" s="65"/>
      <c r="O804" s="66"/>
    </row>
    <row r="805" spans="3:15" ht="14.25" customHeight="1" x14ac:dyDescent="0.3">
      <c r="C805" s="65"/>
      <c r="O805" s="66"/>
    </row>
    <row r="806" spans="3:15" ht="14.25" customHeight="1" x14ac:dyDescent="0.3">
      <c r="C806" s="65"/>
      <c r="O806" s="66"/>
    </row>
    <row r="807" spans="3:15" ht="14.25" customHeight="1" x14ac:dyDescent="0.3">
      <c r="C807" s="65"/>
      <c r="O807" s="66"/>
    </row>
    <row r="808" spans="3:15" ht="14.25" customHeight="1" x14ac:dyDescent="0.3">
      <c r="C808" s="65"/>
      <c r="O808" s="66"/>
    </row>
    <row r="809" spans="3:15" ht="14.25" customHeight="1" x14ac:dyDescent="0.3">
      <c r="C809" s="65"/>
      <c r="O809" s="66"/>
    </row>
    <row r="810" spans="3:15" ht="14.25" customHeight="1" x14ac:dyDescent="0.3">
      <c r="C810" s="65"/>
      <c r="O810" s="66"/>
    </row>
    <row r="811" spans="3:15" ht="14.25" customHeight="1" x14ac:dyDescent="0.3">
      <c r="C811" s="65"/>
      <c r="O811" s="66"/>
    </row>
    <row r="812" spans="3:15" ht="14.25" customHeight="1" x14ac:dyDescent="0.3">
      <c r="C812" s="65"/>
      <c r="O812" s="66"/>
    </row>
    <row r="813" spans="3:15" ht="14.25" customHeight="1" x14ac:dyDescent="0.3">
      <c r="C813" s="65"/>
      <c r="O813" s="66"/>
    </row>
    <row r="814" spans="3:15" ht="14.25" customHeight="1" x14ac:dyDescent="0.3">
      <c r="C814" s="65"/>
      <c r="O814" s="66"/>
    </row>
    <row r="815" spans="3:15" ht="14.25" customHeight="1" x14ac:dyDescent="0.3">
      <c r="C815" s="65"/>
      <c r="O815" s="66"/>
    </row>
    <row r="816" spans="3:15" ht="14.25" customHeight="1" x14ac:dyDescent="0.3">
      <c r="C816" s="65"/>
      <c r="O816" s="66"/>
    </row>
    <row r="817" spans="3:15" ht="14.25" customHeight="1" x14ac:dyDescent="0.3">
      <c r="C817" s="65"/>
      <c r="O817" s="66"/>
    </row>
    <row r="818" spans="3:15" ht="14.25" customHeight="1" x14ac:dyDescent="0.3">
      <c r="C818" s="65"/>
      <c r="O818" s="66"/>
    </row>
    <row r="819" spans="3:15" ht="14.25" customHeight="1" x14ac:dyDescent="0.3">
      <c r="C819" s="65"/>
      <c r="O819" s="66"/>
    </row>
    <row r="820" spans="3:15" ht="14.25" customHeight="1" x14ac:dyDescent="0.3">
      <c r="C820" s="65"/>
      <c r="O820" s="66"/>
    </row>
    <row r="821" spans="3:15" ht="14.25" customHeight="1" x14ac:dyDescent="0.3">
      <c r="C821" s="65"/>
      <c r="O821" s="66"/>
    </row>
    <row r="822" spans="3:15" ht="14.25" customHeight="1" x14ac:dyDescent="0.3">
      <c r="C822" s="65"/>
      <c r="O822" s="66"/>
    </row>
    <row r="823" spans="3:15" ht="14.25" customHeight="1" x14ac:dyDescent="0.3">
      <c r="C823" s="65"/>
      <c r="O823" s="66"/>
    </row>
    <row r="824" spans="3:15" ht="14.25" customHeight="1" x14ac:dyDescent="0.3">
      <c r="C824" s="65"/>
      <c r="O824" s="66"/>
    </row>
    <row r="825" spans="3:15" ht="14.25" customHeight="1" x14ac:dyDescent="0.3">
      <c r="C825" s="65"/>
      <c r="O825" s="66"/>
    </row>
    <row r="826" spans="3:15" ht="14.25" customHeight="1" x14ac:dyDescent="0.3">
      <c r="C826" s="65"/>
      <c r="O826" s="66"/>
    </row>
    <row r="827" spans="3:15" ht="14.25" customHeight="1" x14ac:dyDescent="0.3">
      <c r="C827" s="65"/>
      <c r="O827" s="66"/>
    </row>
    <row r="828" spans="3:15" ht="14.25" customHeight="1" x14ac:dyDescent="0.3">
      <c r="C828" s="65"/>
      <c r="O828" s="66"/>
    </row>
    <row r="829" spans="3:15" ht="14.25" customHeight="1" x14ac:dyDescent="0.3">
      <c r="C829" s="65"/>
      <c r="O829" s="66"/>
    </row>
    <row r="830" spans="3:15" ht="14.25" customHeight="1" x14ac:dyDescent="0.3">
      <c r="C830" s="65"/>
      <c r="O830" s="66"/>
    </row>
    <row r="831" spans="3:15" ht="14.25" customHeight="1" x14ac:dyDescent="0.3">
      <c r="C831" s="65"/>
      <c r="O831" s="66"/>
    </row>
    <row r="832" spans="3:15" ht="14.25" customHeight="1" x14ac:dyDescent="0.3">
      <c r="C832" s="65"/>
      <c r="O832" s="66"/>
    </row>
    <row r="833" spans="3:15" ht="14.25" customHeight="1" x14ac:dyDescent="0.3">
      <c r="C833" s="65"/>
      <c r="O833" s="66"/>
    </row>
    <row r="834" spans="3:15" ht="14.25" customHeight="1" x14ac:dyDescent="0.3">
      <c r="C834" s="65"/>
      <c r="O834" s="66"/>
    </row>
    <row r="835" spans="3:15" ht="14.25" customHeight="1" x14ac:dyDescent="0.3">
      <c r="C835" s="65"/>
      <c r="O835" s="66"/>
    </row>
    <row r="836" spans="3:15" ht="14.25" customHeight="1" x14ac:dyDescent="0.3">
      <c r="C836" s="65"/>
      <c r="O836" s="66"/>
    </row>
    <row r="837" spans="3:15" ht="14.25" customHeight="1" x14ac:dyDescent="0.3">
      <c r="C837" s="65"/>
      <c r="O837" s="66"/>
    </row>
    <row r="838" spans="3:15" ht="14.25" customHeight="1" x14ac:dyDescent="0.3">
      <c r="C838" s="65"/>
      <c r="O838" s="66"/>
    </row>
    <row r="839" spans="3:15" ht="14.25" customHeight="1" x14ac:dyDescent="0.3">
      <c r="C839" s="65"/>
      <c r="O839" s="66"/>
    </row>
    <row r="840" spans="3:15" ht="14.25" customHeight="1" x14ac:dyDescent="0.3">
      <c r="C840" s="65"/>
      <c r="O840" s="66"/>
    </row>
    <row r="841" spans="3:15" ht="14.25" customHeight="1" x14ac:dyDescent="0.3">
      <c r="C841" s="65"/>
      <c r="O841" s="66"/>
    </row>
    <row r="842" spans="3:15" ht="14.25" customHeight="1" x14ac:dyDescent="0.3">
      <c r="C842" s="65"/>
      <c r="O842" s="66"/>
    </row>
    <row r="843" spans="3:15" ht="14.25" customHeight="1" x14ac:dyDescent="0.3">
      <c r="C843" s="65"/>
      <c r="O843" s="66"/>
    </row>
    <row r="844" spans="3:15" ht="14.25" customHeight="1" x14ac:dyDescent="0.3">
      <c r="C844" s="65"/>
      <c r="O844" s="66"/>
    </row>
    <row r="845" spans="3:15" ht="14.25" customHeight="1" x14ac:dyDescent="0.3">
      <c r="C845" s="65"/>
      <c r="O845" s="66"/>
    </row>
    <row r="846" spans="3:15" ht="14.25" customHeight="1" x14ac:dyDescent="0.3">
      <c r="C846" s="65"/>
      <c r="O846" s="66"/>
    </row>
    <row r="847" spans="3:15" ht="14.25" customHeight="1" x14ac:dyDescent="0.3">
      <c r="C847" s="65"/>
      <c r="O847" s="66"/>
    </row>
    <row r="848" spans="3:15" ht="14.25" customHeight="1" x14ac:dyDescent="0.3">
      <c r="C848" s="65"/>
      <c r="O848" s="66"/>
    </row>
    <row r="849" spans="3:15" ht="14.25" customHeight="1" x14ac:dyDescent="0.3">
      <c r="C849" s="65"/>
      <c r="O849" s="66"/>
    </row>
    <row r="850" spans="3:15" ht="14.25" customHeight="1" x14ac:dyDescent="0.3">
      <c r="C850" s="65"/>
      <c r="O850" s="66"/>
    </row>
    <row r="851" spans="3:15" ht="14.25" customHeight="1" x14ac:dyDescent="0.3">
      <c r="C851" s="65"/>
      <c r="O851" s="66"/>
    </row>
    <row r="852" spans="3:15" ht="14.25" customHeight="1" x14ac:dyDescent="0.3">
      <c r="C852" s="65"/>
      <c r="O852" s="66"/>
    </row>
    <row r="853" spans="3:15" ht="14.25" customHeight="1" x14ac:dyDescent="0.3">
      <c r="C853" s="65"/>
      <c r="O853" s="66"/>
    </row>
    <row r="854" spans="3:15" ht="14.25" customHeight="1" x14ac:dyDescent="0.3">
      <c r="C854" s="65"/>
      <c r="O854" s="66"/>
    </row>
    <row r="855" spans="3:15" ht="14.25" customHeight="1" x14ac:dyDescent="0.3">
      <c r="C855" s="65"/>
      <c r="O855" s="66"/>
    </row>
    <row r="856" spans="3:15" ht="14.25" customHeight="1" x14ac:dyDescent="0.3">
      <c r="C856" s="65"/>
      <c r="O856" s="66"/>
    </row>
    <row r="857" spans="3:15" ht="14.25" customHeight="1" x14ac:dyDescent="0.3">
      <c r="C857" s="65"/>
      <c r="O857" s="66"/>
    </row>
    <row r="858" spans="3:15" ht="14.25" customHeight="1" x14ac:dyDescent="0.3">
      <c r="C858" s="65"/>
      <c r="O858" s="66"/>
    </row>
    <row r="859" spans="3:15" ht="14.25" customHeight="1" x14ac:dyDescent="0.3">
      <c r="C859" s="65"/>
      <c r="O859" s="66"/>
    </row>
    <row r="860" spans="3:15" ht="14.25" customHeight="1" x14ac:dyDescent="0.3">
      <c r="C860" s="65"/>
      <c r="O860" s="66"/>
    </row>
    <row r="861" spans="3:15" ht="14.25" customHeight="1" x14ac:dyDescent="0.3">
      <c r="C861" s="65"/>
      <c r="O861" s="66"/>
    </row>
    <row r="862" spans="3:15" ht="14.25" customHeight="1" x14ac:dyDescent="0.3">
      <c r="C862" s="65"/>
      <c r="O862" s="66"/>
    </row>
    <row r="863" spans="3:15" ht="14.25" customHeight="1" x14ac:dyDescent="0.3">
      <c r="C863" s="65"/>
      <c r="O863" s="66"/>
    </row>
    <row r="864" spans="3:15" ht="14.25" customHeight="1" x14ac:dyDescent="0.3">
      <c r="C864" s="65"/>
      <c r="O864" s="66"/>
    </row>
    <row r="865" spans="3:15" ht="14.25" customHeight="1" x14ac:dyDescent="0.3">
      <c r="C865" s="65"/>
      <c r="O865" s="66"/>
    </row>
    <row r="866" spans="3:15" ht="14.25" customHeight="1" x14ac:dyDescent="0.3">
      <c r="C866" s="65"/>
      <c r="O866" s="66"/>
    </row>
    <row r="867" spans="3:15" ht="14.25" customHeight="1" x14ac:dyDescent="0.3">
      <c r="C867" s="65"/>
      <c r="O867" s="66"/>
    </row>
    <row r="868" spans="3:15" ht="14.25" customHeight="1" x14ac:dyDescent="0.3">
      <c r="C868" s="65"/>
      <c r="O868" s="66"/>
    </row>
    <row r="869" spans="3:15" ht="14.25" customHeight="1" x14ac:dyDescent="0.3">
      <c r="C869" s="65"/>
      <c r="O869" s="66"/>
    </row>
    <row r="870" spans="3:15" ht="14.25" customHeight="1" x14ac:dyDescent="0.3">
      <c r="C870" s="65"/>
      <c r="O870" s="66"/>
    </row>
    <row r="871" spans="3:15" ht="14.25" customHeight="1" x14ac:dyDescent="0.3">
      <c r="C871" s="65"/>
      <c r="O871" s="66"/>
    </row>
    <row r="872" spans="3:15" ht="14.25" customHeight="1" x14ac:dyDescent="0.3">
      <c r="C872" s="65"/>
      <c r="O872" s="66"/>
    </row>
    <row r="873" spans="3:15" ht="14.25" customHeight="1" x14ac:dyDescent="0.3">
      <c r="C873" s="65"/>
      <c r="O873" s="66"/>
    </row>
    <row r="874" spans="3:15" ht="14.25" customHeight="1" x14ac:dyDescent="0.3">
      <c r="C874" s="65"/>
      <c r="O874" s="66"/>
    </row>
    <row r="875" spans="3:15" ht="14.25" customHeight="1" x14ac:dyDescent="0.3">
      <c r="C875" s="65"/>
      <c r="O875" s="66"/>
    </row>
    <row r="876" spans="3:15" ht="14.25" customHeight="1" x14ac:dyDescent="0.3">
      <c r="C876" s="65"/>
      <c r="O876" s="66"/>
    </row>
    <row r="877" spans="3:15" ht="14.25" customHeight="1" x14ac:dyDescent="0.3">
      <c r="C877" s="65"/>
      <c r="O877" s="66"/>
    </row>
    <row r="878" spans="3:15" ht="14.25" customHeight="1" x14ac:dyDescent="0.3">
      <c r="C878" s="65"/>
      <c r="O878" s="66"/>
    </row>
    <row r="879" spans="3:15" ht="14.25" customHeight="1" x14ac:dyDescent="0.3">
      <c r="C879" s="65"/>
      <c r="O879" s="66"/>
    </row>
    <row r="880" spans="3:15" ht="14.25" customHeight="1" x14ac:dyDescent="0.3">
      <c r="C880" s="65"/>
      <c r="O880" s="66"/>
    </row>
    <row r="881" spans="3:15" ht="14.25" customHeight="1" x14ac:dyDescent="0.3">
      <c r="C881" s="65"/>
      <c r="O881" s="66"/>
    </row>
    <row r="882" spans="3:15" ht="14.25" customHeight="1" x14ac:dyDescent="0.3">
      <c r="C882" s="65"/>
      <c r="O882" s="66"/>
    </row>
    <row r="883" spans="3:15" ht="14.25" customHeight="1" x14ac:dyDescent="0.3">
      <c r="C883" s="65"/>
      <c r="O883" s="66"/>
    </row>
    <row r="884" spans="3:15" ht="14.25" customHeight="1" x14ac:dyDescent="0.3">
      <c r="C884" s="65"/>
      <c r="O884" s="66"/>
    </row>
    <row r="885" spans="3:15" ht="14.25" customHeight="1" x14ac:dyDescent="0.3">
      <c r="C885" s="65"/>
      <c r="O885" s="66"/>
    </row>
    <row r="886" spans="3:15" ht="14.25" customHeight="1" x14ac:dyDescent="0.3">
      <c r="C886" s="65"/>
      <c r="O886" s="66"/>
    </row>
    <row r="887" spans="3:15" ht="14.25" customHeight="1" x14ac:dyDescent="0.3">
      <c r="C887" s="65"/>
      <c r="O887" s="66"/>
    </row>
    <row r="888" spans="3:15" ht="14.25" customHeight="1" x14ac:dyDescent="0.3">
      <c r="C888" s="65"/>
      <c r="O888" s="66"/>
    </row>
    <row r="889" spans="3:15" ht="14.25" customHeight="1" x14ac:dyDescent="0.3">
      <c r="C889" s="65"/>
      <c r="O889" s="66"/>
    </row>
    <row r="890" spans="3:15" ht="14.25" customHeight="1" x14ac:dyDescent="0.3">
      <c r="C890" s="65"/>
      <c r="O890" s="66"/>
    </row>
    <row r="891" spans="3:15" ht="14.25" customHeight="1" x14ac:dyDescent="0.3">
      <c r="C891" s="65"/>
      <c r="O891" s="66"/>
    </row>
    <row r="892" spans="3:15" ht="14.25" customHeight="1" x14ac:dyDescent="0.3">
      <c r="C892" s="65"/>
      <c r="O892" s="66"/>
    </row>
    <row r="893" spans="3:15" ht="14.25" customHeight="1" x14ac:dyDescent="0.3">
      <c r="C893" s="65"/>
      <c r="O893" s="66"/>
    </row>
    <row r="894" spans="3:15" ht="14.25" customHeight="1" x14ac:dyDescent="0.3">
      <c r="C894" s="65"/>
      <c r="O894" s="66"/>
    </row>
    <row r="895" spans="3:15" ht="14.25" customHeight="1" x14ac:dyDescent="0.3">
      <c r="C895" s="65"/>
      <c r="O895" s="66"/>
    </row>
    <row r="896" spans="3:15" ht="14.25" customHeight="1" x14ac:dyDescent="0.3">
      <c r="C896" s="65"/>
      <c r="O896" s="66"/>
    </row>
    <row r="897" spans="3:15" ht="14.25" customHeight="1" x14ac:dyDescent="0.3">
      <c r="C897" s="65"/>
      <c r="O897" s="66"/>
    </row>
    <row r="898" spans="3:15" ht="14.25" customHeight="1" x14ac:dyDescent="0.3">
      <c r="C898" s="65"/>
      <c r="O898" s="66"/>
    </row>
    <row r="899" spans="3:15" ht="14.25" customHeight="1" x14ac:dyDescent="0.3">
      <c r="C899" s="65"/>
      <c r="O899" s="66"/>
    </row>
    <row r="900" spans="3:15" ht="14.25" customHeight="1" x14ac:dyDescent="0.3">
      <c r="C900" s="65"/>
      <c r="O900" s="66"/>
    </row>
    <row r="901" spans="3:15" ht="14.25" customHeight="1" x14ac:dyDescent="0.3">
      <c r="C901" s="65"/>
      <c r="O901" s="66"/>
    </row>
    <row r="902" spans="3:15" ht="14.25" customHeight="1" x14ac:dyDescent="0.3">
      <c r="C902" s="65"/>
      <c r="O902" s="66"/>
    </row>
    <row r="903" spans="3:15" ht="14.25" customHeight="1" x14ac:dyDescent="0.3">
      <c r="C903" s="65"/>
      <c r="O903" s="66"/>
    </row>
    <row r="904" spans="3:15" ht="14.25" customHeight="1" x14ac:dyDescent="0.3">
      <c r="C904" s="65"/>
      <c r="O904" s="66"/>
    </row>
    <row r="905" spans="3:15" ht="14.25" customHeight="1" x14ac:dyDescent="0.3">
      <c r="C905" s="65"/>
      <c r="O905" s="66"/>
    </row>
    <row r="906" spans="3:15" ht="14.25" customHeight="1" x14ac:dyDescent="0.3">
      <c r="C906" s="65"/>
      <c r="O906" s="66"/>
    </row>
    <row r="907" spans="3:15" ht="14.25" customHeight="1" x14ac:dyDescent="0.3">
      <c r="C907" s="65"/>
      <c r="O907" s="66"/>
    </row>
    <row r="908" spans="3:15" ht="14.25" customHeight="1" x14ac:dyDescent="0.3">
      <c r="C908" s="65"/>
      <c r="O908" s="66"/>
    </row>
    <row r="909" spans="3:15" ht="14.25" customHeight="1" x14ac:dyDescent="0.3">
      <c r="C909" s="65"/>
      <c r="O909" s="66"/>
    </row>
    <row r="910" spans="3:15" ht="14.25" customHeight="1" x14ac:dyDescent="0.3">
      <c r="C910" s="65"/>
      <c r="O910" s="66"/>
    </row>
    <row r="911" spans="3:15" ht="14.25" customHeight="1" x14ac:dyDescent="0.3">
      <c r="C911" s="65"/>
      <c r="O911" s="66"/>
    </row>
    <row r="912" spans="3:15" ht="14.25" customHeight="1" x14ac:dyDescent="0.3">
      <c r="C912" s="65"/>
      <c r="O912" s="66"/>
    </row>
    <row r="913" spans="3:15" ht="14.25" customHeight="1" x14ac:dyDescent="0.3">
      <c r="C913" s="65"/>
      <c r="O913" s="66"/>
    </row>
    <row r="914" spans="3:15" ht="14.25" customHeight="1" x14ac:dyDescent="0.3">
      <c r="C914" s="65"/>
      <c r="O914" s="66"/>
    </row>
    <row r="915" spans="3:15" ht="14.25" customHeight="1" x14ac:dyDescent="0.3">
      <c r="C915" s="65"/>
      <c r="O915" s="66"/>
    </row>
    <row r="916" spans="3:15" ht="14.25" customHeight="1" x14ac:dyDescent="0.3">
      <c r="C916" s="65"/>
      <c r="O916" s="66"/>
    </row>
    <row r="917" spans="3:15" ht="14.25" customHeight="1" x14ac:dyDescent="0.3">
      <c r="C917" s="65"/>
      <c r="O917" s="66"/>
    </row>
    <row r="918" spans="3:15" ht="14.25" customHeight="1" x14ac:dyDescent="0.3">
      <c r="C918" s="65"/>
      <c r="O918" s="66"/>
    </row>
    <row r="919" spans="3:15" ht="14.25" customHeight="1" x14ac:dyDescent="0.3">
      <c r="C919" s="65"/>
      <c r="O919" s="66"/>
    </row>
    <row r="920" spans="3:15" ht="14.25" customHeight="1" x14ac:dyDescent="0.3">
      <c r="C920" s="65"/>
      <c r="O920" s="66"/>
    </row>
    <row r="921" spans="3:15" ht="14.25" customHeight="1" x14ac:dyDescent="0.3">
      <c r="C921" s="65"/>
      <c r="O921" s="66"/>
    </row>
    <row r="922" spans="3:15" ht="14.25" customHeight="1" x14ac:dyDescent="0.3">
      <c r="C922" s="65"/>
      <c r="O922" s="66"/>
    </row>
    <row r="923" spans="3:15" ht="14.25" customHeight="1" x14ac:dyDescent="0.3">
      <c r="C923" s="65"/>
      <c r="O923" s="66"/>
    </row>
    <row r="924" spans="3:15" ht="14.25" customHeight="1" x14ac:dyDescent="0.3">
      <c r="C924" s="65"/>
      <c r="O924" s="66"/>
    </row>
    <row r="925" spans="3:15" ht="14.25" customHeight="1" x14ac:dyDescent="0.3">
      <c r="C925" s="65"/>
      <c r="O925" s="66"/>
    </row>
    <row r="926" spans="3:15" ht="14.25" customHeight="1" x14ac:dyDescent="0.3">
      <c r="C926" s="65"/>
      <c r="O926" s="66"/>
    </row>
    <row r="927" spans="3:15" ht="14.25" customHeight="1" x14ac:dyDescent="0.3">
      <c r="C927" s="65"/>
      <c r="O927" s="66"/>
    </row>
    <row r="928" spans="3:15" ht="14.25" customHeight="1" x14ac:dyDescent="0.3">
      <c r="C928" s="65"/>
      <c r="O928" s="66"/>
    </row>
    <row r="929" spans="3:15" ht="14.25" customHeight="1" x14ac:dyDescent="0.3">
      <c r="C929" s="65"/>
      <c r="O929" s="66"/>
    </row>
    <row r="930" spans="3:15" ht="14.25" customHeight="1" x14ac:dyDescent="0.3">
      <c r="C930" s="65"/>
      <c r="O930" s="66"/>
    </row>
    <row r="931" spans="3:15" ht="14.25" customHeight="1" x14ac:dyDescent="0.3">
      <c r="C931" s="65"/>
      <c r="O931" s="66"/>
    </row>
    <row r="932" spans="3:15" ht="14.25" customHeight="1" x14ac:dyDescent="0.3">
      <c r="C932" s="65"/>
      <c r="O932" s="66"/>
    </row>
    <row r="933" spans="3:15" ht="14.25" customHeight="1" x14ac:dyDescent="0.3">
      <c r="C933" s="65"/>
      <c r="O933" s="66"/>
    </row>
    <row r="934" spans="3:15" ht="14.25" customHeight="1" x14ac:dyDescent="0.3">
      <c r="C934" s="65"/>
      <c r="O934" s="66"/>
    </row>
    <row r="935" spans="3:15" ht="14.25" customHeight="1" x14ac:dyDescent="0.3">
      <c r="C935" s="65"/>
      <c r="O935" s="66"/>
    </row>
    <row r="936" spans="3:15" ht="14.25" customHeight="1" x14ac:dyDescent="0.3">
      <c r="C936" s="65"/>
      <c r="O936" s="66"/>
    </row>
    <row r="937" spans="3:15" ht="14.25" customHeight="1" x14ac:dyDescent="0.3">
      <c r="C937" s="65"/>
      <c r="O937" s="66"/>
    </row>
    <row r="938" spans="3:15" ht="14.25" customHeight="1" x14ac:dyDescent="0.3">
      <c r="C938" s="65"/>
      <c r="O938" s="66"/>
    </row>
    <row r="939" spans="3:15" ht="14.25" customHeight="1" x14ac:dyDescent="0.3">
      <c r="C939" s="65"/>
      <c r="O939" s="66"/>
    </row>
    <row r="940" spans="3:15" ht="14.25" customHeight="1" x14ac:dyDescent="0.3">
      <c r="C940" s="65"/>
      <c r="O940" s="66"/>
    </row>
    <row r="941" spans="3:15" ht="14.25" customHeight="1" x14ac:dyDescent="0.3">
      <c r="C941" s="65"/>
      <c r="O941" s="66"/>
    </row>
    <row r="942" spans="3:15" ht="14.25" customHeight="1" x14ac:dyDescent="0.3">
      <c r="C942" s="65"/>
      <c r="O942" s="66"/>
    </row>
    <row r="943" spans="3:15" ht="14.25" customHeight="1" x14ac:dyDescent="0.3">
      <c r="C943" s="65"/>
      <c r="O943" s="66"/>
    </row>
    <row r="944" spans="3:15" ht="14.25" customHeight="1" x14ac:dyDescent="0.3">
      <c r="C944" s="65"/>
      <c r="O944" s="66"/>
    </row>
    <row r="945" spans="3:15" ht="14.25" customHeight="1" x14ac:dyDescent="0.3">
      <c r="C945" s="65"/>
      <c r="O945" s="66"/>
    </row>
    <row r="946" spans="3:15" ht="14.25" customHeight="1" x14ac:dyDescent="0.3">
      <c r="C946" s="65"/>
      <c r="O946" s="66"/>
    </row>
    <row r="947" spans="3:15" ht="14.25" customHeight="1" x14ac:dyDescent="0.3">
      <c r="C947" s="65"/>
      <c r="O947" s="66"/>
    </row>
    <row r="948" spans="3:15" ht="14.25" customHeight="1" x14ac:dyDescent="0.3">
      <c r="C948" s="65"/>
      <c r="O948" s="66"/>
    </row>
    <row r="949" spans="3:15" ht="14.25" customHeight="1" x14ac:dyDescent="0.3">
      <c r="C949" s="65"/>
      <c r="O949" s="66"/>
    </row>
    <row r="950" spans="3:15" ht="14.25" customHeight="1" x14ac:dyDescent="0.3">
      <c r="C950" s="65"/>
      <c r="O950" s="66"/>
    </row>
    <row r="951" spans="3:15" ht="14.25" customHeight="1" x14ac:dyDescent="0.3">
      <c r="C951" s="65"/>
      <c r="O951" s="66"/>
    </row>
    <row r="952" spans="3:15" ht="14.25" customHeight="1" x14ac:dyDescent="0.3">
      <c r="C952" s="65"/>
      <c r="O952" s="66"/>
    </row>
    <row r="953" spans="3:15" ht="14.25" customHeight="1" x14ac:dyDescent="0.3">
      <c r="C953" s="65"/>
      <c r="O953" s="66"/>
    </row>
    <row r="954" spans="3:15" ht="14.25" customHeight="1" x14ac:dyDescent="0.3">
      <c r="C954" s="65"/>
      <c r="O954" s="66"/>
    </row>
    <row r="955" spans="3:15" ht="14.25" customHeight="1" x14ac:dyDescent="0.3">
      <c r="C955" s="65"/>
      <c r="O955" s="66"/>
    </row>
    <row r="956" spans="3:15" ht="14.25" customHeight="1" x14ac:dyDescent="0.3">
      <c r="C956" s="65"/>
      <c r="O956" s="66"/>
    </row>
    <row r="957" spans="3:15" ht="14.25" customHeight="1" x14ac:dyDescent="0.3">
      <c r="C957" s="65"/>
      <c r="O957" s="66"/>
    </row>
    <row r="958" spans="3:15" ht="14.25" customHeight="1" x14ac:dyDescent="0.3">
      <c r="C958" s="65"/>
      <c r="O958" s="66"/>
    </row>
    <row r="959" spans="3:15" ht="14.25" customHeight="1" x14ac:dyDescent="0.3">
      <c r="C959" s="65"/>
      <c r="O959" s="66"/>
    </row>
    <row r="960" spans="3:15" ht="14.25" customHeight="1" x14ac:dyDescent="0.3">
      <c r="C960" s="65"/>
      <c r="O960" s="66"/>
    </row>
    <row r="961" spans="3:15" ht="14.25" customHeight="1" x14ac:dyDescent="0.3">
      <c r="C961" s="65"/>
      <c r="O961" s="66"/>
    </row>
    <row r="962" spans="3:15" ht="14.25" customHeight="1" x14ac:dyDescent="0.3">
      <c r="C962" s="65"/>
      <c r="O962" s="66"/>
    </row>
    <row r="963" spans="3:15" ht="14.25" customHeight="1" x14ac:dyDescent="0.3">
      <c r="C963" s="65"/>
      <c r="O963" s="66"/>
    </row>
    <row r="964" spans="3:15" ht="14.25" customHeight="1" x14ac:dyDescent="0.3">
      <c r="C964" s="65"/>
      <c r="O964" s="66"/>
    </row>
    <row r="965" spans="3:15" ht="14.25" customHeight="1" x14ac:dyDescent="0.3">
      <c r="C965" s="65"/>
      <c r="O965" s="66"/>
    </row>
    <row r="966" spans="3:15" ht="14.25" customHeight="1" x14ac:dyDescent="0.3">
      <c r="C966" s="65"/>
      <c r="O966" s="66"/>
    </row>
    <row r="967" spans="3:15" ht="14.25" customHeight="1" x14ac:dyDescent="0.3">
      <c r="C967" s="65"/>
      <c r="O967" s="66"/>
    </row>
    <row r="968" spans="3:15" ht="14.25" customHeight="1" x14ac:dyDescent="0.3">
      <c r="C968" s="65"/>
      <c r="O968" s="66"/>
    </row>
    <row r="969" spans="3:15" ht="14.25" customHeight="1" x14ac:dyDescent="0.3">
      <c r="C969" s="65"/>
      <c r="O969" s="66"/>
    </row>
    <row r="970" spans="3:15" ht="14.25" customHeight="1" x14ac:dyDescent="0.3">
      <c r="C970" s="65"/>
      <c r="O970" s="66"/>
    </row>
    <row r="971" spans="3:15" ht="14.25" customHeight="1" x14ac:dyDescent="0.3">
      <c r="C971" s="65"/>
      <c r="O971" s="66"/>
    </row>
    <row r="972" spans="3:15" ht="14.25" customHeight="1" x14ac:dyDescent="0.3">
      <c r="C972" s="65"/>
      <c r="O972" s="66"/>
    </row>
    <row r="973" spans="3:15" ht="14.25" customHeight="1" x14ac:dyDescent="0.3">
      <c r="C973" s="65"/>
      <c r="O973" s="66"/>
    </row>
    <row r="974" spans="3:15" ht="14.25" customHeight="1" x14ac:dyDescent="0.3">
      <c r="C974" s="65"/>
      <c r="O974" s="66"/>
    </row>
    <row r="975" spans="3:15" ht="14.25" customHeight="1" x14ac:dyDescent="0.3">
      <c r="C975" s="65"/>
      <c r="O975" s="66"/>
    </row>
    <row r="976" spans="3:15" ht="14.25" customHeight="1" x14ac:dyDescent="0.3">
      <c r="C976" s="65"/>
      <c r="O976" s="66"/>
    </row>
    <row r="977" spans="3:15" ht="14.25" customHeight="1" x14ac:dyDescent="0.3">
      <c r="C977" s="65"/>
      <c r="O977" s="66"/>
    </row>
    <row r="978" spans="3:15" ht="14.25" customHeight="1" x14ac:dyDescent="0.3">
      <c r="C978" s="65"/>
      <c r="O978" s="66"/>
    </row>
    <row r="979" spans="3:15" ht="14.25" customHeight="1" x14ac:dyDescent="0.3">
      <c r="C979" s="65"/>
      <c r="O979" s="66"/>
    </row>
    <row r="980" spans="3:15" ht="14.25" customHeight="1" x14ac:dyDescent="0.3">
      <c r="C980" s="65"/>
      <c r="O980" s="66"/>
    </row>
    <row r="981" spans="3:15" ht="14.25" customHeight="1" x14ac:dyDescent="0.3">
      <c r="C981" s="65"/>
      <c r="O981" s="66"/>
    </row>
    <row r="982" spans="3:15" ht="14.25" customHeight="1" x14ac:dyDescent="0.3">
      <c r="C982" s="65"/>
      <c r="O982" s="66"/>
    </row>
    <row r="983" spans="3:15" ht="14.25" customHeight="1" x14ac:dyDescent="0.3">
      <c r="C983" s="65"/>
      <c r="O983" s="66"/>
    </row>
    <row r="984" spans="3:15" ht="14.25" customHeight="1" x14ac:dyDescent="0.3">
      <c r="C984" s="65"/>
      <c r="O984" s="66"/>
    </row>
    <row r="985" spans="3:15" ht="14.25" customHeight="1" x14ac:dyDescent="0.3">
      <c r="C985" s="65"/>
      <c r="O985" s="66"/>
    </row>
    <row r="986" spans="3:15" ht="14.25" customHeight="1" x14ac:dyDescent="0.3">
      <c r="C986" s="65"/>
      <c r="O986" s="66"/>
    </row>
    <row r="987" spans="3:15" ht="14.25" customHeight="1" x14ac:dyDescent="0.3">
      <c r="C987" s="65"/>
      <c r="O987" s="66"/>
    </row>
    <row r="988" spans="3:15" ht="14.25" customHeight="1" x14ac:dyDescent="0.3">
      <c r="C988" s="65"/>
      <c r="O988" s="66"/>
    </row>
    <row r="989" spans="3:15" ht="14.25" customHeight="1" x14ac:dyDescent="0.3">
      <c r="C989" s="65"/>
      <c r="O989" s="66"/>
    </row>
    <row r="990" spans="3:15" ht="14.25" customHeight="1" x14ac:dyDescent="0.3">
      <c r="C990" s="65"/>
      <c r="O990" s="66"/>
    </row>
    <row r="991" spans="3:15" ht="14.25" customHeight="1" x14ac:dyDescent="0.3">
      <c r="C991" s="65"/>
      <c r="O991" s="66"/>
    </row>
    <row r="992" spans="3:15" ht="14.25" customHeight="1" x14ac:dyDescent="0.3">
      <c r="C992" s="65"/>
      <c r="O992" s="66"/>
    </row>
    <row r="993" spans="3:15" ht="14.25" customHeight="1" x14ac:dyDescent="0.3">
      <c r="C993" s="65"/>
      <c r="O993" s="66"/>
    </row>
    <row r="994" spans="3:15" ht="14.25" customHeight="1" x14ac:dyDescent="0.3">
      <c r="C994" s="65"/>
      <c r="O994" s="66"/>
    </row>
    <row r="995" spans="3:15" ht="14.25" customHeight="1" x14ac:dyDescent="0.3">
      <c r="C995" s="65"/>
      <c r="O995" s="66"/>
    </row>
    <row r="996" spans="3:15" ht="14.25" customHeight="1" x14ac:dyDescent="0.3">
      <c r="C996" s="65"/>
      <c r="O996" s="66"/>
    </row>
    <row r="997" spans="3:15" ht="14.25" customHeight="1" x14ac:dyDescent="0.3">
      <c r="C997" s="65"/>
      <c r="O997" s="66"/>
    </row>
    <row r="998" spans="3:15" ht="14.25" customHeight="1" x14ac:dyDescent="0.3">
      <c r="C998" s="65"/>
      <c r="O998" s="66"/>
    </row>
    <row r="999" spans="3:15" ht="14.25" customHeight="1" x14ac:dyDescent="0.3">
      <c r="C999" s="65"/>
      <c r="O999" s="66"/>
    </row>
    <row r="1000" spans="3:15" ht="14.25" customHeight="1" x14ac:dyDescent="0.3">
      <c r="C1000" s="65"/>
      <c r="O1000" s="6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Variables</vt:lpstr>
      <vt:lpstr>Nombres </vt:lpstr>
      <vt:lpstr>Sheet2</vt:lpstr>
      <vt:lpstr>Datos</vt:lpstr>
      <vt:lpstr>estadistica descriptiva</vt:lpstr>
      <vt:lpstr>estimaciones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2015-06-05T18:17:20Z</dcterms:created>
  <dcterms:modified xsi:type="dcterms:W3CDTF">2023-03-27T18:09:17Z</dcterms:modified>
</cp:coreProperties>
</file>